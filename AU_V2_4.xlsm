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VladPlyusnin-Product\Desktop\Calculator\updated\"/>
    </mc:Choice>
  </mc:AlternateContent>
  <xr:revisionPtr revIDLastSave="0" documentId="13_ncr:1_{C485F171-4B55-4543-B319-0E9AF4BD88A7}" xr6:coauthVersionLast="47" xr6:coauthVersionMax="47" xr10:uidLastSave="{00000000-0000-0000-0000-000000000000}"/>
  <bookViews>
    <workbookView xWindow="19090" yWindow="-6000" windowWidth="38620" windowHeight="21100" activeTab="1" xr2:uid="{6D661927-D981-4489-A577-2CEA04A8FBA5}"/>
  </bookViews>
  <sheets>
    <sheet name="Input" sheetId="17" r:id="rId1"/>
    <sheet name="WHrate" sheetId="10" r:id="rId2"/>
    <sheet name="Price per stage" sheetId="28" r:id="rId3"/>
    <sheet name="Delivery per Unit" sheetId="40" r:id="rId4"/>
    <sheet name="WH" sheetId="34" r:id="rId5"/>
    <sheet name="TRrate" sheetId="35" state="hidden" r:id="rId6"/>
    <sheet name="Sydney PR Details" sheetId="36" state="hidden" r:id="rId7"/>
    <sheet name="Sydney RT" sheetId="37" state="hidden" r:id="rId8"/>
    <sheet name="seafreight forecast" sheetId="38" state="hidden" r:id="rId9"/>
    <sheet name="Summary" sheetId="32" r:id="rId10"/>
    <sheet name="TransportRate" sheetId="14" state="hidden" r:id="rId11"/>
    <sheet name="Sydney conditions" sheetId="12" state="hidden" r:id="rId12"/>
  </sheets>
  <definedNames>
    <definedName name="_xleta.SUM" hidden="1" xlm="1">#NAME?</definedName>
    <definedName name="ExternalData_1" localSheetId="2" hidden="1">'Price per stage'!$A$1:$F$17</definedName>
    <definedName name="ExternalData_1" localSheetId="6" hidden="1">'Sydney PR Details'!$A$1:$B$13</definedName>
    <definedName name="ExternalData_1" localSheetId="7" hidden="1">'Sydney RT'!$A$1:$D$3</definedName>
    <definedName name="ExternalData_1" localSheetId="5" hidden="1">TRrate!$A$1:$I$263</definedName>
    <definedName name="ExternalData_2" localSheetId="3" hidden="1">'Delivery per Unit'!$A$1:$F$40</definedName>
    <definedName name="ExternalData_2" localSheetId="9" hidden="1">Summary!$A$1:$AD$40</definedName>
    <definedName name="ExternalData_2" localSheetId="10" hidden="1">TransportRate!$A$1:$I$263</definedName>
    <definedName name="ExternalData_6" localSheetId="2" hidden="1">'Price per stage'!$A$1:$G$14</definedName>
    <definedName name="ExternalData_6" localSheetId="11" hidden="1">'Sydney conditions'!$A$1:$B$13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1" i="32" l="1"/>
  <c r="L41" i="32"/>
  <c r="M41" i="32"/>
  <c r="P41" i="32"/>
  <c r="Q41" i="32"/>
  <c r="R41" i="32"/>
  <c r="T41" i="32"/>
  <c r="V41" i="32"/>
  <c r="X41" i="32"/>
  <c r="Z41" i="32"/>
  <c r="AB41" i="32"/>
  <c r="E18" i="28"/>
  <c r="D2" i="10" l="1"/>
  <c r="D3" i="10"/>
  <c r="D6" i="10"/>
  <c r="D7" i="10"/>
  <c r="D5" i="10"/>
  <c r="D4" i="10"/>
  <c r="S109" i="32" l="1"/>
  <c r="D38" i="10" l="1"/>
  <c r="D37" i="10"/>
  <c r="D36" i="10"/>
  <c r="D35" i="10"/>
  <c r="D34" i="10"/>
  <c r="D33" i="10"/>
  <c r="D32" i="10"/>
  <c r="D30" i="10"/>
  <c r="D29" i="10"/>
  <c r="D28" i="10"/>
  <c r="D27" i="10"/>
  <c r="D26" i="10"/>
  <c r="D25" i="10"/>
  <c r="D16" i="10"/>
  <c r="D15" i="10"/>
  <c r="D14" i="10"/>
  <c r="D13" i="10"/>
  <c r="D12" i="10"/>
  <c r="D11" i="10"/>
  <c r="D10" i="10"/>
  <c r="D9" i="10"/>
  <c r="D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EB5E8A-3FF7-4CA4-9881-56B26557C142}" keepAlive="1" name="Query - AU" description="Connection to the 'AU' query in the workbook." type="5" refreshedVersion="8" background="1" saveData="1">
    <dbPr connection="Provider=Microsoft.Mashup.OleDb.1;Data Source=$Workbook$;Location=AU;Extended Properties=&quot;&quot;" command="SELECT * FROM [AU]"/>
  </connection>
  <connection id="2" xr16:uid="{56DEE63D-C0CC-4CFB-ACF7-F4537E1BC993}" keepAlive="1" name="Query - Calculation(1)" description="Connection to the 'Calculation' query in the workbook." type="5" refreshedVersion="8" background="1" saveData="1">
    <dbPr connection="Provider=Microsoft.Mashup.OleDb.1;Data Source=$Workbook$;Location=Calculation;Extended Properties=&quot;&quot;" command="SELECT * FROM [Calculation]"/>
  </connection>
  <connection id="3" xr16:uid="{EB4B0122-B8FD-4F70-9BA0-646E46FAD0C5}" keepAlive="1" name="Query - Card" description="Connection to the 'Card' query in the workbook." type="5" refreshedVersion="8" background="1" saveData="1">
    <dbPr connection="Provider=Microsoft.Mashup.OleDb.1;Data Source=$Workbook$;Location=Card;Extended Properties=&quot;&quot;" command="SELECT * FROM [Card]"/>
  </connection>
  <connection id="4" xr16:uid="{C06807F7-A7A7-4DAD-BFA9-5BD26E022B5F}" keepAlive="1" name="Query - Destination" description="Connection to the 'Destination' query in the workbook." type="5" refreshedVersion="0" background="1">
    <dbPr connection="Provider=Microsoft.Mashup.OleDb.1;Data Source=$Workbook$;Location=Destination;Extended Properties=&quot;&quot;" command="SELECT * FROM [Destination]"/>
  </connection>
  <connection id="5" xr16:uid="{686DB6B2-27F0-4508-9F7C-B1B5292A0302}" keepAlive="1" name="Query - Input_SKU" description="Connection to the 'Input_SKU' query in the workbook." type="5" refreshedVersion="8" background="1" saveData="1">
    <dbPr connection="Provider=Microsoft.Mashup.OleDb.1;Data Source=$Workbook$;Location=Input_SKU;Extended Properties=&quot;&quot;" command="SELECT * FROM [Input_SKU]"/>
  </connection>
  <connection id="6" xr16:uid="{F20F45D5-C346-4D7C-8DAB-043386E90C01}" keepAlive="1" name="Query - Logistic price" description="Connection to the 'Logistic price' query in the workbook." type="5" refreshedVersion="8" background="1" saveData="1">
    <dbPr connection="Provider=Microsoft.Mashup.OleDb.1;Data Source=$Workbook$;Location=&quot;Logistic price&quot;;Extended Properties=&quot;&quot;" command="SELECT * FROM [Logistic price]"/>
  </connection>
  <connection id="7" xr16:uid="{1254F211-6F19-4758-92E9-2D82C143A88A}" keepAlive="1" name="Query - Logistic price(1)" description="Connection to the 'Logistic price' query in the workbook." type="5" refreshedVersion="0" background="1">
    <dbPr connection="Provider=Microsoft.Mashup.OleDb.1;Data Source=$Workbook$;Location=&quot;Logistic price&quot;;Extended Properties=&quot;&quot;" command="SELECT * FROM [Logistic price]"/>
  </connection>
  <connection id="8" xr16:uid="{ADB50CEE-C0EE-441E-9E71-CF151649F66E}" keepAlive="1" name="Query - Logistic Sydeney" description="Connection to the 'Logistic Sydeney' query in the workbook." type="5" refreshedVersion="8" background="1" saveData="1">
    <dbPr connection="Provider=Microsoft.Mashup.OleDb.1;Data Source=$Workbook$;Location=&quot;Logistic Sydeney&quot;;Extended Properties=&quot;&quot;" command="SELECT * FROM [Logistic Sydeney]"/>
  </connection>
  <connection id="9" xr16:uid="{9C8C1EF6-8AA7-48A1-9295-8FDE2E0BFDA9}" keepAlive="1" name="Query - Product/destination" description="Connection to the 'Product/destination' query in the workbook." type="5" refreshedVersion="8" background="1" saveData="1">
    <dbPr connection="Provider=Microsoft.Mashup.OleDb.1;Data Source=$Workbook$;Location=Product/destination;Extended Properties=&quot;&quot;" command="SELECT * FROM [Product/destination]"/>
  </connection>
  <connection id="10" xr16:uid="{EB4BB32D-E789-403C-BD67-E8829E7280F8}" keepAlive="1" name="Query - seafreight_forecast" description="Connection to the 'seafreight_forecast' query in the workbook." type="5" refreshedVersion="8" background="1" saveData="1">
    <dbPr connection="Provider=Microsoft.Mashup.OleDb.1;Data Source=$Workbook$;Location=seafreight_forecast;Extended Properties=&quot;&quot;" command="SELECT * FROM [seafreight_forecast]"/>
  </connection>
  <connection id="11" xr16:uid="{AB512A34-267B-4186-9CC0-A258EA404FD5}" keepAlive="1" name="Query - Support Table" description="Connection to the 'Support Table' query in the workbook." type="5" refreshedVersion="0" background="1">
    <dbPr connection="Provider=Microsoft.Mashup.OleDb.1;Data Source=$Workbook$;Location=&quot;Support Table&quot;;Extended Properties=&quot;&quot;" command="SELECT * FROM [Support Table]"/>
  </connection>
  <connection id="12" xr16:uid="{857FA0AE-E580-466D-ADA0-6075D0A8D7C1}" keepAlive="1" name="Query - Sydeney_rates_Full_Truck_Load" description="Connection to the 'Sydeney_rates_Full_Truck_Load' query in the workbook." type="5" refreshedVersion="8" background="1" saveData="1">
    <dbPr connection="Provider=Microsoft.Mashup.OleDb.1;Data Source=$Workbook$;Location=Sydeney_rates_Full_Truck_Load;Extended Properties=&quot;&quot;" command="SELECT * FROM [Sydeney_rates_Full_Truck_Load]"/>
  </connection>
  <connection id="13" xr16:uid="{C6CA22A0-1E81-4E28-9A28-539C88E3CF83}" keepAlive="1" name="Query - Sydney Conditions" description="Connection to the 'Sydney Conditions' query in the workbook." type="5" refreshedVersion="8" background="1" saveData="1">
    <dbPr connection="Provider=Microsoft.Mashup.OleDb.1;Data Source=$Workbook$;Location=&quot;Sydney Conditions&quot;;Extended Properties=&quot;&quot;" command="SELECT * FROM [Sydney Conditions]"/>
  </connection>
  <connection id="14" xr16:uid="{39198022-267A-431D-9384-3845B9F9512D}" keepAlive="1" name="Query - TransportRate" description="Connection to the 'TransportRate' query in the workbook." type="5" refreshedVersion="8" background="1" saveData="1">
    <dbPr connection="Provider=Microsoft.Mashup.OleDb.1;Data Source=$Workbook$;Location=TransportRate;Extended Properties=&quot;&quot;" command="SELECT * FROM [TransportRate]"/>
  </connection>
  <connection id="15" xr16:uid="{0B6944CA-72F2-43BD-BAE5-BAA7A133677D}" keepAlive="1" name="Query - WHrate" description="Connection to the 'WHrate' query in the workbook." type="5" refreshedVersion="8" background="1" saveData="1">
    <dbPr connection="Provider=Microsoft.Mashup.OleDb.1;Data Source=$Workbook$;Location=WHrate;Extended Properties=&quot;&quot;" command="SELECT * FROM [WHrate]"/>
  </connection>
  <connection id="16" xr16:uid="{A9AF4A5A-BE37-4457-BEE8-6429CEAA6218}" keepAlive="1" name="Query - WHrate (2)" description="Connection to the 'WHrate (2)' query in the workbook." type="5" refreshedVersion="8" background="1" saveData="1">
    <dbPr connection="Provider=Microsoft.Mashup.OleDb.1;Data Source=$Workbook$;Location=&quot;WHrate (2)&quot;;Extended Properties=&quot;&quot;" command="SELECT * FROM [WHrate (2)]"/>
  </connection>
</connections>
</file>

<file path=xl/sharedStrings.xml><?xml version="1.0" encoding="utf-8"?>
<sst xmlns="http://schemas.openxmlformats.org/spreadsheetml/2006/main" count="1431" uniqueCount="639">
  <si>
    <t>Item</t>
  </si>
  <si>
    <t>Annual
Units</t>
  </si>
  <si>
    <t>MASTER SHIPPER 
PKG WIDTH(CM)</t>
  </si>
  <si>
    <t>MASTER SHIPPER 
PKG DEPTH(CM)</t>
  </si>
  <si>
    <t>MASTER SHIPPER 
PKG HEIGHT(CM)</t>
  </si>
  <si>
    <t>MASTER SHIPPER 
PKG GROSS WEIGHT(KG)</t>
  </si>
  <si>
    <t>RETAIL UNITS 
PER MASTER SHIPPER PKG</t>
  </si>
  <si>
    <t>Annual Case Quantity</t>
  </si>
  <si>
    <t>Pallet Quantity</t>
  </si>
  <si>
    <t>Monthly Sales</t>
  </si>
  <si>
    <t>Total CBM</t>
  </si>
  <si>
    <t>Estimate Container QTY</t>
  </si>
  <si>
    <t>Revenue</t>
  </si>
  <si>
    <t>Total % of Space</t>
  </si>
  <si>
    <t>AU</t>
  </si>
  <si>
    <t>£</t>
  </si>
  <si>
    <t>Description</t>
  </si>
  <si>
    <t>Rate</t>
  </si>
  <si>
    <t>Inward order:per Inward order</t>
  </si>
  <si>
    <t>Return order:per Return order</t>
  </si>
  <si>
    <t>20 FT Container Palletised:per 20 ft Container Palletised</t>
  </si>
  <si>
    <t>20 FT Container Loose Up To 2000 cartons:per 20 ft Container Loose up to 2000 cartons</t>
  </si>
  <si>
    <t>40 FT Container Palletised:per 40 ft Container Palletised</t>
  </si>
  <si>
    <t>40 FT Container Loose Up To 4000 cartons:per 40 ft Container loose up to 4000 cartons</t>
  </si>
  <si>
    <t>LCL shipments (truck/sea/air):per pallet</t>
  </si>
  <si>
    <t>Pallets shrinkwrapped:per Pallets shrinkwrapped</t>
  </si>
  <si>
    <t>Pallets putaway:per Pallets putaway</t>
  </si>
  <si>
    <t>Cartons Putaway Up to 20kgs:per Cartons putaway up to 20kgs</t>
  </si>
  <si>
    <t>Pallet Caps - 1 Per Pallet:per Pallet Caps - 1 per pallet</t>
  </si>
  <si>
    <t>Layer board - 1 Per Pallet:per Layer board - 1 per pallet</t>
  </si>
  <si>
    <t>Corner Boards - 4 Per Pallet:per Corner Boards - 4 per pallet</t>
  </si>
  <si>
    <t>Return: Cartons Putaway:per Return: cartons putaway</t>
  </si>
  <si>
    <t>Per pallet - 1.2*1.2*1.4h - Sydney (ambient):per Pallet space per week or part thereof</t>
  </si>
  <si>
    <t>Sydney Weekly Management Fee:per week</t>
  </si>
  <si>
    <t>Sydney Weekly Minimum Fee - if required:per week</t>
  </si>
  <si>
    <t>Additional Labour Fee per Hour:per hour</t>
  </si>
  <si>
    <t>Additional Labour &amp; Forklift Fee per Hour:per hour</t>
  </si>
  <si>
    <t>B2B Outward edi order - orders in the system by 12pm:per Outward edi order</t>
  </si>
  <si>
    <t>B2C Outward edi order - orders in the system by 10am:per Outward edi order</t>
  </si>
  <si>
    <t>DC Booking Fee:per DC booking</t>
  </si>
  <si>
    <t>picking:per Urgent order</t>
  </si>
  <si>
    <t>Full pallets picked:per Full pallets picked</t>
  </si>
  <si>
    <t>Cartons picked up to 20kgs:per Cartons picked up to 20kgs</t>
  </si>
  <si>
    <t>Pallet Caps - 1 per pallet:per Pallet Caps - 1 per pallet</t>
  </si>
  <si>
    <t>Layer board - 1 per pallet:per Layer board - 1 per pallet</t>
  </si>
  <si>
    <t>Corner Boards - 4 per pallet:per Corner Boards - 4 per pallet</t>
  </si>
  <si>
    <t>Cartons repacked:per Cartons repacked</t>
  </si>
  <si>
    <t>Chemist Warehouse Pallet Restack Fee:per pallet</t>
  </si>
  <si>
    <t>SSCC labels - 2 labels per pallet:per SSCC labels - 2 labels per pallet</t>
  </si>
  <si>
    <t>Shipping labels - 2 labels per pallet:per Shipping labels - 2 labels per pallet</t>
  </si>
  <si>
    <t>Truck Loading Fee - Cartons:per carton</t>
  </si>
  <si>
    <t>Truck Loading Fee - Pallets:per pallet</t>
  </si>
  <si>
    <t>Plain Pallet:price per plain pallet</t>
  </si>
  <si>
    <t>Hire Pallet Hireage Fee:price per hire pallet</t>
  </si>
  <si>
    <t>Hire Pallet Issue Fee:price per pallet issue</t>
  </si>
  <si>
    <t>Hire DC Delay:price per DC delay</t>
  </si>
  <si>
    <t>USD</t>
  </si>
  <si>
    <t>EUR</t>
  </si>
  <si>
    <t>SYDNEY</t>
  </si>
  <si>
    <t>MELBOURNE</t>
  </si>
  <si>
    <t>Column2</t>
  </si>
  <si>
    <t>Semi</t>
  </si>
  <si>
    <t>Per Hour - Minimum 4 Hours (Depot to Depot)</t>
  </si>
  <si>
    <t>B - Double</t>
  </si>
  <si>
    <t>Pricing Details</t>
  </si>
  <si>
    <t>Pick Up Details</t>
  </si>
  <si>
    <t>Pick up Zuru Warehouse in Smeaton Grange</t>
  </si>
  <si>
    <t>Standard Service</t>
  </si>
  <si>
    <t>12pm cut off for next business day timeslots and FTL loads. 3pm cut off for next day,
all day service/non timeslot freight.</t>
  </si>
  <si>
    <t>Cubic Conversion</t>
  </si>
  <si>
    <t>Cubic conversion = 333kgs = 1 cubic metre. The greater of actual weight or volumetric
weight will be charged</t>
  </si>
  <si>
    <t>FAF (Fuel Adjustment Factor)</t>
  </si>
  <si>
    <t>All rates are exclusive of FAF</t>
  </si>
  <si>
    <t>GST</t>
  </si>
  <si>
    <t>All rates are exclusive of GST</t>
  </si>
  <si>
    <t>FTL Pricing</t>
  </si>
  <si>
    <t>FTL Pricing is based on minimum 4 hours per load. Time starts from Mainfreight depot
untill return or relocation (depot to depot).</t>
  </si>
  <si>
    <t>Maximum Pallet Dimensions</t>
  </si>
  <si>
    <t>Pallets must not exceed 1.2m (L) x 1.2m (W) x 1.8m (H) and 1000KGS</t>
  </si>
  <si>
    <t>Hire Pallets</t>
  </si>
  <si>
    <t>All hire pallets must be transferred direct to the receiver. Pricing does not include
exchanging hire pallets.</t>
  </si>
  <si>
    <t>Tolls</t>
  </si>
  <si>
    <t>Tolls will be charged where applicable based on the vehicle size.</t>
  </si>
  <si>
    <t>Non EDI Fee</t>
  </si>
  <si>
    <t>Non EDI consignments will incur a $7.50 fee per consignment.</t>
  </si>
  <si>
    <t>Insurance</t>
  </si>
  <si>
    <t>Not included in pricing. Mainfreight Pty Ltd is not a common carrier</t>
  </si>
  <si>
    <t>Additional Charges</t>
  </si>
  <si>
    <t>Additional charges may apply. Refer to Mainfreight Additional Charge Register.</t>
  </si>
  <si>
    <t>CA</t>
  </si>
  <si>
    <t>US</t>
  </si>
  <si>
    <t>To(Location)</t>
  </si>
  <si>
    <t>PER CON</t>
  </si>
  <si>
    <t>PER CON_1</t>
  </si>
  <si>
    <t>1-250 KG</t>
  </si>
  <si>
    <t>251-500 KG</t>
  </si>
  <si>
    <t>501-1000 KG</t>
  </si>
  <si>
    <t>1001-3000 KG</t>
  </si>
  <si>
    <t>3001-12000 KG</t>
  </si>
  <si>
    <t>12001+ KG</t>
  </si>
  <si>
    <t>ADELAIDE</t>
  </si>
  <si>
    <t>ADL CENTRAL</t>
  </si>
  <si>
    <t>AGNES WATER</t>
  </si>
  <si>
    <t>ALBANY</t>
  </si>
  <si>
    <t>ALBION PARK</t>
  </si>
  <si>
    <t>ALBURY</t>
  </si>
  <si>
    <t>ALICE SPRINGS</t>
  </si>
  <si>
    <t>ANGASTON</t>
  </si>
  <si>
    <t>ARMIDALE</t>
  </si>
  <si>
    <t>ATHERTON</t>
  </si>
  <si>
    <t>AVALON</t>
  </si>
  <si>
    <t>AYR</t>
  </si>
  <si>
    <t>BAIRNSDALE</t>
  </si>
  <si>
    <t>BALLARAT</t>
  </si>
  <si>
    <t>BANNOCKBURN</t>
  </si>
  <si>
    <t>BARHAM</t>
  </si>
  <si>
    <t>BARNAWARTHA</t>
  </si>
  <si>
    <t>BATEMANS BAY</t>
  </si>
  <si>
    <t>BATHURST</t>
  </si>
  <si>
    <t>BEAUDESERT</t>
  </si>
  <si>
    <t>BEGA</t>
  </si>
  <si>
    <t>BELL BAY</t>
  </si>
  <si>
    <t>BENALLA</t>
  </si>
  <si>
    <t>BENDIGO</t>
  </si>
  <si>
    <t>BERRI</t>
  </si>
  <si>
    <t>BNE CENTRAL</t>
  </si>
  <si>
    <t>BOONAH</t>
  </si>
  <si>
    <t>BORDERTOWN</t>
  </si>
  <si>
    <t>BOURKE</t>
  </si>
  <si>
    <t>BOWEN</t>
  </si>
  <si>
    <t>BREWARRINA</t>
  </si>
  <si>
    <t>BRISBANE</t>
  </si>
  <si>
    <t>BROKEN HILL</t>
  </si>
  <si>
    <t>BROOME</t>
  </si>
  <si>
    <t>BUNBURY</t>
  </si>
  <si>
    <t>BUNDABERG</t>
  </si>
  <si>
    <t>BUNGENDORE</t>
  </si>
  <si>
    <t>BURNIE</t>
  </si>
  <si>
    <t>BUSSELTON</t>
  </si>
  <si>
    <t>BYRON BAY</t>
  </si>
  <si>
    <t>CAIRNS</t>
  </si>
  <si>
    <t>CANBERRA</t>
  </si>
  <si>
    <t>CANNONVALE</t>
  </si>
  <si>
    <t>CARABOODA</t>
  </si>
  <si>
    <t>CARNARVON</t>
  </si>
  <si>
    <t>CEDUNA</t>
  </si>
  <si>
    <t>CHARTERS TOWERS</t>
  </si>
  <si>
    <t>CHILDERS</t>
  </si>
  <si>
    <t>CLERMONT</t>
  </si>
  <si>
    <t>CLUNES</t>
  </si>
  <si>
    <t>COBAR</t>
  </si>
  <si>
    <t>COFFS HARBOUR</t>
  </si>
  <si>
    <t>COLAC</t>
  </si>
  <si>
    <t>COLLIE</t>
  </si>
  <si>
    <t>COLLINSVILLE</t>
  </si>
  <si>
    <t>COOKTOWN</t>
  </si>
  <si>
    <t>COOMA</t>
  </si>
  <si>
    <t>COONABARABRAN</t>
  </si>
  <si>
    <t>COONAMBLE</t>
  </si>
  <si>
    <t>COOTAMUNDRA</t>
  </si>
  <si>
    <t>COROWA</t>
  </si>
  <si>
    <t>CORRIGIN</t>
  </si>
  <si>
    <t>CORRYONG</t>
  </si>
  <si>
    <t>COWRA</t>
  </si>
  <si>
    <t>CRAIGLIE</t>
  </si>
  <si>
    <t>CROOKWELL</t>
  </si>
  <si>
    <t>DALBY</t>
  </si>
  <si>
    <t>DALWALLINU</t>
  </si>
  <si>
    <t>DARWIN</t>
  </si>
  <si>
    <t>DAYLESFORD</t>
  </si>
  <si>
    <t>DELORAINE</t>
  </si>
  <si>
    <t>DERBY</t>
  </si>
  <si>
    <t>DERWENT BRIDGE</t>
  </si>
  <si>
    <t>DEVONPORT</t>
  </si>
  <si>
    <t>DORRIGO</t>
  </si>
  <si>
    <t>DROUIN</t>
  </si>
  <si>
    <t>DUBBO</t>
  </si>
  <si>
    <t>DUNSBOROUGH</t>
  </si>
  <si>
    <t>DYSART</t>
  </si>
  <si>
    <t>ECHUCA</t>
  </si>
  <si>
    <t>EMERALD</t>
  </si>
  <si>
    <t>ESPERANCE</t>
  </si>
  <si>
    <t>EXMOUTH</t>
  </si>
  <si>
    <t>FERNVALE</t>
  </si>
  <si>
    <t>FLINDERS</t>
  </si>
  <si>
    <t>FORSTER</t>
  </si>
  <si>
    <t>GAWLER</t>
  </si>
  <si>
    <t>GAYNDAH</t>
  </si>
  <si>
    <t>GEELONG</t>
  </si>
  <si>
    <t>GERALDTON</t>
  </si>
  <si>
    <t>GIN GIN</t>
  </si>
  <si>
    <t>GLADSTONE</t>
  </si>
  <si>
    <t>GLOUCESTER</t>
  </si>
  <si>
    <t>GOONDIWINDI</t>
  </si>
  <si>
    <t>GOSFORD</t>
  </si>
  <si>
    <t>GOULBURN</t>
  </si>
  <si>
    <t>GRAFTON</t>
  </si>
  <si>
    <t>GRENFELL</t>
  </si>
  <si>
    <t>GRIFFITH</t>
  </si>
  <si>
    <t>GUNNEDAH</t>
  </si>
  <si>
    <t>GYMPIE</t>
  </si>
  <si>
    <t>HALLS CREEK</t>
  </si>
  <si>
    <t>HAMILTON</t>
  </si>
  <si>
    <t>HARVEY</t>
  </si>
  <si>
    <t>HAY</t>
  </si>
  <si>
    <t>HEALESVILLE</t>
  </si>
  <si>
    <t>HERVEY BAY</t>
  </si>
  <si>
    <t>HOBART</t>
  </si>
  <si>
    <t>HOPETOUN</t>
  </si>
  <si>
    <t>HORSHAM</t>
  </si>
  <si>
    <t>HUGHENDEN</t>
  </si>
  <si>
    <t>INGHAM</t>
  </si>
  <si>
    <t>INNISFAIL</t>
  </si>
  <si>
    <t>INVERELL</t>
  </si>
  <si>
    <t>KALAMUNDA</t>
  </si>
  <si>
    <t>KALBARRI</t>
  </si>
  <si>
    <t>KALGOORLIE</t>
  </si>
  <si>
    <t>KARRATHA</t>
  </si>
  <si>
    <t>KATANNING</t>
  </si>
  <si>
    <t>KATHERINE</t>
  </si>
  <si>
    <t>KATOOMBA</t>
  </si>
  <si>
    <t>KEMPSEY</t>
  </si>
  <si>
    <t>KERANG</t>
  </si>
  <si>
    <t>KILCOY</t>
  </si>
  <si>
    <t>KING ISLAND</t>
  </si>
  <si>
    <t>KINGAROY</t>
  </si>
  <si>
    <t>KINGSCOTE</t>
  </si>
  <si>
    <t>KUNUNURRA</t>
  </si>
  <si>
    <t>KYABRAM</t>
  </si>
  <si>
    <t>KYNETON</t>
  </si>
  <si>
    <t>LAUNCESTON</t>
  </si>
  <si>
    <t>LEONORA</t>
  </si>
  <si>
    <t>LEWISTON</t>
  </si>
  <si>
    <t>LISMORE</t>
  </si>
  <si>
    <t>LITHGOW</t>
  </si>
  <si>
    <t>LONGREACH</t>
  </si>
  <si>
    <t>LUCINDALE</t>
  </si>
  <si>
    <t>MACKAY</t>
  </si>
  <si>
    <t>MAFFRA</t>
  </si>
  <si>
    <t>MAGNETIC ISLAND</t>
  </si>
  <si>
    <t>MAITLAND</t>
  </si>
  <si>
    <t>MANANGATANG</t>
  </si>
  <si>
    <t>MANDURAH</t>
  </si>
  <si>
    <t>MANJIMUP</t>
  </si>
  <si>
    <t>MAREEBA</t>
  </si>
  <si>
    <t>MARGARET RIVER</t>
  </si>
  <si>
    <t>MAROOCHYDORE</t>
  </si>
  <si>
    <t>MARYBOROUGH</t>
  </si>
  <si>
    <t>MEEKATHARRA</t>
  </si>
  <si>
    <t>MEL CENTRAL</t>
  </si>
  <si>
    <t>MELTON</t>
  </si>
  <si>
    <t>MERREDIN</t>
  </si>
  <si>
    <t>MILDURA</t>
  </si>
  <si>
    <t>MONARTO</t>
  </si>
  <si>
    <t>MOORE PARK</t>
  </si>
  <si>
    <t>MORANBAH</t>
  </si>
  <si>
    <t>MORAWA</t>
  </si>
  <si>
    <t>MOREE</t>
  </si>
  <si>
    <t>MORWELL</t>
  </si>
  <si>
    <t>MOSS VALE</t>
  </si>
  <si>
    <t>MOUNT BARKER</t>
  </si>
  <si>
    <t>MOUNT BULLER</t>
  </si>
  <si>
    <t>MOUNT GAMBIER</t>
  </si>
  <si>
    <t>MOUNT GARNET</t>
  </si>
  <si>
    <t>MOUNT ISA</t>
  </si>
  <si>
    <t>MOUNT PLEASANT</t>
  </si>
  <si>
    <t>MUDGEE</t>
  </si>
  <si>
    <t>MURRAY BRIDGE</t>
  </si>
  <si>
    <t>MURWILLUMBAH</t>
  </si>
  <si>
    <t>MUSWELLBROOK</t>
  </si>
  <si>
    <t>MYRTLEFORD</t>
  </si>
  <si>
    <t>NARACOORTE</t>
  </si>
  <si>
    <t>NARROGIN</t>
  </si>
  <si>
    <t>NEWCASTLE</t>
  </si>
  <si>
    <t>NEWDEGATE</t>
  </si>
  <si>
    <t>NEWMAN</t>
  </si>
  <si>
    <t>NOONAMAH</t>
  </si>
  <si>
    <t>NORTHAM</t>
  </si>
  <si>
    <t>NOWRA</t>
  </si>
  <si>
    <t>ORANGE</t>
  </si>
  <si>
    <t>ORBOST</t>
  </si>
  <si>
    <t>PARKES</t>
  </si>
  <si>
    <t>PARKHURST</t>
  </si>
  <si>
    <t>PER CENTRAL</t>
  </si>
  <si>
    <t>PERTH</t>
  </si>
  <si>
    <t>PETERBOROUGH</t>
  </si>
  <si>
    <t>PINNAROO</t>
  </si>
  <si>
    <t>POKOLBIN</t>
  </si>
  <si>
    <t>PORT AUGUSTA</t>
  </si>
  <si>
    <t>PORT DOUGLAS</t>
  </si>
  <si>
    <t>PORT HEDLAND</t>
  </si>
  <si>
    <t>PORT KENNEDY</t>
  </si>
  <si>
    <t>PORT LINCOLN</t>
  </si>
  <si>
    <t>PORT MACQUARIE</t>
  </si>
  <si>
    <t>PORT PIRIE</t>
  </si>
  <si>
    <t>PORTLAND</t>
  </si>
  <si>
    <t>PROSERPINE</t>
  </si>
  <si>
    <t>RENMARK</t>
  </si>
  <si>
    <t>ROBINVALE</t>
  </si>
  <si>
    <t>ROCKHAMPTON</t>
  </si>
  <si>
    <t>ROMA</t>
  </si>
  <si>
    <t>ROSEBUD</t>
  </si>
  <si>
    <t>ROXBY DOWNS</t>
  </si>
  <si>
    <t>RUTHERGLEN</t>
  </si>
  <si>
    <t>SALAMANDER BAY</t>
  </si>
  <si>
    <t>SALE</t>
  </si>
  <si>
    <t>SARINA</t>
  </si>
  <si>
    <t>SCONE</t>
  </si>
  <si>
    <t>SEAFORTH</t>
  </si>
  <si>
    <t>SEYMOUR</t>
  </si>
  <si>
    <t>SHEPPARTON</t>
  </si>
  <si>
    <t>SINGLETON</t>
  </si>
  <si>
    <t>SMITHFIELD HEIGHTS</t>
  </si>
  <si>
    <t>SMITHTON</t>
  </si>
  <si>
    <t>SOUTHPORT</t>
  </si>
  <si>
    <t>ST ARNAUD</t>
  </si>
  <si>
    <t>ST GEORGE</t>
  </si>
  <si>
    <t>ST HELENS</t>
  </si>
  <si>
    <t>SUSSEX INLET</t>
  </si>
  <si>
    <t>SWAN HILL</t>
  </si>
  <si>
    <t>SYD CENTRAL</t>
  </si>
  <si>
    <t>TAMBORINE</t>
  </si>
  <si>
    <t>TAMWORTH</t>
  </si>
  <si>
    <t>TANNUM SANDS</t>
  </si>
  <si>
    <t>TAREE</t>
  </si>
  <si>
    <t>TENNANT CREEK</t>
  </si>
  <si>
    <t>TENTERFIELD</t>
  </si>
  <si>
    <t>TIERI</t>
  </si>
  <si>
    <t>TIN CAN BAY</t>
  </si>
  <si>
    <t>TOM PRICE</t>
  </si>
  <si>
    <t>TOODYAY</t>
  </si>
  <si>
    <t>TOOWOOMBA</t>
  </si>
  <si>
    <t>TOWNSVILLE</t>
  </si>
  <si>
    <t>TRARALGON</t>
  </si>
  <si>
    <t>TULLY</t>
  </si>
  <si>
    <t>TUMUT</t>
  </si>
  <si>
    <t>TWEED HEADS</t>
  </si>
  <si>
    <t>ULLADULLA</t>
  </si>
  <si>
    <t>VICTOR HARBOR</t>
  </si>
  <si>
    <t>WAGGA WAGGA</t>
  </si>
  <si>
    <t>WAGIN</t>
  </si>
  <si>
    <t>WANGARATTA</t>
  </si>
  <si>
    <t>WARRAGUL</t>
  </si>
  <si>
    <t>WARRNAMBOOL</t>
  </si>
  <si>
    <t>WARWICK</t>
  </si>
  <si>
    <t>WAUCHOPE</t>
  </si>
  <si>
    <t>WEIPA</t>
  </si>
  <si>
    <t>WELLINGTON</t>
  </si>
  <si>
    <t>WERRIBEE</t>
  </si>
  <si>
    <t>WHYALLA</t>
  </si>
  <si>
    <t>WOLLONGONG</t>
  </si>
  <si>
    <t>WONTHAGGI</t>
  </si>
  <si>
    <t>WOODEND</t>
  </si>
  <si>
    <t>WUDINNA</t>
  </si>
  <si>
    <t>WYONG</t>
  </si>
  <si>
    <t>YAMBA</t>
  </si>
  <si>
    <t>YARRAM</t>
  </si>
  <si>
    <t>YARRAWONGA</t>
  </si>
  <si>
    <t>YEPPOON</t>
  </si>
  <si>
    <t>YOUNG</t>
  </si>
  <si>
    <t>Load Type</t>
  </si>
  <si>
    <t>Full</t>
  </si>
  <si>
    <t>Case</t>
  </si>
  <si>
    <t>INSTRUCTIONS:</t>
  </si>
  <si>
    <t>QUOTE USD</t>
  </si>
  <si>
    <t>ITEM</t>
  </si>
  <si>
    <t>BRAND DESCRIPTION</t>
  </si>
  <si>
    <t>BRAND
DESCRIPTION</t>
  </si>
  <si>
    <t xml:space="preserve">DESTINATION </t>
  </si>
  <si>
    <t>Storage(month)</t>
  </si>
  <si>
    <t>Volume of container(CBM)</t>
  </si>
  <si>
    <t>Value</t>
  </si>
  <si>
    <t>Apply</t>
  </si>
  <si>
    <t>DG</t>
  </si>
  <si>
    <t xml:space="preserve">Reefer </t>
  </si>
  <si>
    <t>Sea Freight</t>
  </si>
  <si>
    <t>Estimated Sea Freight AVE</t>
  </si>
  <si>
    <t>Destination cost</t>
  </si>
  <si>
    <t>Truck Load</t>
  </si>
  <si>
    <t>Stage</t>
  </si>
  <si>
    <t>Warehouse</t>
  </si>
  <si>
    <t>Values</t>
  </si>
  <si>
    <t>Number of Trucks</t>
  </si>
  <si>
    <t>Destination</t>
  </si>
  <si>
    <t>% of Total Cost</t>
  </si>
  <si>
    <t>Delivery Cost per Unit</t>
  </si>
  <si>
    <t>% of Revenue</t>
  </si>
  <si>
    <t>UK</t>
  </si>
  <si>
    <t>NZ</t>
  </si>
  <si>
    <t>NL</t>
  </si>
  <si>
    <t>Toys</t>
  </si>
  <si>
    <t>DE</t>
  </si>
  <si>
    <t>DK</t>
  </si>
  <si>
    <t>Administrative</t>
  </si>
  <si>
    <t>Inward order</t>
  </si>
  <si>
    <t>per Inward order</t>
  </si>
  <si>
    <t>$</t>
  </si>
  <si>
    <t>Return order</t>
  </si>
  <si>
    <t>per Return order</t>
  </si>
  <si>
    <t>Devanning</t>
  </si>
  <si>
    <t>20 FT Container Palletised</t>
  </si>
  <si>
    <t>per 20 ft Container Palletised</t>
  </si>
  <si>
    <t>20 FT Container Loose Up To 2000 cartons</t>
  </si>
  <si>
    <t>per 20 ft Container Loose up to 2000 cartons</t>
  </si>
  <si>
    <t>40 FT Container Palletised</t>
  </si>
  <si>
    <t>per 40 ft Container Palletised</t>
  </si>
  <si>
    <t>40 FT Container Loose Up To 4000 cartons</t>
  </si>
  <si>
    <t>per 40 ft Container loose up to 4000 cartons</t>
  </si>
  <si>
    <t>LCL shipments (truck/sea/air)</t>
  </si>
  <si>
    <t>per pallet</t>
  </si>
  <si>
    <t>Putaway</t>
  </si>
  <si>
    <t>Pallets shrinkwrapped</t>
  </si>
  <si>
    <t>per Pallets shrinkwrapped</t>
  </si>
  <si>
    <t>Pallets putaway</t>
  </si>
  <si>
    <t>per Pallets putaway</t>
  </si>
  <si>
    <t>Cartons Putaway Up to 20kgs</t>
  </si>
  <si>
    <t>per Cartons putaway up to 20kgs</t>
  </si>
  <si>
    <t>Pallet Caps - 1 Per Pallet</t>
  </si>
  <si>
    <t>per Pallet Caps - 1 per pallet</t>
  </si>
  <si>
    <t>Layer board - 1 Per Pallet</t>
  </si>
  <si>
    <t>per Layer board - 1 per pallet</t>
  </si>
  <si>
    <t>Corner Boards - 4 Per Pallet</t>
  </si>
  <si>
    <t>per Corner Boards - 4 per pallet</t>
  </si>
  <si>
    <t>Return: Cartons Putaway</t>
  </si>
  <si>
    <t>per Return: cartons putaway</t>
  </si>
  <si>
    <t>Storage</t>
  </si>
  <si>
    <t>Rate UoM</t>
  </si>
  <si>
    <t>Racked Storage</t>
  </si>
  <si>
    <t>Per pallet - 1.2*1.2*1.4h - Sydney (ambient)</t>
  </si>
  <si>
    <t>per Pallet space per week or part thereof</t>
  </si>
  <si>
    <t>Account Management</t>
  </si>
  <si>
    <t>Management/Customer Service</t>
  </si>
  <si>
    <t>Sydney Weekly Management Fee</t>
  </si>
  <si>
    <t>per week</t>
  </si>
  <si>
    <t>Sydney Weekly Minimum Fee - if required</t>
  </si>
  <si>
    <t>General</t>
  </si>
  <si>
    <t>Additional Labour Fee per Hour</t>
  </si>
  <si>
    <t>per hour</t>
  </si>
  <si>
    <t>Additional Labour &amp; Forklift Fee per Hour</t>
  </si>
  <si>
    <t>Outbound</t>
  </si>
  <si>
    <t>B2B Outward edi order - orders in the system by 12pm</t>
  </si>
  <si>
    <t>per Outward edi order</t>
  </si>
  <si>
    <t>B2C Outward edi order - orders in the system by 10am</t>
  </si>
  <si>
    <t>DC Booking Fee</t>
  </si>
  <si>
    <t>per DC booking</t>
  </si>
  <si>
    <t>Urgent Order Fee - orders placed after 1pm for same day</t>
  </si>
  <si>
    <t>picking</t>
  </si>
  <si>
    <t>per Urgent order</t>
  </si>
  <si>
    <t>Picking</t>
  </si>
  <si>
    <t>Full pallets picked</t>
  </si>
  <si>
    <t>per Full pallets picked</t>
  </si>
  <si>
    <t>Cartons picked up to 20kgs</t>
  </si>
  <si>
    <t>per Cartons picked up to 20kgs</t>
  </si>
  <si>
    <t>Pallet Caps - 1 per pallet</t>
  </si>
  <si>
    <t>Layer board - 1 per pallet</t>
  </si>
  <si>
    <t>Corner Boards - 4 per pallet</t>
  </si>
  <si>
    <t>Packing</t>
  </si>
  <si>
    <t>Cartons repacked</t>
  </si>
  <si>
    <t>per Cartons repacked</t>
  </si>
  <si>
    <t>Chemist Warehouse Pallet Restack Fee</t>
  </si>
  <si>
    <t>SSCC labels - 2 labels per pallet</t>
  </si>
  <si>
    <t>per SSCC labels - 2 labels per pallet</t>
  </si>
  <si>
    <t>Shipping labels - 2 labels per pallet</t>
  </si>
  <si>
    <t>per Shipping labels - 2 labels per pallet</t>
  </si>
  <si>
    <t>Loadout</t>
  </si>
  <si>
    <t>Truck Loading Fee - Cartons</t>
  </si>
  <si>
    <t>per carton</t>
  </si>
  <si>
    <t>Truck Loading Fee - Pallets</t>
  </si>
  <si>
    <t>Sundry</t>
  </si>
  <si>
    <t>Consumables</t>
  </si>
  <si>
    <t>per consumable</t>
  </si>
  <si>
    <t>cost + 10%</t>
  </si>
  <si>
    <t>Plain Pallet</t>
  </si>
  <si>
    <t>price per plain pallet</t>
  </si>
  <si>
    <t>Rubbish Removal</t>
  </si>
  <si>
    <t>price per removal</t>
  </si>
  <si>
    <t>Administration</t>
  </si>
  <si>
    <t>Hire Pallet Hireage Fee</t>
  </si>
  <si>
    <t>price per hire pallet</t>
  </si>
  <si>
    <t>Hire Pallet Issue Fee</t>
  </si>
  <si>
    <t>price per pallet issue</t>
  </si>
  <si>
    <t>Hire DC Delay</t>
  </si>
  <si>
    <t>price per DC delay</t>
  </si>
  <si>
    <t>Inbound</t>
  </si>
  <si>
    <t>Currency</t>
  </si>
  <si>
    <t>Full Truck Load - Sydney Metro</t>
  </si>
  <si>
    <t>Column3</t>
  </si>
  <si>
    <t>Column4</t>
  </si>
  <si>
    <t>Rascal</t>
  </si>
  <si>
    <t>Shenzhen</t>
  </si>
  <si>
    <t>Felixstowe</t>
  </si>
  <si>
    <t>40NOR/GP</t>
  </si>
  <si>
    <t>1300</t>
  </si>
  <si>
    <t>50-75 days</t>
  </si>
  <si>
    <t>Xiamen</t>
  </si>
  <si>
    <t>40HQ</t>
  </si>
  <si>
    <t>Shanghai</t>
  </si>
  <si>
    <t>Hamburg</t>
  </si>
  <si>
    <t>770</t>
  </si>
  <si>
    <t>EUR$</t>
  </si>
  <si>
    <t>53-75 days</t>
  </si>
  <si>
    <t xml:space="preserve"> Rotterdam</t>
  </si>
  <si>
    <t>1350</t>
  </si>
  <si>
    <t>49-75 days</t>
  </si>
  <si>
    <t>Toronto</t>
  </si>
  <si>
    <t>485</t>
  </si>
  <si>
    <t>US$</t>
  </si>
  <si>
    <t>40-63 days</t>
  </si>
  <si>
    <t>IRL</t>
  </si>
  <si>
    <t>Dublin</t>
  </si>
  <si>
    <t>1200</t>
  </si>
  <si>
    <t>55-90 days</t>
  </si>
  <si>
    <t>HBH</t>
  </si>
  <si>
    <t>Auckland</t>
  </si>
  <si>
    <t>35-60 days</t>
  </si>
  <si>
    <t>USLA/USLB</t>
  </si>
  <si>
    <t>1100</t>
  </si>
  <si>
    <t>28-36 days</t>
  </si>
  <si>
    <t>Beauty</t>
  </si>
  <si>
    <t>40NOR</t>
  </si>
  <si>
    <t>USLA/USLB DG</t>
  </si>
  <si>
    <t>Sydney</t>
  </si>
  <si>
    <t>40GP/40NOR</t>
  </si>
  <si>
    <t>25-38 days</t>
  </si>
  <si>
    <t>GUMI</t>
  </si>
  <si>
    <t>40HQ Refeer</t>
  </si>
  <si>
    <t>Felixstowe DG</t>
  </si>
  <si>
    <t>copenhagen</t>
  </si>
  <si>
    <t>1500</t>
  </si>
  <si>
    <t>67-83 days</t>
  </si>
  <si>
    <t>Rotterdam</t>
  </si>
  <si>
    <t>40 Refeer CTNR</t>
  </si>
  <si>
    <t>Italy</t>
  </si>
  <si>
    <t>Genoa</t>
  </si>
  <si>
    <t>55-75 days</t>
  </si>
  <si>
    <t>France</t>
  </si>
  <si>
    <t>Fos(Rhenus)</t>
  </si>
  <si>
    <t>1720</t>
  </si>
  <si>
    <t>Spain</t>
  </si>
  <si>
    <t>Barcelona</t>
  </si>
  <si>
    <t>1800</t>
  </si>
  <si>
    <t>DE/PL/NL</t>
  </si>
  <si>
    <t>Bonkers</t>
  </si>
  <si>
    <t>Xingang</t>
  </si>
  <si>
    <t>Qingdao</t>
  </si>
  <si>
    <t>33-40 days</t>
  </si>
  <si>
    <t>Houston(RJW)</t>
  </si>
  <si>
    <t>3600</t>
  </si>
  <si>
    <t>35-55 days</t>
  </si>
  <si>
    <t>Songkhla</t>
  </si>
  <si>
    <t>Dallas(RJW)</t>
  </si>
  <si>
    <t>45-65 days</t>
  </si>
  <si>
    <t>40-60 days</t>
  </si>
  <si>
    <t>Nood</t>
  </si>
  <si>
    <t>Gdansk</t>
  </si>
  <si>
    <t>3900</t>
  </si>
  <si>
    <t>Brand.1</t>
  </si>
  <si>
    <t>Country</t>
  </si>
  <si>
    <t>POL</t>
  </si>
  <si>
    <t>POD</t>
  </si>
  <si>
    <t>Estimated Sea Freight MIN USD</t>
  </si>
  <si>
    <t>Estimated Sea Freight MAX USD</t>
  </si>
  <si>
    <t>Estimated Sea Freight AVE USD</t>
  </si>
  <si>
    <t>Container type</t>
  </si>
  <si>
    <t>Destination cost value</t>
  </si>
  <si>
    <t>Original cost currency</t>
  </si>
  <si>
    <t>Destinatio cost</t>
  </si>
  <si>
    <t>Destination cost currency</t>
  </si>
  <si>
    <t>Estimate Leadtime(Door to Door)Cover 80%-90% Shipments in Mar</t>
  </si>
  <si>
    <t>1) Please provide either the SAP # only or all data for the gray columns.</t>
  </si>
  <si>
    <r>
      <t xml:space="preserve">2) Mandatory columns are colored in </t>
    </r>
    <r>
      <rPr>
        <sz val="11"/>
        <color rgb="FFC00000"/>
        <rFont val="Aptos Narrow"/>
        <family val="2"/>
        <scheme val="minor"/>
      </rPr>
      <t>RED</t>
    </r>
    <r>
      <rPr>
        <sz val="11"/>
        <color theme="1"/>
        <rFont val="Aptos Narrow"/>
        <family val="2"/>
        <scheme val="minor"/>
      </rPr>
      <t>.</t>
    </r>
  </si>
  <si>
    <t>3)Please select the estimated place of destination in the column below.</t>
  </si>
  <si>
    <t>4) Check and select the proper parameters in the support table.</t>
  </si>
  <si>
    <t>5) Click on the Refresh icon.</t>
  </si>
  <si>
    <t>6) Wait until queries update.</t>
  </si>
  <si>
    <t>7) Click on the Extract Button.</t>
  </si>
  <si>
    <t>%</t>
  </si>
  <si>
    <t>Total</t>
  </si>
  <si>
    <t>Total Weight</t>
  </si>
  <si>
    <t>Quantity</t>
  </si>
  <si>
    <t>Full Track(pallets)</t>
  </si>
  <si>
    <t>Delivery Cost</t>
  </si>
  <si>
    <t>Total Logistic Cost</t>
  </si>
  <si>
    <t>Estimated Cases per Pallet By Volume</t>
  </si>
  <si>
    <t>Storage Requirement (Pallet)</t>
  </si>
  <si>
    <t>Weight per Pallet (kgs)</t>
  </si>
  <si>
    <t>Annual Seafreight Cost</t>
  </si>
  <si>
    <t>Seafreight Cost per Unit</t>
  </si>
  <si>
    <t>Annual WH Cost</t>
  </si>
  <si>
    <t>WH Cost per Unit</t>
  </si>
  <si>
    <t>Total Logistic Cost per Unit</t>
  </si>
  <si>
    <t>Max volume per pallet(CBM)</t>
  </si>
  <si>
    <t>Pallet Weight(KG)</t>
  </si>
  <si>
    <t>WIDTH(CM)</t>
  </si>
  <si>
    <t>DEPTH(CM)</t>
  </si>
  <si>
    <t>HEIGHT(CM)</t>
  </si>
  <si>
    <t>WEIGHT(KG)</t>
  </si>
  <si>
    <t>RETAIL UNITS PER MASTER SHIPPER PKG</t>
  </si>
  <si>
    <t>ANNUAL UNITS</t>
  </si>
  <si>
    <t>DAISE</t>
  </si>
  <si>
    <t>13601-S003-V001FRAGRANCE BODY MISTROSE &amp; SANDALWOOD</t>
  </si>
  <si>
    <t>13602-S003-V001FRAGRANCE BODY MISTRASPBERRY &amp; MINT</t>
  </si>
  <si>
    <t>13603-S003-V001FRAGRANCE BODY MISTBERRY &amp; MANDARIN</t>
  </si>
  <si>
    <t>13604-S003-V001FRAGRANCE BODY MISTPEAR &amp; PATCHOULI</t>
  </si>
  <si>
    <t>13605-S003-V001FRAGRANCE BODY MISTVANILLA &amp; COCONUT</t>
  </si>
  <si>
    <t>13606-S003-V001FRAGRANCE BODY MISTGRAPE &amp; AMBER</t>
  </si>
  <si>
    <t>13613TQ1-S001-V001BATH BOMBLOVE ME</t>
  </si>
  <si>
    <t>13615TQ1-S001-V001BATH BOMBDISCO</t>
  </si>
  <si>
    <t>13617TQ1-S001-V001BATH BOMBCANDY DREAM</t>
  </si>
  <si>
    <t>13619TQ1-S001-V001BATH BOMBSUNDAE</t>
  </si>
  <si>
    <t>13621TQ1-S001-V001BATH BOMBFIZZED UP</t>
  </si>
  <si>
    <t>13623TQ1-S001-V001BATH BOMBBRB</t>
  </si>
  <si>
    <t>13625-S001-V001ALL BODY SPRAY &amp; DEODORANTLOWKEY</t>
  </si>
  <si>
    <t>13626-S001-V001ALL BODY SPRAY &amp; DEODORANTHELLO</t>
  </si>
  <si>
    <t>13627-S001-V001ALL BODY SPRAY &amp; DEODORANTPEACHY</t>
  </si>
  <si>
    <t>13628-S001-V001ALL BODY SPRAY &amp; DEODORANTOH SO</t>
  </si>
  <si>
    <t>13629-S001-V001ALL BODY SPRAY &amp; DEODORANTSUNNY</t>
  </si>
  <si>
    <t>13630-S001-V001ALL BODY SPRAY &amp; DEODORANTHAPPY</t>
  </si>
  <si>
    <t>13631-S003-V001FOAMING BODY WASHVANILLA</t>
  </si>
  <si>
    <t>13632-S003-V001FOAMING BODY WASHCHERRY</t>
  </si>
  <si>
    <t>13633-S003-V001FOAMING BODY WASHMELON</t>
  </si>
  <si>
    <t>13634-S003-V001FOAMING BODY WASHCOCONUT</t>
  </si>
  <si>
    <t>13635-S003-V001FOAMING BODY WASHPOMEGRANATE</t>
  </si>
  <si>
    <t>13636-S003-V001FOAMING BODY WASHPINEAPPLE</t>
  </si>
  <si>
    <t>13637-S004-V001BODY SCRUBCOCONUT</t>
  </si>
  <si>
    <t>13638-S004-V001BODY SCRUBCHERRY</t>
  </si>
  <si>
    <t>13639-S004-V001BODY SCRUBMELON</t>
  </si>
  <si>
    <t>13640-S004-V001BODY SCRUBVANILLA</t>
  </si>
  <si>
    <t>13641-S004-V001BODY SCRUBPOMEGRANATE</t>
  </si>
  <si>
    <t>13642-S004-V001BODY SCRUBPINEAPPLE</t>
  </si>
  <si>
    <t>13643TQ1-S001-V001LIP BALMVERY VANILLA</t>
  </si>
  <si>
    <t>13644TQ1-S001-V001LIP BALMSTRAWBERRY KISS</t>
  </si>
  <si>
    <t>13645TQ1-S001-V001LIP BALMWATERMELON CRUSH</t>
  </si>
  <si>
    <t>13646TQ1-S001-V001LIP BALMCOCONUT BREEZE</t>
  </si>
  <si>
    <t>13647TQ1-S001-V001LIP BALMJUICY POMEGRANATE</t>
  </si>
  <si>
    <t>13648TQ1-S001-V001LIP BALMPEPPY PEPPERMINT</t>
  </si>
  <si>
    <t>13658-S001-V001GIFTSETGIFTSET MIST</t>
  </si>
  <si>
    <t>13660-S001-V001GIFTSETGIFTSET 6X LIP</t>
  </si>
  <si>
    <t>13661-S004-V001GIFTSETGIFTSET BATH BOMB SCRUB 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</si>
</sst>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&quot;$&quot;#,##0.00"/>
    <numFmt numFmtId="168" formatCode="0.0%"/>
    <numFmt numFmtId="169" formatCode="0.000"/>
    <numFmt numFmtId="170" formatCode="_ * #,##0_ ;_ * \-#,##0_ ;_ * &quot;-&quot;??_ ;_ @_ 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</font>
    <font>
      <sz val="9"/>
      <color theme="0"/>
      <name val="Aptos Narrow"/>
      <family val="2"/>
    </font>
    <font>
      <sz val="11"/>
      <name val="Aptos Narrow"/>
      <family val="2"/>
      <scheme val="minor"/>
    </font>
    <font>
      <sz val="11"/>
      <name val="Aptos Narrow"/>
      <family val="2"/>
    </font>
    <font>
      <sz val="11"/>
      <color rgb="FFC0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63">
    <xf numFmtId="0" fontId="0" fillId="0" borderId="0" xfId="0"/>
    <xf numFmtId="0" fontId="0" fillId="2" borderId="3" xfId="0" applyFill="1" applyBorder="1"/>
    <xf numFmtId="0" fontId="0" fillId="0" borderId="3" xfId="0" applyBorder="1"/>
    <xf numFmtId="0" fontId="0" fillId="3" borderId="0" xfId="0" applyFill="1"/>
    <xf numFmtId="1" fontId="0" fillId="0" borderId="0" xfId="0" applyNumberFormat="1"/>
    <xf numFmtId="0" fontId="0" fillId="0" borderId="0" xfId="0" applyAlignment="1">
      <alignment vertical="center"/>
    </xf>
    <xf numFmtId="166" fontId="4" fillId="3" borderId="12" xfId="1" applyNumberFormat="1" applyFont="1" applyFill="1" applyBorder="1" applyAlignment="1">
      <alignment horizont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3" borderId="0" xfId="0" applyFill="1" applyAlignment="1">
      <alignment vertical="center"/>
    </xf>
    <xf numFmtId="168" fontId="0" fillId="0" borderId="0" xfId="2" applyNumberFormat="1" applyFont="1"/>
    <xf numFmtId="0" fontId="0" fillId="5" borderId="2" xfId="0" applyFill="1" applyBorder="1"/>
    <xf numFmtId="0" fontId="9" fillId="3" borderId="0" xfId="0" applyFont="1" applyFill="1"/>
    <xf numFmtId="0" fontId="0" fillId="4" borderId="0" xfId="0" applyFill="1"/>
    <xf numFmtId="0" fontId="0" fillId="4" borderId="8" xfId="0" applyFill="1" applyBorder="1" applyAlignment="1">
      <alignment vertical="center"/>
    </xf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9" xfId="0" applyFill="1" applyBorder="1" applyAlignment="1">
      <alignment horizontal="left" vertical="center"/>
    </xf>
    <xf numFmtId="4" fontId="0" fillId="0" borderId="0" xfId="0" applyNumberFormat="1"/>
    <xf numFmtId="3" fontId="0" fillId="0" borderId="0" xfId="0" applyNumberFormat="1"/>
    <xf numFmtId="167" fontId="4" fillId="3" borderId="9" xfId="1" applyNumberFormat="1" applyFont="1" applyFill="1" applyBorder="1" applyAlignment="1">
      <alignment horizontal="center" wrapText="1"/>
    </xf>
    <xf numFmtId="0" fontId="6" fillId="6" borderId="13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 wrapText="1"/>
    </xf>
    <xf numFmtId="0" fontId="6" fillId="6" borderId="14" xfId="0" applyFont="1" applyFill="1" applyBorder="1" applyAlignment="1">
      <alignment horizontal="center" vertical="center" wrapText="1"/>
    </xf>
    <xf numFmtId="166" fontId="4" fillId="3" borderId="14" xfId="1" applyNumberFormat="1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/>
    <xf numFmtId="0" fontId="0" fillId="5" borderId="0" xfId="0" applyFill="1"/>
    <xf numFmtId="0" fontId="0" fillId="4" borderId="9" xfId="0" applyFill="1" applyBorder="1" applyAlignment="1">
      <alignment vertical="center"/>
    </xf>
    <xf numFmtId="0" fontId="0" fillId="4" borderId="5" xfId="0" applyFill="1" applyBorder="1"/>
    <xf numFmtId="0" fontId="0" fillId="5" borderId="9" xfId="0" applyFill="1" applyBorder="1"/>
    <xf numFmtId="164" fontId="0" fillId="0" borderId="0" xfId="0" applyNumberFormat="1"/>
    <xf numFmtId="169" fontId="0" fillId="0" borderId="0" xfId="0" applyNumberFormat="1"/>
    <xf numFmtId="10" fontId="0" fillId="0" borderId="0" xfId="2" applyNumberFormat="1" applyFont="1"/>
    <xf numFmtId="164" fontId="0" fillId="0" borderId="0" xfId="3" applyFont="1"/>
    <xf numFmtId="0" fontId="0" fillId="4" borderId="0" xfId="0" applyFill="1" applyAlignment="1">
      <alignment vertical="center" wrapText="1"/>
    </xf>
    <xf numFmtId="168" fontId="0" fillId="0" borderId="0" xfId="0" applyNumberFormat="1"/>
    <xf numFmtId="10" fontId="0" fillId="0" borderId="0" xfId="0" applyNumberFormat="1"/>
    <xf numFmtId="165" fontId="0" fillId="0" borderId="0" xfId="1" applyFont="1"/>
    <xf numFmtId="0" fontId="0" fillId="0" borderId="0" xfId="3" applyNumberFormat="1" applyFont="1"/>
    <xf numFmtId="2" fontId="0" fillId="0" borderId="0" xfId="3" applyNumberFormat="1" applyFont="1"/>
    <xf numFmtId="2" fontId="0" fillId="0" borderId="0" xfId="0" applyNumberFormat="1"/>
    <xf numFmtId="165" fontId="0" fillId="0" borderId="0" xfId="0" applyNumberFormat="1"/>
    <xf numFmtId="168" fontId="0" fillId="4" borderId="0" xfId="2" applyNumberFormat="1" applyFont="1" applyFill="1"/>
    <xf numFmtId="4" fontId="0" fillId="4" borderId="0" xfId="0" applyNumberFormat="1" applyFill="1"/>
    <xf numFmtId="1" fontId="0" fillId="0" borderId="0" xfId="3" applyNumberFormat="1" applyFont="1"/>
    <xf numFmtId="0" fontId="0" fillId="6" borderId="0" xfId="0" applyFill="1"/>
    <xf numFmtId="0" fontId="11" fillId="6" borderId="0" xfId="0" applyFont="1" applyFill="1" applyAlignment="1">
      <alignment horizontal="center" vertical="center"/>
    </xf>
    <xf numFmtId="2" fontId="0" fillId="0" borderId="0" xfId="0" applyNumberFormat="1" applyAlignment="1">
      <alignment horizontal="right"/>
    </xf>
    <xf numFmtId="2" fontId="11" fillId="6" borderId="0" xfId="0" applyNumberFormat="1" applyFont="1" applyFill="1" applyAlignment="1">
      <alignment horizontal="right"/>
    </xf>
    <xf numFmtId="170" fontId="6" fillId="0" borderId="0" xfId="0" applyNumberFormat="1" applyFont="1" applyAlignment="1">
      <alignment vertical="top"/>
    </xf>
    <xf numFmtId="166" fontId="4" fillId="3" borderId="10" xfId="1" applyNumberFormat="1" applyFont="1" applyFill="1" applyBorder="1" applyAlignment="1">
      <alignment horizontal="center" wrapText="1"/>
    </xf>
    <xf numFmtId="167" fontId="5" fillId="3" borderId="9" xfId="1" applyNumberFormat="1" applyFont="1" applyFill="1" applyBorder="1" applyAlignment="1">
      <alignment horizontal="center" wrapText="1"/>
    </xf>
    <xf numFmtId="0" fontId="0" fillId="7" borderId="0" xfId="0" applyFill="1"/>
  </cellXfs>
  <cellStyles count="4">
    <cellStyle name="Comma" xfId="1" builtinId="3"/>
    <cellStyle name="Currency" xfId="3" builtinId="4"/>
    <cellStyle name="Normal" xfId="0" builtinId="0"/>
    <cellStyle name="Per cent" xfId="2" builtinId="5"/>
  </cellStyles>
  <dxfs count="103">
    <dxf>
      <numFmt numFmtId="168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" formatCode="0"/>
    </dxf>
    <dxf>
      <numFmt numFmtId="4" formatCode="#,##0.0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_-* #,##0.00_-;\-* #,##0.00_-;_-* &quot;-&quot;??_-;_-@_-"/>
    </dxf>
    <dxf>
      <numFmt numFmtId="2" formatCode="0.00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4" formatCode="0.00%"/>
    </dxf>
    <dxf>
      <numFmt numFmtId="4" formatCode="#,##0.00"/>
    </dxf>
    <dxf>
      <numFmt numFmtId="1" formatCode="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numFmt numFmtId="168" formatCode="0.0%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3" formatCode="#,##0"/>
    </dxf>
    <dxf>
      <numFmt numFmtId="3" formatCode="#,##0"/>
    </dxf>
    <dxf>
      <numFmt numFmtId="164" formatCode="_-&quot;$&quot;* #,##0.00_-;\-&quot;$&quot;* #,##0.00_-;_-&quot;$&quot;* &quot;-&quot;??_-;_-@_-"/>
    </dxf>
    <dxf>
      <numFmt numFmtId="164" formatCode="_-&quot;$&quot;* #,##0.00_-;\-&quot;$&quot;* #,##0.00_-;_-&quot;$&quot;* &quot;-&quot;??_-;_-@_-"/>
    </dxf>
    <dxf>
      <numFmt numFmtId="168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indexed="64"/>
          <bgColor rgb="FFC00000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C00000"/>
        </patternFill>
      </fill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none"/>
      </font>
      <numFmt numFmtId="167" formatCode="&quot;$&quot;#,##0.00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none"/>
      </font>
      <numFmt numFmtId="166" formatCode="_-* #,##0_-;\-* #,##0_-;_-* &quot;-&quot;??_-;_-@_-"/>
      <fill>
        <patternFill patternType="solid">
          <fgColor indexed="64"/>
          <bgColor rgb="FFC00000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color rgb="FF000000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2" formatCode="0.00"/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2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3" xr9:uid="{A211B084-C8D9-4F0D-B639-A79FA10B168B}">
      <tableStyleElement type="wholeTable" dxfId="102"/>
      <tableStyleElement type="headerRow" dxfId="101"/>
      <tableStyleElement type="totalRow" dxfId="10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1104901</xdr:colOff>
      <xdr:row>10</xdr:row>
      <xdr:rowOff>31750</xdr:rowOff>
    </xdr:from>
    <xdr:to>
      <xdr:col>14</xdr:col>
      <xdr:colOff>587376</xdr:colOff>
      <xdr:row>12</xdr:row>
      <xdr:rowOff>95250</xdr:rowOff>
    </xdr:to>
    <xdr:sp macro="[0]!ExportTablesToNewWorkbook1" textlink="">
      <xdr:nvSpPr>
        <xdr:cNvPr id="2" name="Rectangle 1">
          <a:extLst>
            <a:ext uri="{FF2B5EF4-FFF2-40B4-BE49-F238E27FC236}">
              <a16:creationId xmlns:a16="http://schemas.microsoft.com/office/drawing/2014/main" id="{FF0DA174-F3AF-096A-658E-2B5E5D09A3F4}"/>
            </a:ext>
          </a:extLst>
        </xdr:cNvPr>
        <xdr:cNvSpPr/>
      </xdr:nvSpPr>
      <xdr:spPr>
        <a:xfrm>
          <a:off x="15649576" y="2432050"/>
          <a:ext cx="1025525" cy="444500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Extract</a:t>
          </a:r>
          <a:r>
            <a:rPr lang="en-NZ" sz="1100" b="1" baseline="0"/>
            <a:t> Results</a:t>
          </a:r>
          <a:endParaRPr lang="en-NZ" sz="1100" b="1"/>
        </a:p>
      </xdr:txBody>
    </xdr:sp>
    <xdr:clientData/>
  </xdr:twoCellAnchor>
  <xdr:twoCellAnchor editAs="oneCell">
    <xdr:from>
      <xdr:col>13</xdr:col>
      <xdr:colOff>117476</xdr:colOff>
      <xdr:row>9</xdr:row>
      <xdr:rowOff>31751</xdr:rowOff>
    </xdr:from>
    <xdr:to>
      <xdr:col>13</xdr:col>
      <xdr:colOff>911226</xdr:colOff>
      <xdr:row>13</xdr:row>
      <xdr:rowOff>57151</xdr:rowOff>
    </xdr:to>
    <xdr:pic macro="[0]!Refresh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E18B07DC-4D67-6318-81FD-4CB0B0933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662151" y="2241551"/>
          <a:ext cx="787400" cy="787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7</xdr:row>
      <xdr:rowOff>28575</xdr:rowOff>
    </xdr:from>
    <xdr:to>
      <xdr:col>6</xdr:col>
      <xdr:colOff>542924</xdr:colOff>
      <xdr:row>9</xdr:row>
      <xdr:rowOff>76200</xdr:rowOff>
    </xdr:to>
    <xdr:sp macro="[0]!Standard" textlink="">
      <xdr:nvSpPr>
        <xdr:cNvPr id="2" name="Rectangle 1">
          <a:extLst>
            <a:ext uri="{FF2B5EF4-FFF2-40B4-BE49-F238E27FC236}">
              <a16:creationId xmlns:a16="http://schemas.microsoft.com/office/drawing/2014/main" id="{7C6AE0CA-0B7E-8425-4EC8-2BF518566FEC}"/>
            </a:ext>
          </a:extLst>
        </xdr:cNvPr>
        <xdr:cNvSpPr/>
      </xdr:nvSpPr>
      <xdr:spPr>
        <a:xfrm>
          <a:off x="6981824" y="13620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Standard Selection</a:t>
          </a:r>
        </a:p>
      </xdr:txBody>
    </xdr:sp>
    <xdr:clientData/>
  </xdr:twoCellAnchor>
  <xdr:twoCellAnchor>
    <xdr:from>
      <xdr:col>4</xdr:col>
      <xdr:colOff>142875</xdr:colOff>
      <xdr:row>10</xdr:row>
      <xdr:rowOff>66675</xdr:rowOff>
    </xdr:from>
    <xdr:to>
      <xdr:col>6</xdr:col>
      <xdr:colOff>552450</xdr:colOff>
      <xdr:row>12</xdr:row>
      <xdr:rowOff>114300</xdr:rowOff>
    </xdr:to>
    <xdr:sp macro="[0]!Clear_All" textlink="">
      <xdr:nvSpPr>
        <xdr:cNvPr id="3" name="Rectangle 2">
          <a:extLst>
            <a:ext uri="{FF2B5EF4-FFF2-40B4-BE49-F238E27FC236}">
              <a16:creationId xmlns:a16="http://schemas.microsoft.com/office/drawing/2014/main" id="{AAE7175B-D6D3-46DD-B8C0-4B7B290A5D7F}"/>
            </a:ext>
          </a:extLst>
        </xdr:cNvPr>
        <xdr:cNvSpPr/>
      </xdr:nvSpPr>
      <xdr:spPr>
        <a:xfrm>
          <a:off x="6991350" y="1971675"/>
          <a:ext cx="1628775" cy="428625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100" b="1"/>
            <a:t>Clear ALL</a:t>
          </a:r>
        </a:p>
      </xdr:txBody>
    </xdr:sp>
    <xdr:clientData/>
  </xdr:twoCellAnchor>
  <xdr:twoCellAnchor>
    <xdr:from>
      <xdr:col>4</xdr:col>
      <xdr:colOff>152400</xdr:colOff>
      <xdr:row>0</xdr:row>
      <xdr:rowOff>171450</xdr:rowOff>
    </xdr:from>
    <xdr:to>
      <xdr:col>6</xdr:col>
      <xdr:colOff>523875</xdr:colOff>
      <xdr:row>6</xdr:row>
      <xdr:rowOff>76200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A121A3-0F4F-EE9E-B89D-D24B8C8782B4}"/>
            </a:ext>
          </a:extLst>
        </xdr:cNvPr>
        <xdr:cNvSpPr txBox="1"/>
      </xdr:nvSpPr>
      <xdr:spPr>
        <a:xfrm>
          <a:off x="7000875" y="171450"/>
          <a:ext cx="1590675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NZ"/>
            <a:t>Please select Warehouse options and fill empty cells in red if necessary. Afterwards, click on the Refresh button.</a:t>
          </a:r>
          <a:endParaRPr lang="en-NZ" sz="1100"/>
        </a:p>
      </xdr:txBody>
    </xdr:sp>
    <xdr:clientData/>
  </xdr:twoCellAnchor>
  <xdr:twoCellAnchor editAs="oneCell">
    <xdr:from>
      <xdr:col>4</xdr:col>
      <xdr:colOff>495300</xdr:colOff>
      <xdr:row>14</xdr:row>
      <xdr:rowOff>9525</xdr:rowOff>
    </xdr:from>
    <xdr:to>
      <xdr:col>6</xdr:col>
      <xdr:colOff>193675</xdr:colOff>
      <xdr:row>18</xdr:row>
      <xdr:rowOff>168275</xdr:rowOff>
    </xdr:to>
    <xdr:pic macro="[0]!Refresh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A6F767C6-1C4D-4D55-BA3D-99B97BB82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43775" y="2676525"/>
          <a:ext cx="917575" cy="91757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6C2BA7D-F142-491B-ABBC-4D01ABF6EBC6}" autoFormatId="16" applyNumberFormats="0" applyBorderFormats="0" applyFontFormats="0" applyPatternFormats="0" applyAlignmentFormats="0" applyWidthHeightFormats="0">
  <queryTableRefresh nextId="11">
    <queryTableFields count="6">
      <queryTableField id="1" name="Stage" tableColumnId="1"/>
      <queryTableField id="6" name="Description" tableColumnId="6"/>
      <queryTableField id="3" name="Quantity" tableColumnId="3"/>
      <queryTableField id="7" name="Rate" tableColumnId="7"/>
      <queryTableField id="8" name="Total" tableColumnId="8"/>
      <queryTableField id="10" name="% of Total 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662AF442-CC83-4E8C-A504-84D63E8F4812}" autoFormatId="16" applyNumberFormats="0" applyBorderFormats="0" applyFontFormats="0" applyPatternFormats="0" applyAlignmentFormats="0" applyWidthHeightFormats="0">
  <queryTableRefresh nextId="17">
    <queryTableFields count="6">
      <queryTableField id="1" name="BRAND DESCRIPTION" tableColumnId="1"/>
      <queryTableField id="2" name="ITEM" tableColumnId="2"/>
      <queryTableField id="11" name="MELBOURNE" tableColumnId="4"/>
      <queryTableField id="12" name="PERTH" tableColumnId="5"/>
      <queryTableField id="13" name="TOOWOOMBA" tableColumnId="6"/>
      <queryTableField id="10" name="SYDNEY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BBD2E69-B3B9-4A8D-8026-6FA615518A8B}" autoFormatId="16" applyNumberFormats="0" applyBorderFormats="0" applyFontFormats="0" applyPatternFormats="0" applyAlignmentFormats="0" applyWidthHeightFormats="0">
  <queryTableRefresh nextId="69">
    <queryTableFields count="30">
      <queryTableField id="55" name="BRAND_x000a_DESCRIPTION" tableColumnId="1"/>
      <queryTableField id="3" name="ITEM" tableColumnId="3"/>
      <queryTableField id="56" name="WIDTH(CM)" tableColumnId="2"/>
      <queryTableField id="57" name="DEPTH(CM)" tableColumnId="4"/>
      <queryTableField id="58" name="HEIGHT(CM)" tableColumnId="5"/>
      <queryTableField id="59" name="WEIGHT(KG)" tableColumnId="6"/>
      <queryTableField id="60" name="RETAIL UNITS PER MASTER SHIPPER PKG" tableColumnId="7"/>
      <queryTableField id="61" name="ANNUAL UNITS" tableColumnId="8"/>
      <queryTableField id="12" name="QUOTE USD" tableColumnId="12"/>
      <queryTableField id="13" name="Annual Case Quantity" tableColumnId="13"/>
      <queryTableField id="51" name="Estimated Cases per Pallet By Volume" tableColumnId="14"/>
      <queryTableField id="15" name="Pallet Quantity" tableColumnId="15"/>
      <queryTableField id="16" name="Monthly Sales" tableColumnId="16"/>
      <queryTableField id="52" name="Storage Requirement (Pallet)" tableColumnId="17"/>
      <queryTableField id="18" name="Weight per pallet (kgs)" tableColumnId="18"/>
      <queryTableField id="19" name="Total CBM" tableColumnId="19"/>
      <queryTableField id="20" name="Estimate Container QTY" tableColumnId="20"/>
      <queryTableField id="21" name="Revenue" tableColumnId="21"/>
      <queryTableField id="22" name="Total % of Space" tableColumnId="22"/>
      <queryTableField id="28" name="Total Weight" tableColumnId="28"/>
      <queryTableField id="27" name="Number of Trucks" tableColumnId="27"/>
      <queryTableField id="30" name="Annual Seafreight cost" tableColumnId="29"/>
      <queryTableField id="31" name="Seafreight cost per unit" tableColumnId="30"/>
      <queryTableField id="32" name="Annual WH cost" tableColumnId="31"/>
      <queryTableField id="33" name="WH cost per unit" tableColumnId="32"/>
      <queryTableField id="45" name="Delivery Cost" tableColumnId="23"/>
      <queryTableField id="43" name="Delivery Cost per Unit" tableColumnId="42"/>
      <queryTableField id="46" name="Total Logistic Cost" tableColumnId="24"/>
      <queryTableField id="47" name="Total Logistic Cost per unit" tableColumnId="25"/>
      <queryTableField id="42" name="% of Revenue" tableColumnId="4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A94AB0D9-1E6F-46D0-8C63-E055E5428310}" autoFormatId="16" applyNumberFormats="0" applyBorderFormats="0" applyFontFormats="0" applyPatternFormats="0" applyAlignmentFormats="0" applyWidthHeightFormats="0">
  <queryTableRefresh nextId="10">
    <queryTableFields count="9">
      <queryTableField id="1" name="To(Location)" tableColumnId="1"/>
      <queryTableField id="2" name="PER CON" tableColumnId="2"/>
      <queryTableField id="3" name="PER CON_1" tableColumnId="3"/>
      <queryTableField id="4" name="1-250 KG" tableColumnId="4"/>
      <queryTableField id="5" name="251-500 KG" tableColumnId="5"/>
      <queryTableField id="6" name="501-1000 KG" tableColumnId="6"/>
      <queryTableField id="7" name="1001-3000 KG" tableColumnId="7"/>
      <queryTableField id="8" name="3001-12000 KG" tableColumnId="8"/>
      <queryTableField id="9" name="12001+ KG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" xr16:uid="{097C05CE-9FE0-40FE-97DA-8C0D19A99777}" autoFormatId="16" applyNumberFormats="0" applyBorderFormats="0" applyFontFormats="0" applyPatternFormats="0" applyAlignmentFormats="0" applyWidthHeightFormats="0">
  <queryTableRefresh nextId="3">
    <queryTableFields count="2">
      <queryTableField id="1" name="Pricing Details" tableColumnId="1"/>
      <queryTableField id="2" name="Column2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83FF8C-95BC-4C19-8AA3-19EE343E4106}" name="Table10" displayName="Table10" ref="A2:I41" totalsRowShown="0" headerRowDxfId="99" headerRowBorderDxfId="98" tableBorderDxfId="97">
  <autoFilter ref="A2:I41" xr:uid="{D783FF8C-95BC-4C19-8AA3-19EE343E4106}"/>
  <tableColumns count="9">
    <tableColumn id="3" xr3:uid="{8C0D26FC-D8B5-41A8-BD03-2E92AFC7F277}" name="BRAND_x000a_DESCRIPTION" dataDxfId="96"/>
    <tableColumn id="6" xr3:uid="{76F975CA-4829-4C5B-AE97-8FE01F9B331D}" name="ITEM" dataDxfId="95"/>
    <tableColumn id="13" xr3:uid="{F7EBC377-1342-4B2D-8C3C-3E638309AE48}" name="MASTER SHIPPER _x000a_PKG WIDTH(CM)" dataDxfId="94"/>
    <tableColumn id="14" xr3:uid="{CF2A43AD-C57D-46A8-82A2-CD39BA393C06}" name="MASTER SHIPPER _x000a_PKG DEPTH(CM)" dataDxfId="93"/>
    <tableColumn id="15" xr3:uid="{259582FE-535C-4AC7-BEDC-43401EEAF9C7}" name="MASTER SHIPPER _x000a_PKG HEIGHT(CM)" dataDxfId="92"/>
    <tableColumn id="16" xr3:uid="{091A50C7-1D07-498B-BAEB-7F47FE7E5103}" name="MASTER SHIPPER _x000a_PKG GROSS WEIGHT(KG)" dataDxfId="91"/>
    <tableColumn id="5" xr3:uid="{DC74C2F9-071C-498A-812B-7E73D261AB28}" name="RETAIL UNITS _x000a_PER MASTER SHIPPER PKG" dataDxfId="90"/>
    <tableColumn id="8" xr3:uid="{60F4537D-1222-41C7-A203-6B21E96557B5}" name="Annual_x000a_Units" dataDxfId="89" dataCellStyle="Comma"/>
    <tableColumn id="18" xr3:uid="{AA678CF2-C24F-4C47-AE90-4FF0B8024E0D}" name="QUOTE USD" dataDxfId="88" dataCellStyle="Comma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0DB4AE1-CB0F-4472-B087-C50B8E452B22}" name="Table16" displayName="Table16" ref="K11:L25" totalsRowShown="0" headerRowDxfId="87" dataDxfId="86">
  <autoFilter ref="K11:L25" xr:uid="{40DB4AE1-CB0F-4472-B087-C50B8E452B22}"/>
  <tableColumns count="2">
    <tableColumn id="1" xr3:uid="{FFE6682E-4525-4DEF-AF1B-12B612733AA6}" name="DESTINATION " dataDxfId="85"/>
    <tableColumn id="2" xr3:uid="{6E79F31D-8F2D-4724-92FE-755CF1184491}" name="%" dataDxfId="8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733BE7-32BB-4C71-851B-EAEDBBDBFEFB}" name="Table4" displayName="Table4" ref="N15:O27" totalsRowShown="0" headerRowDxfId="83" dataDxfId="82">
  <autoFilter ref="N15:O27" xr:uid="{CB733BE7-32BB-4C71-851B-EAEDBBDBFEFB}"/>
  <tableColumns count="2">
    <tableColumn id="1" xr3:uid="{926DE0C5-E292-4888-B8A5-1AACBBA427AA}" name="Item" dataDxfId="81"/>
    <tableColumn id="2" xr3:uid="{9AD0AFB4-E00E-4521-B1D1-8FD6BFAB7BF1}" name="Value" dataDxfId="8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570EC2-4232-4313-87D2-1159E0E19652}" name="WHrate" displayName="WHrate" ref="A1:D40" totalsRowShown="0" headerRowDxfId="79">
  <autoFilter ref="A1:D40" xr:uid="{27570EC2-4232-4313-87D2-1159E0E19652}"/>
  <tableColumns count="4">
    <tableColumn id="1" xr3:uid="{06445078-A35A-404A-8B40-A0FCA128C778}" name="Description" dataDxfId="78"/>
    <tableColumn id="2" xr3:uid="{1C93E017-008B-4193-B663-CA2801096BA9}" name="Rate" dataDxfId="77"/>
    <tableColumn id="3" xr3:uid="{71130363-6D85-452A-A33C-410D7B80AAE6}" name="Apply" dataDxfId="76"/>
    <tableColumn id="4" xr3:uid="{A64991CC-CC3F-4917-B964-3F71CBF98102}" name="Values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C2CBF8-5A10-4918-AF6F-1C35441D11F9}" name="Card" displayName="Card" ref="A1:F18" tableType="queryTable" totalsRowCount="1">
  <autoFilter ref="A1:F17" xr:uid="{62C2CBF8-5A10-4918-AF6F-1C35441D11F9}"/>
  <tableColumns count="6">
    <tableColumn id="1" xr3:uid="{642684A6-CBB5-4B9E-B6A1-87A431FB5156}" uniqueName="1" name="Stage" queryTableFieldId="1" dataDxfId="75"/>
    <tableColumn id="6" xr3:uid="{2CBF4B0D-BDB9-4BE9-BD1B-A07C087E6286}" uniqueName="6" name="Description" queryTableFieldId="6" dataDxfId="74"/>
    <tableColumn id="3" xr3:uid="{372262EF-8A6B-4F7D-9505-F2530E01F309}" uniqueName="3" name="Quantity" queryTableFieldId="3" dataDxfId="48" totalsRowDxfId="49"/>
    <tableColumn id="7" xr3:uid="{DD68A7F5-82A9-4EC1-9444-D8F814AEE740}" uniqueName="7" name="Rate" queryTableFieldId="7" dataDxfId="47" totalsRowDxfId="50"/>
    <tableColumn id="8" xr3:uid="{B97C0E14-2DA5-4C7A-BCD5-81C719961F46}" uniqueName="8" name="Total" totalsRowFunction="custom" queryTableFieldId="8" dataDxfId="46" totalsRowDxfId="51">
      <totalsRowFormula>SUM(E2:E17)</totalsRowFormula>
    </tableColumn>
    <tableColumn id="9" xr3:uid="{537DFAB7-4B81-4397-84EA-3715FAEDC048}" uniqueName="9" name="% of Total Cost" queryTableFieldId="10" dataDxfId="45" totalsRowDxfId="52" dataCellStyle="Per cent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73F6EB5-E198-43DD-86A9-80BE1E6D1F75}" name="Product_destination" displayName="Product_destination" ref="A1:F40" tableType="queryTable" totalsRowShown="0">
  <autoFilter ref="A1:F40" xr:uid="{673F6EB5-E198-43DD-86A9-80BE1E6D1F75}"/>
  <tableColumns count="6">
    <tableColumn id="1" xr3:uid="{F84BDB62-313A-4A0E-98E0-6DDAB997BDB3}" uniqueName="1" name="BRAND DESCRIPTION" queryTableFieldId="1"/>
    <tableColumn id="2" xr3:uid="{E7B4810F-C6C3-4DC8-8FE7-D983C076905D}" uniqueName="2" name="ITEM" queryTableFieldId="2" dataDxfId="73"/>
    <tableColumn id="4" xr3:uid="{3DC832D4-7A58-4D00-999D-10E59756D842}" uniqueName="4" name="MELBOURNE" queryTableFieldId="11"/>
    <tableColumn id="5" xr3:uid="{46199A3D-BAF7-4E70-84BB-03B578F51644}" uniqueName="5" name="PERTH" queryTableFieldId="12"/>
    <tableColumn id="6" xr3:uid="{23B07409-964C-4DE2-AF88-E4C2A7083177}" uniqueName="6" name="TOOWOOMBA" queryTableFieldId="13"/>
    <tableColumn id="3" xr3:uid="{31D6A336-7FA3-4212-860F-57606C99E15C}" uniqueName="3" name="SYDNEY" queryTableFieldId="10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597CD3-C61E-4C6A-81DA-E59FA161495A}" name="Append1" displayName="Append1" ref="A1:D58" totalsRowShown="0">
  <autoFilter ref="A1:D58" xr:uid="{15597CD3-C61E-4C6A-81DA-E59FA161495A}"/>
  <tableColumns count="4">
    <tableColumn id="1" xr3:uid="{A62366C3-2CC4-4B52-A891-98CFBAD9AC98}" name="Inbound" dataDxfId="72"/>
    <tableColumn id="2" xr3:uid="{A2316407-3212-4EF7-A0E7-F6FDF9CF03FA}" name="Rate UoM" dataDxfId="71"/>
    <tableColumn id="3" xr3:uid="{7AB4C4FC-E0EA-4E37-8EC6-A425DA7599F8}" name="Currency" dataDxfId="70"/>
    <tableColumn id="4" xr3:uid="{215E4D8A-E554-4DD0-AE99-17744FB855B7}" name="Rate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3994D9-886E-44E7-80F2-2CE42252E165}" name="Table003__Page_2_8" displayName="Table003__Page_2_8" ref="A1:I263" totalsRowShown="0">
  <autoFilter ref="A1:I263" xr:uid="{B03994D9-886E-44E7-80F2-2CE42252E165}"/>
  <tableColumns count="9">
    <tableColumn id="1" xr3:uid="{586A04DA-EC53-41FA-BD6B-32DA1CF8A499}" name="To(Location)" dataDxfId="69"/>
    <tableColumn id="2" xr3:uid="{58B7D932-4CC9-448D-9E3C-8A12127AEDC5}" name="PER CON"/>
    <tableColumn id="3" xr3:uid="{C267B484-5BF1-4B36-B391-126AB8BBD216}" name="PER CON_1"/>
    <tableColumn id="4" xr3:uid="{DDF8F51B-EBEC-48F4-89CD-CB3DC2A8A6BE}" name="1-250 KG"/>
    <tableColumn id="5" xr3:uid="{2D68CC82-CA65-4FE4-96DB-59219BFB806D}" name="251-500 KG"/>
    <tableColumn id="6" xr3:uid="{4A88E69B-3785-43B4-8D80-B63448E7AE9F}" name="501-1000 KG"/>
    <tableColumn id="7" xr3:uid="{143E4224-92B4-406D-A4F3-AD13167B25FD}" name="1001-3000 KG"/>
    <tableColumn id="8" xr3:uid="{DF4CF61D-AF6E-4358-B2D9-236878FE8A51}" name="3001-12000 KG"/>
    <tableColumn id="9" xr3:uid="{B0EC5961-A1F2-49A8-88E9-D963F321D8C7}" name="12001+ KG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01C10BD-E8B4-47BD-B527-5BC6DCDBCBD0}" name="Table003__Page_2" displayName="Table003__Page_2" ref="A1:B13" totalsRowShown="0">
  <autoFilter ref="A1:B13" xr:uid="{901C10BD-E8B4-47BD-B527-5BC6DCDBCBD0}"/>
  <tableColumns count="2">
    <tableColumn id="1" xr3:uid="{EBF94347-AD65-4757-8965-9C700AEF4A5F}" name="Pricing Details" dataDxfId="68"/>
    <tableColumn id="2" xr3:uid="{4E2CA97B-B787-413B-9354-6A4A7F7862CA}" name="Column2" dataDxfId="6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304209-A5A8-4A1A-BBFD-753D3BA8A175}" name="Sydeney_rates_Full_Truck_Load" displayName="Sydeney_rates_Full_Truck_Load" ref="A1:D3" totalsRowShown="0">
  <autoFilter ref="A1:D3" xr:uid="{9C304209-A5A8-4A1A-BBFD-753D3BA8A175}"/>
  <tableColumns count="4">
    <tableColumn id="1" xr3:uid="{A437222E-FA59-4EC7-81C1-C74F5AD167C1}" name="Full Truck Load - Sydney Metro" dataDxfId="66"/>
    <tableColumn id="2" xr3:uid="{1F3FB3C8-4AB2-4386-9C53-3E1A5648449E}" name="Column2" dataDxfId="65"/>
    <tableColumn id="3" xr3:uid="{C9D4B1D3-4F6D-4D85-AAEE-AFDFD920F1E0}" name="Column3"/>
    <tableColumn id="4" xr3:uid="{71A328A8-01B9-4A6D-9F77-1B724F3C6389}" name="Column4" dataDxfId="6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01D426-D22C-4DAF-839B-6A2D72A5CE6F}" name="seafreight_forecast" displayName="seafreight_forecast" ref="A1:M35" totalsRowShown="0">
  <autoFilter ref="A1:M35" xr:uid="{2B01D426-D22C-4DAF-839B-6A2D72A5CE6F}"/>
  <tableColumns count="13">
    <tableColumn id="1" xr3:uid="{7AD84F68-A169-4AF0-8DEE-801F26349450}" name="Brand.1" dataDxfId="63"/>
    <tableColumn id="2" xr3:uid="{2BF013A5-06BF-4D40-9C2F-8E48B9295396}" name="Country" dataDxfId="62"/>
    <tableColumn id="3" xr3:uid="{638DFD24-6A6D-406B-B067-680458B76405}" name="POL" dataDxfId="61"/>
    <tableColumn id="4" xr3:uid="{AB17D869-D727-4DDD-8C89-EE821ECDE18C}" name="POD" dataDxfId="60"/>
    <tableColumn id="5" xr3:uid="{8E8EA272-7A61-42AF-80D3-1C9C0A01069D}" name="Estimated Sea Freight MIN USD"/>
    <tableColumn id="6" xr3:uid="{D63C529B-04EB-4916-BFA5-343F4A0FC5BD}" name="Estimated Sea Freight MAX USD"/>
    <tableColumn id="7" xr3:uid="{CEF1BBCC-6610-4D89-A535-76FE53F0143E}" name="Estimated Sea Freight AVE USD"/>
    <tableColumn id="8" xr3:uid="{4ABAEB36-DD85-4AFC-8804-665C9EAF7683}" name="Container type" dataDxfId="59"/>
    <tableColumn id="9" xr3:uid="{E9FA902C-F9F9-4437-85BE-A35D34CE968E}" name="Destination cost value"/>
    <tableColumn id="10" xr3:uid="{0F93890E-CC0B-43F1-A08B-5389AE8F6597}" name="Original cost currency"/>
    <tableColumn id="11" xr3:uid="{243207C0-9F4E-4887-B29F-D63A337749B2}" name="Destinatio cost"/>
    <tableColumn id="12" xr3:uid="{5C1DC3B2-F76C-4DED-AE5E-3925A050AA9F}" name="Destination cost currency" dataDxfId="58"/>
    <tableColumn id="13" xr3:uid="{586E52F4-E192-447A-9E97-82F55DF511A3}" name="Estimate Leadtime(Door to Door)Cover 80%-90% Shipments in Mar" dataDxfId="5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3C3DAF26-BE7B-4D17-AD2E-48E438E2A6C0}" name="AU" displayName="AU" ref="A1:AD41" tableType="queryTable" totalsRowCount="1">
  <autoFilter ref="A1:AD40" xr:uid="{3C3DAF26-BE7B-4D17-AD2E-48E438E2A6C0}"/>
  <tableColumns count="30">
    <tableColumn id="1" xr3:uid="{05578B41-A01B-439C-9084-7A8CDF75F229}" uniqueName="1" name="BRAND_x000a_DESCRIPTION" queryTableFieldId="55" dataDxfId="22" dataCellStyle="Currency"/>
    <tableColumn id="3" xr3:uid="{BB787D81-FA37-48B9-AE91-AE1A456B7293}" uniqueName="3" name="ITEM" queryTableFieldId="3" dataDxfId="56"/>
    <tableColumn id="2" xr3:uid="{099E95C5-B24E-4E48-A998-EA439A18F82D}" uniqueName="2" name="WIDTH(CM)" queryTableFieldId="56" dataDxfId="21" totalsRowDxfId="23" dataCellStyle="Currency"/>
    <tableColumn id="4" xr3:uid="{26355AE5-9662-4910-81CD-9FDB6FEF1201}" uniqueName="4" name="DEPTH(CM)" queryTableFieldId="57" dataDxfId="20" totalsRowDxfId="24" dataCellStyle="Currency"/>
    <tableColumn id="5" xr3:uid="{E5EACCBC-B3FC-45E8-A9D8-1DD5410FA02B}" uniqueName="5" name="HEIGHT(CM)" queryTableFieldId="58" dataDxfId="19" totalsRowDxfId="25" dataCellStyle="Currency"/>
    <tableColumn id="6" xr3:uid="{166ABAC7-F99B-4DA3-9BC1-AF34A318000C}" uniqueName="6" name="WEIGHT(KG)" queryTableFieldId="59" dataDxfId="18" totalsRowDxfId="26" dataCellStyle="Currency"/>
    <tableColumn id="7" xr3:uid="{CFC69CAF-326B-444D-BA79-F462C10FD417}" uniqueName="7" name="RETAIL UNITS PER MASTER SHIPPER PKG" queryTableFieldId="60" dataDxfId="17" totalsRowDxfId="27" dataCellStyle="Currency"/>
    <tableColumn id="8" xr3:uid="{8FE3012C-6260-49C6-AC77-36354AC63093}" uniqueName="8" name="ANNUAL UNITS" queryTableFieldId="61" dataDxfId="16" totalsRowDxfId="28" dataCellStyle="Comma"/>
    <tableColumn id="12" xr3:uid="{E0529EB4-D046-4F5F-9A70-95A23A231430}" uniqueName="12" name="QUOTE USD" queryTableFieldId="12"/>
    <tableColumn id="13" xr3:uid="{385315A0-0A04-4008-9476-465E05B4513A}" uniqueName="13" name="Annual Case Quantity" totalsRowFunction="custom" queryTableFieldId="13">
      <totalsRowFormula>SUM(J2:J40)</totalsRowFormula>
    </tableColumn>
    <tableColumn id="14" xr3:uid="{006AEFCB-A936-4AEF-9C0C-CDA2B592F1E4}" uniqueName="14" name="Estimated Cases per Pallet By Volume" queryTableFieldId="51" dataDxfId="15" totalsRowDxfId="29" dataCellStyle="Currency"/>
    <tableColumn id="15" xr3:uid="{79CEAD43-3249-44B1-9017-661252642DCA}" uniqueName="15" name="Pallet Quantity" totalsRowFunction="custom" queryTableFieldId="15">
      <totalsRowFormula>SUM(L2:L40)</totalsRowFormula>
    </tableColumn>
    <tableColumn id="16" xr3:uid="{79DF66F3-9B26-469A-8A91-A16D2EC0C3A5}" uniqueName="16" name="Monthly Sales" totalsRowFunction="custom" queryTableFieldId="16">
      <totalsRowFormula>SUM(M2:M40)</totalsRowFormula>
    </tableColumn>
    <tableColumn id="17" xr3:uid="{A860E39D-1BC7-4D9A-9818-C1CD114605F3}" uniqueName="17" name="Storage Requirement (Pallet)" queryTableFieldId="52" dataDxfId="14" dataCellStyle="Currency"/>
    <tableColumn id="18" xr3:uid="{0458F2FB-BA29-4DA4-ACEE-D609B98EBCF0}" uniqueName="18" name="Weight per Pallet (kgs)" queryTableFieldId="18"/>
    <tableColumn id="19" xr3:uid="{0471CDB3-7F00-4CBA-B158-C7FD32F10E60}" uniqueName="19" name="Total CBM" totalsRowFunction="custom" queryTableFieldId="19" dataDxfId="13" totalsRowDxfId="30">
      <totalsRowFormula>SUM(P2:P40)</totalsRowFormula>
    </tableColumn>
    <tableColumn id="20" xr3:uid="{1B98898D-0082-40EC-A384-042C52D6E6C5}" uniqueName="20" name="Estimate Container QTY" totalsRowFunction="custom" queryTableFieldId="20" totalsRowDxfId="31">
      <totalsRowFormula>SUM(Q2:Q40)</totalsRowFormula>
    </tableColumn>
    <tableColumn id="21" xr3:uid="{CA79D92B-3050-4858-A52E-AC8909046E01}" uniqueName="21" name="Revenue" totalsRowFunction="custom" queryTableFieldId="21" dataDxfId="12" totalsRowDxfId="32" dataCellStyle="Currency">
      <totalsRowFormula>SUM(R2:R40)</totalsRowFormula>
    </tableColumn>
    <tableColumn id="22" xr3:uid="{071CFB14-D00B-4529-B8E8-D6EA4D4C5520}" uniqueName="22" name="Total % of Space" queryTableFieldId="22" dataDxfId="11" totalsRowDxfId="33" dataCellStyle="Per cent"/>
    <tableColumn id="28" xr3:uid="{2DE643E4-C8D1-4C6A-9D1E-0EA3C1CB83BE}" uniqueName="28" name="Total Weight" totalsRowFunction="custom" queryTableFieldId="28" dataDxfId="10" totalsRowDxfId="34">
      <totalsRowFormula>SUM(T2:T40)</totalsRowFormula>
    </tableColumn>
    <tableColumn id="27" xr3:uid="{B1A01D78-B130-400F-B26A-2C15B16DA51E}" uniqueName="27" name="Number of Trucks" queryTableFieldId="27" dataDxfId="9" totalsRowDxfId="35"/>
    <tableColumn id="29" xr3:uid="{E4AE9779-9F82-4D17-862F-7640DA7AED3E}" uniqueName="29" name="Annual Seafreight Cost" totalsRowFunction="custom" queryTableFieldId="30" dataDxfId="8" totalsRowDxfId="36">
      <totalsRowFormula>SUM(V2:V40)</totalsRowFormula>
    </tableColumn>
    <tableColumn id="30" xr3:uid="{28A38516-42A6-494A-A9EE-4BC8E48309A7}" uniqueName="30" name="Seafreight Cost per Unit" queryTableFieldId="31" dataDxfId="7" totalsRowDxfId="37"/>
    <tableColumn id="31" xr3:uid="{01F5312F-011E-4174-9C80-E4716CFC8C57}" uniqueName="31" name="Annual WH Cost" totalsRowFunction="custom" queryTableFieldId="32" dataDxfId="6" totalsRowDxfId="38">
      <totalsRowFormula>SUM(X2:X40)</totalsRowFormula>
    </tableColumn>
    <tableColumn id="32" xr3:uid="{25946182-31BF-46D8-93E6-C43FD86C7B71}" uniqueName="32" name="WH Cost per Unit" queryTableFieldId="33" dataDxfId="5" totalsRowDxfId="39"/>
    <tableColumn id="23" xr3:uid="{97C3EF99-7DB8-4F51-AE27-1EC72EF9D939}" uniqueName="23" name="Delivery Cost" totalsRowFunction="custom" queryTableFieldId="45" dataDxfId="4" totalsRowDxfId="40" dataCellStyle="Currency">
      <totalsRowFormula>SUM(Z2:Z40)</totalsRowFormula>
    </tableColumn>
    <tableColumn id="42" xr3:uid="{1CE7CBF6-3036-4B65-B49F-0CBBFC4AB2A2}" uniqueName="42" name="Delivery Cost per Unit" queryTableFieldId="43" dataDxfId="3" totalsRowDxfId="41"/>
    <tableColumn id="24" xr3:uid="{2B1FADBC-3AD9-4B97-814E-51915743937C}" uniqueName="24" name="Total Logistic Cost" totalsRowFunction="custom" queryTableFieldId="46" dataDxfId="2" totalsRowDxfId="42" dataCellStyle="Currency">
      <totalsRowFormula>SUM(AB2:AB40)</totalsRowFormula>
    </tableColumn>
    <tableColumn id="25" xr3:uid="{478C2A16-11B7-41F0-9A4B-64FCC95B8C0A}" uniqueName="25" name="Total Logistic Cost per Unit" queryTableFieldId="47" dataDxfId="1" totalsRowDxfId="43" dataCellStyle="Currency"/>
    <tableColumn id="41" xr3:uid="{2C1D7A41-F8B4-487F-88E9-1F21930A0F95}" uniqueName="41" name="% of Revenue" queryTableFieldId="42" dataDxfId="0" totalsRowDxfId="44" dataCellStyle="Per cent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F2088A-0F0E-4EE9-AE39-F96A609133B7}" name="TransportRate" displayName="TransportRate" ref="A1:I263" tableType="queryTable" totalsRowShown="0">
  <autoFilter ref="A1:I263" xr:uid="{78F2088A-0F0E-4EE9-AE39-F96A609133B7}"/>
  <tableColumns count="9">
    <tableColumn id="1" xr3:uid="{25B0DCF6-DED0-4D39-876B-AE5DA78F6050}" uniqueName="1" name="To(Location)" queryTableFieldId="1" dataDxfId="55"/>
    <tableColumn id="2" xr3:uid="{C3605638-7057-4A76-9ECF-DD7B063B2BB5}" uniqueName="2" name="PER CON" queryTableFieldId="2"/>
    <tableColumn id="3" xr3:uid="{CC45190B-C58C-4013-8A74-CF6091D5A58C}" uniqueName="3" name="PER CON_1" queryTableFieldId="3"/>
    <tableColumn id="4" xr3:uid="{7A17FAFF-FB8B-42DF-84D3-913ACCA87332}" uniqueName="4" name="1-250 KG" queryTableFieldId="4"/>
    <tableColumn id="5" xr3:uid="{17D62F00-BFF0-4BE4-9E71-D2CF1D3588E0}" uniqueName="5" name="251-500 KG" queryTableFieldId="5"/>
    <tableColumn id="6" xr3:uid="{E8B19D6E-ED80-4794-9871-E4A9119985C3}" uniqueName="6" name="501-1000 KG" queryTableFieldId="6"/>
    <tableColumn id="7" xr3:uid="{4DCFD9D0-4F2E-4A49-85FA-2D6EDB9DDFD2}" uniqueName="7" name="1001-3000 KG" queryTableFieldId="7"/>
    <tableColumn id="8" xr3:uid="{946C99CB-EB12-496B-B37F-C06C8B105FBC}" uniqueName="8" name="3001-12000 KG" queryTableFieldId="8"/>
    <tableColumn id="9" xr3:uid="{D9A427D1-234F-4B97-A02A-EF7BCF9644A7}" uniqueName="9" name="12001+ KG" queryTableFieldId="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C10DA8-8491-4FDC-B91D-FF8CA780AAD9}" name="Sydney_Conditions" displayName="Sydney_Conditions" ref="A1:B13" tableType="queryTable" totalsRowShown="0">
  <autoFilter ref="A1:B13" xr:uid="{AAC10DA8-8491-4FDC-B91D-FF8CA780AAD9}"/>
  <tableColumns count="2">
    <tableColumn id="1" xr3:uid="{29FB6CD2-E7F1-4094-BEA0-F7A99900F728}" uniqueName="1" name="Pricing Details" queryTableFieldId="1" dataDxfId="54"/>
    <tableColumn id="2" xr3:uid="{CA4F131F-78C1-4E69-8C08-F53CC14C9026}" uniqueName="2" name="Column2" queryTableFieldId="2" dataDxfId="5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F0567-F501-4E91-B898-4F113B2CB2EE}">
  <sheetPr codeName="Sheet1"/>
  <dimension ref="A1:S232"/>
  <sheetViews>
    <sheetView zoomScale="85" zoomScaleNormal="85" workbookViewId="0">
      <selection activeCell="O20" sqref="O20"/>
    </sheetView>
  </sheetViews>
  <sheetFormatPr defaultColWidth="0" defaultRowHeight="14.5" x14ac:dyDescent="0.35"/>
  <cols>
    <col min="1" max="1" width="19.26953125" customWidth="1"/>
    <col min="2" max="2" width="39.1796875" customWidth="1"/>
    <col min="3" max="3" width="12.453125" customWidth="1"/>
    <col min="4" max="4" width="11.26953125" customWidth="1"/>
    <col min="5" max="5" width="13.1796875" customWidth="1"/>
    <col min="6" max="6" width="12.453125" customWidth="1"/>
    <col min="7" max="7" width="13.54296875" customWidth="1"/>
    <col min="8" max="8" width="9.1796875" customWidth="1"/>
    <col min="9" max="9" width="10.7265625" customWidth="1"/>
    <col min="10" max="10" width="3.453125" style="12" customWidth="1"/>
    <col min="11" max="11" width="15.81640625" style="12" customWidth="1"/>
    <col min="12" max="12" width="11.81640625" style="12" customWidth="1"/>
    <col min="13" max="13" width="7" style="12" customWidth="1"/>
    <col min="14" max="14" width="23.1796875" style="12" customWidth="1"/>
    <col min="15" max="15" width="9.7265625" style="12" customWidth="1"/>
    <col min="16" max="16" width="3" style="12" customWidth="1"/>
    <col min="17" max="16384" width="9.1796875" hidden="1"/>
  </cols>
  <sheetData>
    <row r="1" spans="1:19" ht="8.25" customHeight="1" thickBot="1" x14ac:dyDescent="0.4">
      <c r="A1" s="12"/>
      <c r="B1" s="12"/>
      <c r="C1" s="12"/>
      <c r="D1" s="12"/>
      <c r="E1" s="12"/>
      <c r="F1" s="12"/>
      <c r="G1" s="12"/>
      <c r="H1" s="12"/>
      <c r="I1" s="12"/>
    </row>
    <row r="2" spans="1:19" ht="112.5" customHeight="1" thickBot="1" x14ac:dyDescent="0.4">
      <c r="A2" s="24" t="s">
        <v>367</v>
      </c>
      <c r="B2" s="25" t="s">
        <v>365</v>
      </c>
      <c r="C2" s="26" t="s">
        <v>2</v>
      </c>
      <c r="D2" s="26" t="s">
        <v>3</v>
      </c>
      <c r="E2" s="26" t="s">
        <v>4</v>
      </c>
      <c r="F2" s="26" t="s">
        <v>5</v>
      </c>
      <c r="G2" s="27" t="s">
        <v>6</v>
      </c>
      <c r="H2" s="28" t="s">
        <v>1</v>
      </c>
      <c r="I2" s="29" t="s">
        <v>364</v>
      </c>
      <c r="K2" s="30" t="s">
        <v>363</v>
      </c>
      <c r="L2" s="13"/>
      <c r="M2" s="14"/>
      <c r="N2" s="14"/>
      <c r="O2" s="15"/>
    </row>
    <row r="3" spans="1:19" ht="15" customHeight="1" x14ac:dyDescent="0.35">
      <c r="A3" t="s">
        <v>599</v>
      </c>
      <c r="B3" t="s">
        <v>600</v>
      </c>
      <c r="C3" s="57">
        <v>32</v>
      </c>
      <c r="D3" s="57">
        <v>46</v>
      </c>
      <c r="E3" s="57">
        <v>23.1</v>
      </c>
      <c r="F3" s="57">
        <v>11.91</v>
      </c>
      <c r="G3" s="59">
        <v>84.003218020917132</v>
      </c>
      <c r="H3" s="6">
        <v>104416</v>
      </c>
      <c r="I3" s="23">
        <v>0</v>
      </c>
      <c r="K3" s="20" t="s">
        <v>569</v>
      </c>
      <c r="L3" s="44"/>
      <c r="O3" s="16"/>
    </row>
    <row r="4" spans="1:19" x14ac:dyDescent="0.35">
      <c r="A4" t="s">
        <v>599</v>
      </c>
      <c r="B4" t="s">
        <v>601</v>
      </c>
      <c r="C4" s="57">
        <v>32</v>
      </c>
      <c r="D4" s="57">
        <v>46</v>
      </c>
      <c r="E4" s="57">
        <v>23.1</v>
      </c>
      <c r="F4" s="57">
        <v>11.91</v>
      </c>
      <c r="G4" s="59">
        <v>84.003218020917132</v>
      </c>
      <c r="H4" s="6">
        <v>104416</v>
      </c>
      <c r="I4" s="23"/>
      <c r="K4" s="17" t="s">
        <v>570</v>
      </c>
      <c r="L4" s="44"/>
      <c r="O4" s="16"/>
    </row>
    <row r="5" spans="1:19" x14ac:dyDescent="0.35">
      <c r="A5" t="s">
        <v>599</v>
      </c>
      <c r="B5" t="s">
        <v>602</v>
      </c>
      <c r="C5" s="57">
        <v>32</v>
      </c>
      <c r="D5" s="57">
        <v>46</v>
      </c>
      <c r="E5" s="57">
        <v>23.1</v>
      </c>
      <c r="F5" s="57">
        <v>11.91</v>
      </c>
      <c r="G5" s="59">
        <v>84.003218020917132</v>
      </c>
      <c r="H5" s="6">
        <v>104416</v>
      </c>
      <c r="I5" s="23"/>
      <c r="K5" s="37" t="s">
        <v>571</v>
      </c>
      <c r="L5" s="44"/>
      <c r="O5" s="16"/>
    </row>
    <row r="6" spans="1:19" x14ac:dyDescent="0.35">
      <c r="A6" s="55" t="s">
        <v>599</v>
      </c>
      <c r="B6" s="56" t="s">
        <v>603</v>
      </c>
      <c r="C6" s="58">
        <v>32</v>
      </c>
      <c r="D6" s="58">
        <v>46</v>
      </c>
      <c r="E6" s="58">
        <v>23.1</v>
      </c>
      <c r="F6" s="58">
        <v>12.22</v>
      </c>
      <c r="G6" s="59">
        <v>84.003218020917132</v>
      </c>
      <c r="H6" s="6">
        <v>104416</v>
      </c>
      <c r="I6" s="23"/>
      <c r="K6" s="37" t="s">
        <v>572</v>
      </c>
      <c r="L6" s="44"/>
      <c r="O6" s="16"/>
    </row>
    <row r="7" spans="1:19" x14ac:dyDescent="0.35">
      <c r="A7" s="55" t="s">
        <v>599</v>
      </c>
      <c r="B7" s="56" t="s">
        <v>604</v>
      </c>
      <c r="C7" s="58">
        <v>32</v>
      </c>
      <c r="D7" s="58">
        <v>46</v>
      </c>
      <c r="E7" s="58">
        <v>23.1</v>
      </c>
      <c r="F7" s="58">
        <v>12.22</v>
      </c>
      <c r="G7" s="59">
        <v>84.003218020917132</v>
      </c>
      <c r="H7" s="6">
        <v>104416</v>
      </c>
      <c r="I7" s="23"/>
      <c r="K7" s="17" t="s">
        <v>573</v>
      </c>
      <c r="O7" s="16"/>
    </row>
    <row r="8" spans="1:19" x14ac:dyDescent="0.35">
      <c r="A8" s="55" t="s">
        <v>599</v>
      </c>
      <c r="B8" s="56" t="s">
        <v>605</v>
      </c>
      <c r="C8" s="58">
        <v>32</v>
      </c>
      <c r="D8" s="58">
        <v>46</v>
      </c>
      <c r="E8" s="58">
        <v>23.1</v>
      </c>
      <c r="F8" s="58">
        <v>12.22</v>
      </c>
      <c r="G8" s="59">
        <v>84.003218020917132</v>
      </c>
      <c r="H8" s="6">
        <v>104416</v>
      </c>
      <c r="I8" s="23"/>
      <c r="K8" s="17" t="s">
        <v>574</v>
      </c>
      <c r="O8" s="16"/>
      <c r="S8" t="s">
        <v>361</v>
      </c>
    </row>
    <row r="9" spans="1:19" x14ac:dyDescent="0.35">
      <c r="A9" s="55" t="s">
        <v>599</v>
      </c>
      <c r="B9" s="56" t="s">
        <v>606</v>
      </c>
      <c r="C9" s="58">
        <v>42.3</v>
      </c>
      <c r="D9" s="58">
        <v>55.8</v>
      </c>
      <c r="E9" s="58">
        <v>22.2</v>
      </c>
      <c r="F9" s="58">
        <v>14.95</v>
      </c>
      <c r="G9" s="59">
        <v>71.918644067796606</v>
      </c>
      <c r="H9" s="60">
        <v>21216</v>
      </c>
      <c r="I9" s="61"/>
      <c r="K9" s="38" t="s">
        <v>575</v>
      </c>
      <c r="L9" s="18"/>
      <c r="M9" s="18"/>
      <c r="N9" s="18"/>
      <c r="O9" s="19"/>
      <c r="S9" t="s">
        <v>362</v>
      </c>
    </row>
    <row r="10" spans="1:19" x14ac:dyDescent="0.35">
      <c r="A10" s="55" t="s">
        <v>599</v>
      </c>
      <c r="B10" s="56" t="s">
        <v>607</v>
      </c>
      <c r="C10" s="58">
        <v>42.3</v>
      </c>
      <c r="D10" s="58">
        <v>55.8</v>
      </c>
      <c r="E10" s="58">
        <v>22.2</v>
      </c>
      <c r="F10" s="58">
        <v>14.95</v>
      </c>
      <c r="G10" s="59">
        <v>71.918644067796606</v>
      </c>
      <c r="H10" s="60">
        <v>21216</v>
      </c>
      <c r="I10" s="61"/>
    </row>
    <row r="11" spans="1:19" x14ac:dyDescent="0.35">
      <c r="A11" s="55" t="s">
        <v>599</v>
      </c>
      <c r="B11" s="56" t="s">
        <v>608</v>
      </c>
      <c r="C11" s="58">
        <v>42.3</v>
      </c>
      <c r="D11" s="58">
        <v>55.8</v>
      </c>
      <c r="E11" s="58">
        <v>22.2</v>
      </c>
      <c r="F11" s="58">
        <v>14.95</v>
      </c>
      <c r="G11" s="59">
        <v>71.918644067796606</v>
      </c>
      <c r="H11" s="60">
        <v>21216</v>
      </c>
      <c r="I11" s="61"/>
      <c r="K11" s="3" t="s">
        <v>368</v>
      </c>
      <c r="L11" s="3" t="s">
        <v>576</v>
      </c>
    </row>
    <row r="12" spans="1:19" x14ac:dyDescent="0.35">
      <c r="A12" s="55" t="s">
        <v>599</v>
      </c>
      <c r="B12" s="56" t="s">
        <v>609</v>
      </c>
      <c r="C12" s="58">
        <v>42.3</v>
      </c>
      <c r="D12" s="58">
        <v>55.8</v>
      </c>
      <c r="E12" s="58">
        <v>22.2</v>
      </c>
      <c r="F12" s="58">
        <v>12.2</v>
      </c>
      <c r="G12" s="59">
        <v>71.918644067796606</v>
      </c>
      <c r="H12" s="60">
        <v>21216</v>
      </c>
      <c r="I12" s="61"/>
      <c r="K12" s="36" t="s">
        <v>58</v>
      </c>
      <c r="L12" s="39">
        <v>0.03</v>
      </c>
    </row>
    <row r="13" spans="1:19" x14ac:dyDescent="0.35">
      <c r="A13" s="55" t="s">
        <v>599</v>
      </c>
      <c r="B13" s="56" t="s">
        <v>610</v>
      </c>
      <c r="C13" s="58">
        <v>42.3</v>
      </c>
      <c r="D13" s="58">
        <v>55.8</v>
      </c>
      <c r="E13" s="58">
        <v>22.2</v>
      </c>
      <c r="F13" s="58">
        <v>12.2</v>
      </c>
      <c r="G13" s="59">
        <v>71.918644067796606</v>
      </c>
      <c r="H13" s="60">
        <v>21216</v>
      </c>
      <c r="I13" s="61"/>
      <c r="K13" s="36" t="s">
        <v>59</v>
      </c>
      <c r="L13" s="39">
        <v>0.74</v>
      </c>
    </row>
    <row r="14" spans="1:19" x14ac:dyDescent="0.35">
      <c r="A14" s="55" t="s">
        <v>599</v>
      </c>
      <c r="B14" s="56" t="s">
        <v>611</v>
      </c>
      <c r="C14" s="58">
        <v>42.3</v>
      </c>
      <c r="D14" s="58">
        <v>55.8</v>
      </c>
      <c r="E14" s="58">
        <v>22.2</v>
      </c>
      <c r="F14" s="58">
        <v>12.2</v>
      </c>
      <c r="G14" s="59">
        <v>71.918644067796606</v>
      </c>
      <c r="H14" s="60">
        <v>21216</v>
      </c>
      <c r="I14" s="61"/>
      <c r="K14" s="36" t="s">
        <v>331</v>
      </c>
      <c r="L14" s="39">
        <v>0.15</v>
      </c>
      <c r="S14" s="1" t="s">
        <v>61</v>
      </c>
    </row>
    <row r="15" spans="1:19" x14ac:dyDescent="0.35">
      <c r="A15" s="55" t="s">
        <v>599</v>
      </c>
      <c r="B15" s="56" t="s">
        <v>612</v>
      </c>
      <c r="C15" s="58">
        <v>40.299999999999997</v>
      </c>
      <c r="D15" s="58">
        <v>44.2</v>
      </c>
      <c r="E15" s="58">
        <v>21.7</v>
      </c>
      <c r="F15" s="58">
        <v>14.2</v>
      </c>
      <c r="G15" s="59">
        <v>69.957957957957959</v>
      </c>
      <c r="H15" s="60">
        <v>46592</v>
      </c>
      <c r="I15" s="61"/>
      <c r="K15" s="36" t="s">
        <v>284</v>
      </c>
      <c r="L15" s="39">
        <v>0.08</v>
      </c>
      <c r="N15" s="3" t="s">
        <v>0</v>
      </c>
      <c r="O15" s="3" t="s">
        <v>371</v>
      </c>
      <c r="S15" s="2" t="s">
        <v>63</v>
      </c>
    </row>
    <row r="16" spans="1:19" x14ac:dyDescent="0.35">
      <c r="A16" s="55" t="s">
        <v>599</v>
      </c>
      <c r="B16" s="56" t="s">
        <v>613</v>
      </c>
      <c r="C16" s="58">
        <v>40.299999999999997</v>
      </c>
      <c r="D16" s="58">
        <v>44.2</v>
      </c>
      <c r="E16" s="58">
        <v>21.7</v>
      </c>
      <c r="F16" s="58">
        <v>14.2</v>
      </c>
      <c r="G16" s="59">
        <v>69.957957957957959</v>
      </c>
      <c r="H16" s="60">
        <v>46592</v>
      </c>
      <c r="I16" s="61"/>
      <c r="K16" s="36"/>
      <c r="L16" s="39"/>
      <c r="N16" s="31" t="s">
        <v>56</v>
      </c>
      <c r="O16" s="31">
        <v>1.47</v>
      </c>
    </row>
    <row r="17" spans="1:15" x14ac:dyDescent="0.35">
      <c r="A17" s="55" t="s">
        <v>599</v>
      </c>
      <c r="B17" s="56" t="s">
        <v>614</v>
      </c>
      <c r="C17" s="58">
        <v>40.299999999999997</v>
      </c>
      <c r="D17" s="58">
        <v>44.2</v>
      </c>
      <c r="E17" s="58">
        <v>21.7</v>
      </c>
      <c r="F17" s="58">
        <v>14.2</v>
      </c>
      <c r="G17" s="59">
        <v>69.957957957957959</v>
      </c>
      <c r="H17" s="60">
        <v>46592</v>
      </c>
      <c r="I17" s="61"/>
      <c r="K17" s="36"/>
      <c r="L17" s="39"/>
      <c r="N17" s="32" t="s">
        <v>15</v>
      </c>
      <c r="O17" s="31">
        <v>1.94</v>
      </c>
    </row>
    <row r="18" spans="1:15" x14ac:dyDescent="0.35">
      <c r="A18" s="55" t="s">
        <v>599</v>
      </c>
      <c r="B18" s="56" t="s">
        <v>615</v>
      </c>
      <c r="C18" s="58">
        <v>40.299999999999997</v>
      </c>
      <c r="D18" s="58">
        <v>44.2</v>
      </c>
      <c r="E18" s="58">
        <v>21.7</v>
      </c>
      <c r="F18" s="58">
        <v>14.2</v>
      </c>
      <c r="G18" s="59">
        <v>69.957957957957959</v>
      </c>
      <c r="H18" s="60">
        <v>46592</v>
      </c>
      <c r="I18" s="61"/>
      <c r="K18" s="36"/>
      <c r="L18" s="39"/>
      <c r="N18" s="32" t="s">
        <v>57</v>
      </c>
      <c r="O18" s="31">
        <v>1.62</v>
      </c>
    </row>
    <row r="19" spans="1:15" x14ac:dyDescent="0.35">
      <c r="A19" s="55" t="s">
        <v>599</v>
      </c>
      <c r="B19" s="56" t="s">
        <v>616</v>
      </c>
      <c r="C19" s="58">
        <v>40.299999999999997</v>
      </c>
      <c r="D19" s="58">
        <v>44.2</v>
      </c>
      <c r="E19" s="58">
        <v>21.7</v>
      </c>
      <c r="F19" s="58">
        <v>14.2</v>
      </c>
      <c r="G19" s="59">
        <v>69.957957957957959</v>
      </c>
      <c r="H19" s="60">
        <v>46592</v>
      </c>
      <c r="I19" s="61"/>
      <c r="K19" s="36"/>
      <c r="L19" s="39"/>
      <c r="N19" s="31" t="s">
        <v>369</v>
      </c>
      <c r="O19" s="31">
        <v>3</v>
      </c>
    </row>
    <row r="20" spans="1:15" x14ac:dyDescent="0.35">
      <c r="A20" s="55" t="s">
        <v>599</v>
      </c>
      <c r="B20" s="56" t="s">
        <v>617</v>
      </c>
      <c r="C20" s="58">
        <v>40.299999999999997</v>
      </c>
      <c r="D20" s="58">
        <v>44.2</v>
      </c>
      <c r="E20" s="58">
        <v>21.7</v>
      </c>
      <c r="F20" s="58">
        <v>14.2</v>
      </c>
      <c r="G20" s="59">
        <v>69.957957957957959</v>
      </c>
      <c r="H20" s="60">
        <v>46592</v>
      </c>
      <c r="I20" s="61"/>
      <c r="K20" s="36"/>
      <c r="L20" s="39"/>
      <c r="N20" s="31" t="s">
        <v>370</v>
      </c>
      <c r="O20" s="31">
        <v>60</v>
      </c>
    </row>
    <row r="21" spans="1:15" x14ac:dyDescent="0.35">
      <c r="A21" s="55" t="s">
        <v>599</v>
      </c>
      <c r="B21" s="56" t="s">
        <v>618</v>
      </c>
      <c r="C21" s="58">
        <v>34.200000000000003</v>
      </c>
      <c r="D21" s="58">
        <v>35.799999999999997</v>
      </c>
      <c r="E21" s="58">
        <v>25.3</v>
      </c>
      <c r="F21" s="58">
        <v>15.8</v>
      </c>
      <c r="G21" s="59">
        <v>40</v>
      </c>
      <c r="H21" s="60">
        <v>24960</v>
      </c>
      <c r="I21" s="61"/>
      <c r="K21" s="36"/>
      <c r="L21" s="39"/>
      <c r="N21" s="31" t="s">
        <v>580</v>
      </c>
      <c r="O21" s="31">
        <v>24</v>
      </c>
    </row>
    <row r="22" spans="1:15" x14ac:dyDescent="0.35">
      <c r="A22" s="55" t="s">
        <v>599</v>
      </c>
      <c r="B22" s="56" t="s">
        <v>619</v>
      </c>
      <c r="C22" s="58">
        <v>34.200000000000003</v>
      </c>
      <c r="D22" s="58">
        <v>35.799999999999997</v>
      </c>
      <c r="E22" s="58">
        <v>25.3</v>
      </c>
      <c r="F22" s="58">
        <v>14.6</v>
      </c>
      <c r="G22" s="59">
        <v>40</v>
      </c>
      <c r="H22" s="60">
        <v>24960</v>
      </c>
      <c r="I22" s="61"/>
      <c r="K22" s="36"/>
      <c r="L22" s="39"/>
      <c r="N22" s="31" t="s">
        <v>360</v>
      </c>
      <c r="O22" s="35" t="s">
        <v>361</v>
      </c>
    </row>
    <row r="23" spans="1:15" x14ac:dyDescent="0.35">
      <c r="A23" s="55" t="s">
        <v>599</v>
      </c>
      <c r="B23" s="56" t="s">
        <v>620</v>
      </c>
      <c r="C23" s="58">
        <v>34.200000000000003</v>
      </c>
      <c r="D23" s="58">
        <v>35.799999999999997</v>
      </c>
      <c r="E23" s="58">
        <v>25.3</v>
      </c>
      <c r="F23" s="58">
        <v>14.2</v>
      </c>
      <c r="G23" s="59">
        <v>40</v>
      </c>
      <c r="H23" s="60">
        <v>24960</v>
      </c>
      <c r="I23" s="61"/>
      <c r="K23" s="36"/>
      <c r="L23" s="39"/>
      <c r="N23" s="33" t="s">
        <v>373</v>
      </c>
      <c r="O23" s="34" t="b">
        <v>0</v>
      </c>
    </row>
    <row r="24" spans="1:15" x14ac:dyDescent="0.35">
      <c r="A24" s="55" t="s">
        <v>599</v>
      </c>
      <c r="B24" s="56" t="s">
        <v>621</v>
      </c>
      <c r="C24" s="58">
        <v>34.200000000000003</v>
      </c>
      <c r="D24" s="58">
        <v>35.799999999999997</v>
      </c>
      <c r="E24" s="58">
        <v>25.3</v>
      </c>
      <c r="F24" s="58">
        <v>14.2</v>
      </c>
      <c r="G24" s="59">
        <v>40</v>
      </c>
      <c r="H24" s="60">
        <v>24960</v>
      </c>
      <c r="I24" s="61"/>
      <c r="K24" s="36"/>
      <c r="L24" s="39"/>
      <c r="N24" s="33" t="s">
        <v>374</v>
      </c>
      <c r="O24" s="34" t="b">
        <v>0</v>
      </c>
    </row>
    <row r="25" spans="1:15" x14ac:dyDescent="0.35">
      <c r="A25" s="55" t="s">
        <v>599</v>
      </c>
      <c r="B25" s="56" t="s">
        <v>622</v>
      </c>
      <c r="C25" s="58">
        <v>34.200000000000003</v>
      </c>
      <c r="D25" s="58">
        <v>35.799999999999997</v>
      </c>
      <c r="E25" s="58">
        <v>25.3</v>
      </c>
      <c r="F25" s="58">
        <v>14.14</v>
      </c>
      <c r="G25" s="59">
        <v>40</v>
      </c>
      <c r="H25" s="60">
        <v>24960</v>
      </c>
      <c r="I25" s="61"/>
      <c r="K25" s="36"/>
      <c r="L25" s="39"/>
      <c r="N25" s="33" t="s">
        <v>378</v>
      </c>
      <c r="O25" s="10" t="s">
        <v>61</v>
      </c>
    </row>
    <row r="26" spans="1:15" s="12" customFormat="1" x14ac:dyDescent="0.35">
      <c r="A26" s="55" t="s">
        <v>599</v>
      </c>
      <c r="B26" s="56" t="s">
        <v>623</v>
      </c>
      <c r="C26" s="58">
        <v>34.200000000000003</v>
      </c>
      <c r="D26" s="58">
        <v>35.799999999999997</v>
      </c>
      <c r="E26" s="58">
        <v>25.3</v>
      </c>
      <c r="F26" s="58">
        <v>14.14</v>
      </c>
      <c r="G26" s="59">
        <v>40</v>
      </c>
      <c r="H26" s="60">
        <v>24960</v>
      </c>
      <c r="I26" s="61"/>
      <c r="N26" s="33" t="s">
        <v>592</v>
      </c>
      <c r="O26" s="33">
        <v>0</v>
      </c>
    </row>
    <row r="27" spans="1:15" s="12" customFormat="1" x14ac:dyDescent="0.35">
      <c r="A27" s="55" t="s">
        <v>599</v>
      </c>
      <c r="B27" s="56" t="s">
        <v>624</v>
      </c>
      <c r="C27" s="58">
        <v>35.1</v>
      </c>
      <c r="D27" s="58">
        <v>44.1</v>
      </c>
      <c r="E27" s="58">
        <v>19.5</v>
      </c>
      <c r="F27" s="58">
        <v>14.14</v>
      </c>
      <c r="G27" s="59">
        <v>24</v>
      </c>
      <c r="H27" s="60">
        <v>16224</v>
      </c>
      <c r="I27" s="61"/>
      <c r="N27" s="33" t="s">
        <v>591</v>
      </c>
      <c r="O27" s="33">
        <v>1.55</v>
      </c>
    </row>
    <row r="28" spans="1:15" s="12" customFormat="1" x14ac:dyDescent="0.35">
      <c r="A28" s="55" t="s">
        <v>599</v>
      </c>
      <c r="B28" s="56" t="s">
        <v>625</v>
      </c>
      <c r="C28" s="58">
        <v>35.1</v>
      </c>
      <c r="D28" s="58">
        <v>44.1</v>
      </c>
      <c r="E28" s="58">
        <v>19.5</v>
      </c>
      <c r="F28" s="58">
        <v>14.14</v>
      </c>
      <c r="G28" s="59">
        <v>24</v>
      </c>
      <c r="H28" s="60">
        <v>16224</v>
      </c>
      <c r="I28" s="61"/>
    </row>
    <row r="29" spans="1:15" s="12" customFormat="1" x14ac:dyDescent="0.35">
      <c r="A29" s="55" t="s">
        <v>599</v>
      </c>
      <c r="B29" s="56" t="s">
        <v>626</v>
      </c>
      <c r="C29" s="58">
        <v>35.1</v>
      </c>
      <c r="D29" s="58">
        <v>44.1</v>
      </c>
      <c r="E29" s="58">
        <v>19.5</v>
      </c>
      <c r="F29" s="58">
        <v>14.14</v>
      </c>
      <c r="G29" s="59">
        <v>24</v>
      </c>
      <c r="H29" s="60">
        <v>16224</v>
      </c>
      <c r="I29" s="61"/>
    </row>
    <row r="30" spans="1:15" s="12" customFormat="1" x14ac:dyDescent="0.35">
      <c r="A30" s="55" t="s">
        <v>599</v>
      </c>
      <c r="B30" s="56" t="s">
        <v>627</v>
      </c>
      <c r="C30" s="58">
        <v>35.1</v>
      </c>
      <c r="D30" s="58">
        <v>44.1</v>
      </c>
      <c r="E30" s="58">
        <v>19.5</v>
      </c>
      <c r="F30" s="58">
        <v>14.14</v>
      </c>
      <c r="G30" s="59">
        <v>24</v>
      </c>
      <c r="H30" s="60">
        <v>16224</v>
      </c>
      <c r="I30" s="61"/>
    </row>
    <row r="31" spans="1:15" s="12" customFormat="1" x14ac:dyDescent="0.35">
      <c r="A31" s="55" t="s">
        <v>599</v>
      </c>
      <c r="B31" s="56" t="s">
        <v>628</v>
      </c>
      <c r="C31" s="58">
        <v>35.1</v>
      </c>
      <c r="D31" s="58">
        <v>44.1</v>
      </c>
      <c r="E31" s="58">
        <v>19.5</v>
      </c>
      <c r="F31" s="58">
        <v>14.14</v>
      </c>
      <c r="G31" s="59">
        <v>24</v>
      </c>
      <c r="H31" s="60">
        <v>16224</v>
      </c>
      <c r="I31" s="61"/>
    </row>
    <row r="32" spans="1:15" s="12" customFormat="1" x14ac:dyDescent="0.35">
      <c r="A32" s="55" t="s">
        <v>599</v>
      </c>
      <c r="B32" s="56" t="s">
        <v>629</v>
      </c>
      <c r="C32" s="58">
        <v>35.1</v>
      </c>
      <c r="D32" s="58">
        <v>44.1</v>
      </c>
      <c r="E32" s="58">
        <v>19.5</v>
      </c>
      <c r="F32" s="58">
        <v>14.14</v>
      </c>
      <c r="G32" s="59">
        <v>24</v>
      </c>
      <c r="H32" s="60">
        <v>16224</v>
      </c>
      <c r="I32" s="61"/>
    </row>
    <row r="33" spans="1:9" s="12" customFormat="1" x14ac:dyDescent="0.35">
      <c r="A33" s="55" t="s">
        <v>599</v>
      </c>
      <c r="B33" s="56" t="s">
        <v>630</v>
      </c>
      <c r="C33" s="58">
        <v>35</v>
      </c>
      <c r="D33" s="58">
        <v>43.8</v>
      </c>
      <c r="E33" s="58">
        <v>33.4</v>
      </c>
      <c r="F33" s="58">
        <v>14.14</v>
      </c>
      <c r="G33" s="59">
        <v>83.929824561403507</v>
      </c>
      <c r="H33" s="60">
        <v>19136</v>
      </c>
      <c r="I33" s="61"/>
    </row>
    <row r="34" spans="1:9" s="12" customFormat="1" x14ac:dyDescent="0.35">
      <c r="A34" s="55" t="s">
        <v>599</v>
      </c>
      <c r="B34" s="56" t="s">
        <v>631</v>
      </c>
      <c r="C34" s="58">
        <v>35</v>
      </c>
      <c r="D34" s="58">
        <v>43.8</v>
      </c>
      <c r="E34" s="58">
        <v>33.4</v>
      </c>
      <c r="F34" s="58">
        <v>14.14</v>
      </c>
      <c r="G34" s="59">
        <v>83.929824561403507</v>
      </c>
      <c r="H34" s="60">
        <v>19136</v>
      </c>
      <c r="I34" s="61"/>
    </row>
    <row r="35" spans="1:9" s="12" customFormat="1" x14ac:dyDescent="0.35">
      <c r="A35" s="55" t="s">
        <v>599</v>
      </c>
      <c r="B35" s="56" t="s">
        <v>632</v>
      </c>
      <c r="C35" s="58">
        <v>35</v>
      </c>
      <c r="D35" s="58">
        <v>43.8</v>
      </c>
      <c r="E35" s="58">
        <v>33.4</v>
      </c>
      <c r="F35" s="58">
        <v>14.14</v>
      </c>
      <c r="G35" s="59">
        <v>83.929824561403507</v>
      </c>
      <c r="H35" s="60">
        <v>19136</v>
      </c>
      <c r="I35" s="61"/>
    </row>
    <row r="36" spans="1:9" s="12" customFormat="1" x14ac:dyDescent="0.35">
      <c r="A36" s="55" t="s">
        <v>599</v>
      </c>
      <c r="B36" s="56" t="s">
        <v>633</v>
      </c>
      <c r="C36" s="58">
        <v>35</v>
      </c>
      <c r="D36" s="58">
        <v>43.8</v>
      </c>
      <c r="E36" s="58">
        <v>33.4</v>
      </c>
      <c r="F36" s="58">
        <v>14.14</v>
      </c>
      <c r="G36" s="59">
        <v>83.929824561403507</v>
      </c>
      <c r="H36" s="60">
        <v>19136</v>
      </c>
      <c r="I36" s="61"/>
    </row>
    <row r="37" spans="1:9" s="12" customFormat="1" x14ac:dyDescent="0.35">
      <c r="A37" s="55" t="s">
        <v>599</v>
      </c>
      <c r="B37" s="56" t="s">
        <v>634</v>
      </c>
      <c r="C37" s="58">
        <v>35</v>
      </c>
      <c r="D37" s="58">
        <v>43.8</v>
      </c>
      <c r="E37" s="58">
        <v>33.4</v>
      </c>
      <c r="F37" s="58">
        <v>14.14</v>
      </c>
      <c r="G37" s="59">
        <v>83.929824561403507</v>
      </c>
      <c r="H37" s="60">
        <v>19136</v>
      </c>
      <c r="I37" s="61"/>
    </row>
    <row r="38" spans="1:9" s="12" customFormat="1" x14ac:dyDescent="0.35">
      <c r="A38" s="55" t="s">
        <v>599</v>
      </c>
      <c r="B38" s="56" t="s">
        <v>635</v>
      </c>
      <c r="C38" s="58">
        <v>35</v>
      </c>
      <c r="D38" s="58">
        <v>43.8</v>
      </c>
      <c r="E38" s="58">
        <v>33.4</v>
      </c>
      <c r="F38" s="58">
        <v>14.14</v>
      </c>
      <c r="G38" s="59">
        <v>83.929824561403507</v>
      </c>
      <c r="H38" s="60">
        <v>19136</v>
      </c>
      <c r="I38" s="61"/>
    </row>
    <row r="39" spans="1:9" s="12" customFormat="1" x14ac:dyDescent="0.35">
      <c r="A39" s="55" t="s">
        <v>599</v>
      </c>
      <c r="B39" s="56" t="s">
        <v>636</v>
      </c>
      <c r="C39" s="58">
        <v>27.7</v>
      </c>
      <c r="D39" s="58">
        <v>51.3</v>
      </c>
      <c r="E39" s="58">
        <v>32.4</v>
      </c>
      <c r="F39" s="58">
        <v>14.14</v>
      </c>
      <c r="G39" s="59">
        <v>24.01003764115433</v>
      </c>
      <c r="H39" s="60">
        <v>19136</v>
      </c>
      <c r="I39" s="61"/>
    </row>
    <row r="40" spans="1:9" s="12" customFormat="1" x14ac:dyDescent="0.35">
      <c r="A40" s="55" t="s">
        <v>599</v>
      </c>
      <c r="B40" s="56" t="s">
        <v>637</v>
      </c>
      <c r="C40" s="58">
        <v>35</v>
      </c>
      <c r="D40" s="58">
        <v>43.7</v>
      </c>
      <c r="E40" s="58">
        <v>45.2</v>
      </c>
      <c r="F40" s="58">
        <v>14.14</v>
      </c>
      <c r="G40" s="59">
        <v>24.01003764115433</v>
      </c>
      <c r="H40" s="60">
        <v>19136</v>
      </c>
      <c r="I40" s="61"/>
    </row>
    <row r="41" spans="1:9" s="12" customFormat="1" x14ac:dyDescent="0.35">
      <c r="A41" s="55" t="s">
        <v>599</v>
      </c>
      <c r="B41" s="56" t="s">
        <v>638</v>
      </c>
      <c r="C41" s="58">
        <v>22.5</v>
      </c>
      <c r="D41" s="58">
        <v>34</v>
      </c>
      <c r="E41" s="58">
        <v>25.5</v>
      </c>
      <c r="F41" s="58">
        <v>14.14</v>
      </c>
      <c r="G41" s="59">
        <v>4</v>
      </c>
      <c r="H41" s="60">
        <v>19136</v>
      </c>
      <c r="I41" s="61"/>
    </row>
    <row r="42" spans="1:9" s="12" customFormat="1" x14ac:dyDescent="0.35">
      <c r="A42"/>
      <c r="B42"/>
      <c r="C42"/>
      <c r="D42"/>
      <c r="E42"/>
      <c r="F42"/>
      <c r="G42"/>
      <c r="H42"/>
      <c r="I42"/>
    </row>
    <row r="43" spans="1:9" s="12" customFormat="1" x14ac:dyDescent="0.35">
      <c r="A43"/>
      <c r="B43"/>
      <c r="C43"/>
      <c r="D43"/>
      <c r="E43"/>
      <c r="F43"/>
      <c r="G43"/>
      <c r="H43"/>
      <c r="I43"/>
    </row>
    <row r="44" spans="1:9" s="12" customFormat="1" x14ac:dyDescent="0.35">
      <c r="A44"/>
      <c r="B44"/>
      <c r="C44"/>
      <c r="D44"/>
      <c r="E44"/>
      <c r="F44"/>
      <c r="G44"/>
      <c r="H44"/>
      <c r="I44"/>
    </row>
    <row r="45" spans="1:9" s="12" customFormat="1" x14ac:dyDescent="0.35">
      <c r="A45"/>
      <c r="B45"/>
      <c r="C45"/>
      <c r="D45"/>
      <c r="E45"/>
      <c r="F45"/>
      <c r="G45"/>
      <c r="H45"/>
      <c r="I45"/>
    </row>
    <row r="46" spans="1:9" s="12" customFormat="1" x14ac:dyDescent="0.35">
      <c r="A46"/>
      <c r="B46"/>
      <c r="C46"/>
      <c r="D46"/>
      <c r="E46"/>
      <c r="F46"/>
      <c r="G46"/>
      <c r="H46"/>
      <c r="I46"/>
    </row>
    <row r="47" spans="1:9" s="12" customFormat="1" x14ac:dyDescent="0.35">
      <c r="A47"/>
      <c r="B47"/>
      <c r="C47"/>
      <c r="D47"/>
      <c r="E47"/>
      <c r="F47"/>
      <c r="G47"/>
      <c r="H47"/>
      <c r="I47"/>
    </row>
    <row r="48" spans="1:9" s="12" customFormat="1" x14ac:dyDescent="0.35">
      <c r="A48"/>
      <c r="B48"/>
      <c r="C48"/>
      <c r="D48"/>
      <c r="E48"/>
      <c r="F48"/>
      <c r="G48"/>
      <c r="H48"/>
      <c r="I48"/>
    </row>
    <row r="49" spans="1:6" s="12" customFormat="1" x14ac:dyDescent="0.35">
      <c r="A49"/>
      <c r="B49"/>
      <c r="C49"/>
      <c r="D49"/>
      <c r="E49"/>
      <c r="F49"/>
    </row>
    <row r="50" spans="1:6" s="12" customFormat="1" x14ac:dyDescent="0.35">
      <c r="A50"/>
      <c r="B50"/>
      <c r="C50"/>
      <c r="D50"/>
      <c r="E50"/>
      <c r="F50"/>
    </row>
    <row r="51" spans="1:6" s="12" customFormat="1" x14ac:dyDescent="0.35">
      <c r="A51"/>
      <c r="B51"/>
      <c r="C51"/>
      <c r="D51"/>
      <c r="E51"/>
      <c r="F51"/>
    </row>
    <row r="52" spans="1:6" s="12" customFormat="1" x14ac:dyDescent="0.35">
      <c r="A52"/>
      <c r="B52"/>
      <c r="C52"/>
      <c r="D52"/>
      <c r="E52"/>
      <c r="F52"/>
    </row>
    <row r="53" spans="1:6" s="12" customFormat="1" x14ac:dyDescent="0.35">
      <c r="A53"/>
      <c r="B53"/>
      <c r="C53"/>
      <c r="D53"/>
      <c r="E53"/>
      <c r="F53"/>
    </row>
    <row r="54" spans="1:6" s="12" customFormat="1" x14ac:dyDescent="0.35">
      <c r="A54"/>
      <c r="B54"/>
      <c r="C54"/>
      <c r="D54"/>
      <c r="E54"/>
      <c r="F54"/>
    </row>
    <row r="55" spans="1:6" s="12" customFormat="1" x14ac:dyDescent="0.35">
      <c r="A55"/>
      <c r="B55"/>
      <c r="C55"/>
      <c r="D55"/>
      <c r="E55"/>
      <c r="F55"/>
    </row>
    <row r="56" spans="1:6" s="12" customFormat="1" x14ac:dyDescent="0.35">
      <c r="A56"/>
      <c r="B56"/>
      <c r="C56"/>
      <c r="D56"/>
      <c r="E56"/>
      <c r="F56"/>
    </row>
    <row r="57" spans="1:6" s="12" customFormat="1" x14ac:dyDescent="0.35">
      <c r="A57"/>
      <c r="B57"/>
      <c r="C57"/>
      <c r="D57"/>
      <c r="E57"/>
      <c r="F57"/>
    </row>
    <row r="58" spans="1:6" s="12" customFormat="1" x14ac:dyDescent="0.35">
      <c r="A58"/>
      <c r="B58"/>
      <c r="C58"/>
      <c r="D58"/>
      <c r="E58"/>
      <c r="F58"/>
    </row>
    <row r="59" spans="1:6" s="12" customFormat="1" x14ac:dyDescent="0.35">
      <c r="A59"/>
      <c r="B59"/>
      <c r="C59"/>
      <c r="D59"/>
      <c r="E59"/>
      <c r="F59"/>
    </row>
    <row r="60" spans="1:6" s="12" customFormat="1" x14ac:dyDescent="0.35">
      <c r="A60"/>
      <c r="B60"/>
      <c r="C60"/>
      <c r="D60"/>
      <c r="E60"/>
      <c r="F60"/>
    </row>
    <row r="61" spans="1:6" s="12" customFormat="1" x14ac:dyDescent="0.35">
      <c r="A61"/>
      <c r="B61"/>
      <c r="C61"/>
      <c r="D61"/>
      <c r="E61"/>
      <c r="F61"/>
    </row>
    <row r="62" spans="1:6" s="12" customFormat="1" x14ac:dyDescent="0.35">
      <c r="A62"/>
      <c r="B62"/>
      <c r="C62"/>
      <c r="D62"/>
      <c r="E62"/>
      <c r="F62"/>
    </row>
    <row r="63" spans="1:6" s="12" customFormat="1" x14ac:dyDescent="0.35">
      <c r="A63"/>
      <c r="B63"/>
      <c r="C63"/>
      <c r="D63"/>
      <c r="E63"/>
      <c r="F63"/>
    </row>
    <row r="64" spans="1:6" s="12" customFormat="1" x14ac:dyDescent="0.35">
      <c r="A64"/>
      <c r="B64"/>
      <c r="C64"/>
      <c r="D64"/>
      <c r="E64"/>
      <c r="F64"/>
    </row>
    <row r="65" spans="1:6" s="12" customFormat="1" x14ac:dyDescent="0.35">
      <c r="A65"/>
      <c r="B65"/>
      <c r="C65"/>
      <c r="D65"/>
      <c r="E65"/>
      <c r="F65"/>
    </row>
    <row r="66" spans="1:6" s="12" customFormat="1" x14ac:dyDescent="0.35">
      <c r="A66"/>
      <c r="B66"/>
      <c r="C66"/>
      <c r="D66"/>
      <c r="E66"/>
      <c r="F66"/>
    </row>
    <row r="67" spans="1:6" s="12" customFormat="1" x14ac:dyDescent="0.35">
      <c r="A67"/>
      <c r="B67"/>
      <c r="C67"/>
      <c r="D67"/>
      <c r="E67"/>
      <c r="F67"/>
    </row>
    <row r="68" spans="1:6" s="12" customFormat="1" x14ac:dyDescent="0.35">
      <c r="A68"/>
      <c r="B68"/>
      <c r="C68"/>
      <c r="D68"/>
      <c r="E68"/>
      <c r="F68"/>
    </row>
    <row r="69" spans="1:6" s="12" customFormat="1" x14ac:dyDescent="0.35">
      <c r="A69"/>
      <c r="B69"/>
      <c r="C69"/>
      <c r="D69"/>
      <c r="E69"/>
      <c r="F69"/>
    </row>
    <row r="70" spans="1:6" s="12" customFormat="1" x14ac:dyDescent="0.35">
      <c r="A70"/>
      <c r="B70"/>
      <c r="C70"/>
      <c r="D70"/>
      <c r="E70"/>
      <c r="F70"/>
    </row>
    <row r="71" spans="1:6" s="12" customFormat="1" x14ac:dyDescent="0.35">
      <c r="A71"/>
      <c r="B71"/>
      <c r="C71"/>
      <c r="D71"/>
      <c r="E71"/>
      <c r="F71"/>
    </row>
    <row r="72" spans="1:6" s="12" customFormat="1" x14ac:dyDescent="0.35">
      <c r="A72"/>
      <c r="B72"/>
      <c r="C72"/>
      <c r="D72"/>
      <c r="E72"/>
      <c r="F72"/>
    </row>
    <row r="73" spans="1:6" s="12" customFormat="1" x14ac:dyDescent="0.35">
      <c r="A73"/>
      <c r="B73"/>
      <c r="C73"/>
      <c r="D73"/>
      <c r="E73"/>
      <c r="F73"/>
    </row>
    <row r="74" spans="1:6" s="12" customFormat="1" x14ac:dyDescent="0.35">
      <c r="A74"/>
      <c r="B74"/>
      <c r="C74"/>
      <c r="D74"/>
      <c r="E74"/>
      <c r="F74"/>
    </row>
    <row r="75" spans="1:6" s="12" customFormat="1" x14ac:dyDescent="0.35">
      <c r="A75"/>
      <c r="B75"/>
      <c r="C75"/>
      <c r="D75"/>
      <c r="E75"/>
      <c r="F75"/>
    </row>
    <row r="76" spans="1:6" s="12" customFormat="1" x14ac:dyDescent="0.35">
      <c r="A76"/>
      <c r="B76"/>
      <c r="C76"/>
      <c r="D76"/>
      <c r="E76"/>
      <c r="F76"/>
    </row>
    <row r="77" spans="1:6" s="12" customFormat="1" x14ac:dyDescent="0.35">
      <c r="A77"/>
      <c r="B77"/>
      <c r="C77"/>
      <c r="D77"/>
      <c r="E77"/>
      <c r="F77"/>
    </row>
    <row r="78" spans="1:6" s="12" customFormat="1" x14ac:dyDescent="0.35">
      <c r="A78"/>
      <c r="B78"/>
      <c r="C78"/>
      <c r="D78"/>
      <c r="E78"/>
      <c r="F78"/>
    </row>
    <row r="79" spans="1:6" s="12" customFormat="1" x14ac:dyDescent="0.35">
      <c r="A79"/>
      <c r="B79"/>
      <c r="C79"/>
      <c r="D79"/>
      <c r="E79"/>
      <c r="F79"/>
    </row>
    <row r="80" spans="1:6" s="12" customFormat="1" x14ac:dyDescent="0.35">
      <c r="A80"/>
      <c r="B80"/>
      <c r="C80"/>
      <c r="D80"/>
      <c r="E80"/>
      <c r="F80"/>
    </row>
    <row r="81" spans="1:9" s="12" customFormat="1" x14ac:dyDescent="0.35">
      <c r="A81"/>
      <c r="B81"/>
      <c r="C81"/>
      <c r="D81"/>
      <c r="E81"/>
      <c r="F81"/>
    </row>
    <row r="82" spans="1:9" s="12" customFormat="1" x14ac:dyDescent="0.35">
      <c r="A82"/>
      <c r="B82"/>
      <c r="C82"/>
      <c r="D82"/>
      <c r="E82"/>
      <c r="F82"/>
    </row>
    <row r="83" spans="1:9" s="12" customFormat="1" x14ac:dyDescent="0.35">
      <c r="A83"/>
      <c r="B83"/>
      <c r="C83"/>
      <c r="D83"/>
      <c r="E83"/>
      <c r="F83"/>
    </row>
    <row r="84" spans="1:9" s="12" customFormat="1" x14ac:dyDescent="0.35">
      <c r="A84"/>
      <c r="B84"/>
      <c r="C84"/>
      <c r="D84"/>
      <c r="E84"/>
      <c r="F84"/>
    </row>
    <row r="85" spans="1:9" s="12" customFormat="1" x14ac:dyDescent="0.35">
      <c r="A85"/>
      <c r="B85"/>
      <c r="C85"/>
      <c r="D85"/>
      <c r="E85"/>
      <c r="F85"/>
    </row>
    <row r="86" spans="1:9" s="12" customFormat="1" x14ac:dyDescent="0.35">
      <c r="A86"/>
      <c r="B86"/>
      <c r="C86"/>
      <c r="D86"/>
      <c r="E86"/>
      <c r="F86"/>
    </row>
    <row r="87" spans="1:9" s="12" customFormat="1" x14ac:dyDescent="0.35">
      <c r="A87"/>
      <c r="B87"/>
      <c r="C87"/>
      <c r="D87"/>
      <c r="E87"/>
      <c r="F87"/>
    </row>
    <row r="88" spans="1:9" s="12" customFormat="1" x14ac:dyDescent="0.35">
      <c r="A88"/>
      <c r="B88"/>
      <c r="C88"/>
      <c r="D88"/>
      <c r="E88"/>
      <c r="F88"/>
      <c r="G88"/>
      <c r="H88"/>
      <c r="I88"/>
    </row>
    <row r="89" spans="1:9" s="12" customFormat="1" x14ac:dyDescent="0.35">
      <c r="A89"/>
      <c r="B89"/>
      <c r="C89"/>
      <c r="D89"/>
      <c r="E89"/>
      <c r="F89"/>
      <c r="G89"/>
      <c r="H89"/>
      <c r="I89"/>
    </row>
    <row r="90" spans="1:9" s="12" customFormat="1" x14ac:dyDescent="0.35">
      <c r="A90"/>
      <c r="B90"/>
      <c r="C90"/>
      <c r="D90"/>
      <c r="E90"/>
      <c r="F90"/>
      <c r="G90"/>
      <c r="H90"/>
      <c r="I90"/>
    </row>
    <row r="91" spans="1:9" s="12" customFormat="1" x14ac:dyDescent="0.35">
      <c r="A91"/>
      <c r="B91"/>
      <c r="C91"/>
      <c r="D91"/>
      <c r="E91"/>
      <c r="F91"/>
      <c r="G91"/>
      <c r="H91"/>
      <c r="I91"/>
    </row>
    <row r="92" spans="1:9" s="12" customFormat="1" x14ac:dyDescent="0.35">
      <c r="A92"/>
      <c r="B92"/>
      <c r="C92"/>
      <c r="D92"/>
      <c r="E92"/>
      <c r="F92"/>
      <c r="G92"/>
      <c r="H92"/>
      <c r="I92"/>
    </row>
    <row r="93" spans="1:9" s="12" customFormat="1" x14ac:dyDescent="0.35">
      <c r="A93"/>
      <c r="B93"/>
      <c r="C93"/>
      <c r="D93"/>
      <c r="E93"/>
      <c r="F93"/>
      <c r="G93"/>
      <c r="H93"/>
      <c r="I93"/>
    </row>
    <row r="94" spans="1:9" s="12" customFormat="1" x14ac:dyDescent="0.35">
      <c r="A94"/>
      <c r="B94"/>
      <c r="C94"/>
      <c r="D94"/>
      <c r="E94"/>
      <c r="F94"/>
      <c r="G94"/>
      <c r="H94"/>
      <c r="I94"/>
    </row>
    <row r="95" spans="1:9" s="12" customFormat="1" x14ac:dyDescent="0.35">
      <c r="A95"/>
      <c r="B95"/>
      <c r="C95"/>
      <c r="D95"/>
      <c r="E95"/>
      <c r="F95"/>
      <c r="G95"/>
      <c r="H95"/>
      <c r="I95"/>
    </row>
    <row r="96" spans="1:9" s="12" customFormat="1" x14ac:dyDescent="0.35">
      <c r="A96"/>
      <c r="B96"/>
      <c r="C96"/>
      <c r="D96"/>
      <c r="E96"/>
      <c r="F96"/>
      <c r="G96"/>
      <c r="H96"/>
      <c r="I96"/>
    </row>
    <row r="97" spans="1:9" s="12" customFormat="1" x14ac:dyDescent="0.35">
      <c r="A97"/>
      <c r="B97"/>
      <c r="C97"/>
      <c r="D97"/>
      <c r="E97"/>
      <c r="F97"/>
      <c r="G97"/>
      <c r="H97"/>
      <c r="I97"/>
    </row>
    <row r="98" spans="1:9" s="12" customFormat="1" x14ac:dyDescent="0.35">
      <c r="A98"/>
      <c r="B98"/>
      <c r="C98"/>
      <c r="D98"/>
      <c r="E98"/>
      <c r="F98"/>
      <c r="G98"/>
      <c r="H98"/>
      <c r="I98"/>
    </row>
    <row r="99" spans="1:9" s="12" customFormat="1" x14ac:dyDescent="0.35">
      <c r="A99"/>
      <c r="B99"/>
      <c r="C99"/>
      <c r="D99"/>
      <c r="E99"/>
      <c r="F99"/>
      <c r="G99"/>
      <c r="H99"/>
      <c r="I99"/>
    </row>
    <row r="100" spans="1:9" s="12" customFormat="1" x14ac:dyDescent="0.35">
      <c r="A100"/>
      <c r="B100"/>
      <c r="C100"/>
      <c r="D100"/>
      <c r="E100"/>
      <c r="F100"/>
      <c r="G100"/>
      <c r="H100"/>
      <c r="I100"/>
    </row>
    <row r="101" spans="1:9" s="12" customFormat="1" x14ac:dyDescent="0.35">
      <c r="A101"/>
      <c r="B101"/>
      <c r="C101"/>
      <c r="D101"/>
      <c r="E101"/>
      <c r="F101"/>
      <c r="G101"/>
      <c r="H101"/>
      <c r="I101"/>
    </row>
    <row r="102" spans="1:9" s="12" customFormat="1" x14ac:dyDescent="0.35">
      <c r="A102"/>
      <c r="B102"/>
      <c r="C102"/>
      <c r="D102"/>
      <c r="E102"/>
      <c r="F102"/>
      <c r="G102"/>
      <c r="H102"/>
      <c r="I102"/>
    </row>
    <row r="103" spans="1:9" s="12" customFormat="1" x14ac:dyDescent="0.35">
      <c r="A103"/>
      <c r="B103"/>
      <c r="C103"/>
      <c r="D103"/>
      <c r="E103"/>
      <c r="F103"/>
      <c r="G103"/>
      <c r="H103"/>
      <c r="I103"/>
    </row>
    <row r="104" spans="1:9" s="12" customFormat="1" x14ac:dyDescent="0.35">
      <c r="A104"/>
      <c r="B104"/>
      <c r="C104"/>
      <c r="D104"/>
      <c r="E104"/>
      <c r="F104"/>
      <c r="G104"/>
      <c r="H104"/>
      <c r="I104"/>
    </row>
    <row r="105" spans="1:9" s="12" customFormat="1" x14ac:dyDescent="0.35">
      <c r="A105"/>
      <c r="B105"/>
      <c r="C105"/>
      <c r="D105"/>
      <c r="E105"/>
      <c r="F105"/>
      <c r="G105"/>
      <c r="H105"/>
      <c r="I105"/>
    </row>
    <row r="106" spans="1:9" s="12" customFormat="1" x14ac:dyDescent="0.35">
      <c r="A106"/>
      <c r="B106"/>
      <c r="C106"/>
      <c r="D106"/>
      <c r="E106"/>
      <c r="F106"/>
      <c r="G106"/>
      <c r="H106"/>
      <c r="I106"/>
    </row>
    <row r="107" spans="1:9" s="12" customFormat="1" x14ac:dyDescent="0.35">
      <c r="A107"/>
      <c r="B107"/>
      <c r="C107"/>
      <c r="D107"/>
      <c r="E107"/>
      <c r="F107"/>
      <c r="G107"/>
      <c r="H107"/>
      <c r="I107"/>
    </row>
    <row r="108" spans="1:9" s="12" customFormat="1" x14ac:dyDescent="0.35">
      <c r="A108"/>
      <c r="B108"/>
      <c r="C108"/>
      <c r="D108"/>
      <c r="E108"/>
      <c r="F108"/>
      <c r="G108"/>
      <c r="H108"/>
      <c r="I108"/>
    </row>
    <row r="109" spans="1:9" s="12" customFormat="1" x14ac:dyDescent="0.35">
      <c r="A109"/>
      <c r="B109"/>
      <c r="C109"/>
      <c r="D109"/>
      <c r="E109"/>
      <c r="F109"/>
      <c r="G109"/>
      <c r="H109"/>
      <c r="I109"/>
    </row>
    <row r="110" spans="1:9" s="12" customFormat="1" x14ac:dyDescent="0.35">
      <c r="A110"/>
      <c r="B110"/>
      <c r="C110"/>
      <c r="D110"/>
      <c r="E110"/>
      <c r="F110"/>
      <c r="G110"/>
      <c r="H110"/>
      <c r="I110"/>
    </row>
    <row r="111" spans="1:9" s="12" customFormat="1" x14ac:dyDescent="0.35">
      <c r="A111"/>
      <c r="B111"/>
      <c r="C111"/>
      <c r="D111"/>
      <c r="E111"/>
      <c r="F111"/>
      <c r="G111"/>
      <c r="H111"/>
      <c r="I111"/>
    </row>
    <row r="112" spans="1:9" s="12" customFormat="1" x14ac:dyDescent="0.35">
      <c r="A112"/>
      <c r="B112"/>
      <c r="C112"/>
      <c r="D112"/>
      <c r="E112"/>
      <c r="F112"/>
      <c r="G112"/>
      <c r="H112"/>
      <c r="I112"/>
    </row>
    <row r="113" spans="1:9" s="12" customFormat="1" x14ac:dyDescent="0.35">
      <c r="A113"/>
      <c r="B113"/>
      <c r="C113"/>
      <c r="D113"/>
      <c r="E113"/>
      <c r="F113"/>
      <c r="G113"/>
      <c r="H113"/>
      <c r="I113"/>
    </row>
    <row r="114" spans="1:9" s="12" customFormat="1" x14ac:dyDescent="0.35">
      <c r="A114"/>
      <c r="B114"/>
      <c r="C114"/>
      <c r="D114"/>
      <c r="E114"/>
      <c r="F114"/>
      <c r="G114"/>
      <c r="H114"/>
      <c r="I114"/>
    </row>
    <row r="115" spans="1:9" s="12" customFormat="1" x14ac:dyDescent="0.35">
      <c r="A115"/>
      <c r="B115"/>
      <c r="C115"/>
      <c r="D115"/>
      <c r="E115"/>
      <c r="F115"/>
      <c r="G115"/>
      <c r="H115"/>
      <c r="I115"/>
    </row>
    <row r="116" spans="1:9" s="12" customFormat="1" x14ac:dyDescent="0.35">
      <c r="A116"/>
      <c r="B116"/>
      <c r="C116"/>
      <c r="D116"/>
      <c r="E116"/>
      <c r="F116"/>
      <c r="G116"/>
      <c r="H116"/>
      <c r="I116"/>
    </row>
    <row r="117" spans="1:9" s="12" customFormat="1" x14ac:dyDescent="0.35">
      <c r="A117"/>
      <c r="B117"/>
      <c r="C117"/>
      <c r="D117"/>
      <c r="E117"/>
      <c r="F117"/>
      <c r="G117"/>
      <c r="H117"/>
      <c r="I117"/>
    </row>
    <row r="118" spans="1:9" s="12" customFormat="1" x14ac:dyDescent="0.35">
      <c r="A118"/>
      <c r="B118"/>
      <c r="C118"/>
      <c r="D118"/>
      <c r="E118"/>
      <c r="F118"/>
      <c r="G118"/>
      <c r="H118"/>
      <c r="I118"/>
    </row>
    <row r="119" spans="1:9" s="12" customFormat="1" x14ac:dyDescent="0.35">
      <c r="A119"/>
      <c r="B119"/>
      <c r="C119"/>
      <c r="D119"/>
      <c r="E119"/>
      <c r="F119"/>
      <c r="G119"/>
      <c r="H119"/>
      <c r="I119"/>
    </row>
    <row r="120" spans="1:9" s="12" customFormat="1" x14ac:dyDescent="0.35">
      <c r="A120"/>
      <c r="B120"/>
      <c r="C120"/>
      <c r="D120"/>
      <c r="E120"/>
      <c r="F120"/>
      <c r="G120"/>
      <c r="H120"/>
      <c r="I120"/>
    </row>
    <row r="121" spans="1:9" s="12" customFormat="1" x14ac:dyDescent="0.35">
      <c r="A121"/>
      <c r="B121"/>
      <c r="C121"/>
      <c r="D121"/>
      <c r="E121"/>
      <c r="F121"/>
      <c r="G121"/>
      <c r="H121"/>
      <c r="I121"/>
    </row>
    <row r="122" spans="1:9" s="12" customFormat="1" x14ac:dyDescent="0.35">
      <c r="A122"/>
      <c r="B122"/>
      <c r="C122"/>
      <c r="D122"/>
      <c r="E122"/>
      <c r="F122"/>
      <c r="G122"/>
      <c r="H122"/>
      <c r="I122"/>
    </row>
    <row r="123" spans="1:9" s="12" customFormat="1" x14ac:dyDescent="0.35">
      <c r="A123"/>
      <c r="B123"/>
      <c r="C123"/>
      <c r="D123"/>
      <c r="E123"/>
      <c r="F123"/>
      <c r="G123"/>
      <c r="H123"/>
      <c r="I123"/>
    </row>
    <row r="124" spans="1:9" s="12" customFormat="1" x14ac:dyDescent="0.35">
      <c r="A124"/>
      <c r="B124"/>
      <c r="C124"/>
      <c r="D124"/>
      <c r="E124"/>
      <c r="F124"/>
      <c r="G124"/>
      <c r="H124"/>
      <c r="I124"/>
    </row>
    <row r="125" spans="1:9" s="12" customFormat="1" x14ac:dyDescent="0.35">
      <c r="A125"/>
      <c r="B125"/>
      <c r="C125"/>
      <c r="D125"/>
      <c r="E125"/>
      <c r="F125"/>
      <c r="G125"/>
      <c r="H125"/>
      <c r="I125"/>
    </row>
    <row r="126" spans="1:9" s="12" customFormat="1" x14ac:dyDescent="0.35">
      <c r="A126"/>
      <c r="B126"/>
      <c r="C126"/>
      <c r="D126"/>
      <c r="E126"/>
      <c r="F126"/>
      <c r="G126"/>
      <c r="H126"/>
      <c r="I126"/>
    </row>
    <row r="127" spans="1:9" s="12" customFormat="1" x14ac:dyDescent="0.35">
      <c r="A127"/>
      <c r="B127"/>
      <c r="C127"/>
      <c r="D127"/>
      <c r="E127"/>
      <c r="F127"/>
      <c r="G127"/>
      <c r="H127"/>
      <c r="I127"/>
    </row>
    <row r="128" spans="1:9" s="12" customFormat="1" x14ac:dyDescent="0.35">
      <c r="A128"/>
      <c r="B128"/>
      <c r="C128"/>
      <c r="D128"/>
      <c r="E128"/>
      <c r="F128"/>
      <c r="G128"/>
      <c r="H128"/>
      <c r="I128"/>
    </row>
    <row r="129" spans="1:9" s="12" customFormat="1" x14ac:dyDescent="0.35">
      <c r="A129"/>
      <c r="B129"/>
      <c r="C129"/>
      <c r="D129"/>
      <c r="E129"/>
      <c r="F129"/>
      <c r="G129"/>
      <c r="H129"/>
      <c r="I129"/>
    </row>
    <row r="130" spans="1:9" s="12" customFormat="1" x14ac:dyDescent="0.35">
      <c r="A130"/>
      <c r="B130"/>
      <c r="C130"/>
      <c r="D130"/>
      <c r="E130"/>
      <c r="F130"/>
      <c r="G130"/>
      <c r="H130"/>
      <c r="I130"/>
    </row>
    <row r="131" spans="1:9" s="12" customFormat="1" x14ac:dyDescent="0.35">
      <c r="A131"/>
      <c r="B131"/>
      <c r="C131"/>
      <c r="D131"/>
      <c r="E131"/>
      <c r="F131"/>
      <c r="G131"/>
      <c r="H131"/>
      <c r="I131"/>
    </row>
    <row r="132" spans="1:9" s="12" customFormat="1" x14ac:dyDescent="0.35">
      <c r="A132"/>
      <c r="B132"/>
      <c r="C132"/>
      <c r="D132"/>
      <c r="E132"/>
      <c r="F132"/>
      <c r="G132"/>
      <c r="H132"/>
      <c r="I132"/>
    </row>
    <row r="133" spans="1:9" s="12" customFormat="1" x14ac:dyDescent="0.35">
      <c r="A133"/>
      <c r="B133"/>
      <c r="C133"/>
      <c r="D133"/>
      <c r="E133"/>
      <c r="F133"/>
      <c r="G133"/>
      <c r="H133"/>
      <c r="I133"/>
    </row>
    <row r="134" spans="1:9" s="12" customFormat="1" x14ac:dyDescent="0.35">
      <c r="A134"/>
      <c r="B134"/>
      <c r="C134"/>
      <c r="D134"/>
      <c r="E134"/>
      <c r="F134"/>
      <c r="G134"/>
      <c r="H134"/>
      <c r="I134"/>
    </row>
    <row r="135" spans="1:9" s="12" customFormat="1" x14ac:dyDescent="0.35">
      <c r="A135"/>
      <c r="B135"/>
      <c r="C135"/>
      <c r="D135"/>
      <c r="E135"/>
      <c r="F135"/>
      <c r="G135"/>
      <c r="H135"/>
      <c r="I135"/>
    </row>
    <row r="136" spans="1:9" s="12" customFormat="1" x14ac:dyDescent="0.35">
      <c r="A136"/>
      <c r="B136"/>
      <c r="C136"/>
      <c r="D136"/>
      <c r="E136"/>
      <c r="F136"/>
      <c r="G136"/>
      <c r="H136"/>
      <c r="I136"/>
    </row>
    <row r="137" spans="1:9" s="12" customFormat="1" x14ac:dyDescent="0.35">
      <c r="A137"/>
      <c r="B137"/>
      <c r="C137"/>
      <c r="D137"/>
      <c r="E137"/>
      <c r="F137"/>
      <c r="G137"/>
      <c r="H137"/>
      <c r="I137"/>
    </row>
    <row r="138" spans="1:9" s="12" customFormat="1" x14ac:dyDescent="0.35">
      <c r="A138"/>
      <c r="B138"/>
      <c r="C138"/>
      <c r="D138"/>
      <c r="E138"/>
      <c r="F138"/>
      <c r="G138"/>
      <c r="H138"/>
      <c r="I138"/>
    </row>
    <row r="139" spans="1:9" s="12" customFormat="1" x14ac:dyDescent="0.35">
      <c r="A139"/>
      <c r="B139"/>
      <c r="C139"/>
      <c r="D139"/>
      <c r="E139"/>
      <c r="F139"/>
      <c r="G139"/>
      <c r="H139"/>
      <c r="I139"/>
    </row>
    <row r="140" spans="1:9" s="12" customFormat="1" x14ac:dyDescent="0.35">
      <c r="A140"/>
      <c r="B140"/>
      <c r="C140"/>
      <c r="D140"/>
      <c r="E140"/>
      <c r="F140"/>
      <c r="G140"/>
      <c r="H140"/>
      <c r="I140"/>
    </row>
    <row r="141" spans="1:9" s="12" customFormat="1" x14ac:dyDescent="0.35">
      <c r="A141"/>
      <c r="B141"/>
      <c r="C141"/>
      <c r="D141"/>
      <c r="E141"/>
      <c r="F141"/>
      <c r="G141"/>
      <c r="H141"/>
      <c r="I141"/>
    </row>
    <row r="142" spans="1:9" s="12" customFormat="1" x14ac:dyDescent="0.35">
      <c r="A142"/>
      <c r="B142"/>
      <c r="C142"/>
      <c r="D142"/>
      <c r="E142"/>
      <c r="F142"/>
      <c r="G142"/>
      <c r="H142"/>
      <c r="I142"/>
    </row>
    <row r="143" spans="1:9" s="12" customFormat="1" x14ac:dyDescent="0.35">
      <c r="A143"/>
      <c r="B143"/>
      <c r="C143"/>
      <c r="D143"/>
      <c r="E143"/>
      <c r="F143"/>
      <c r="G143"/>
      <c r="H143"/>
      <c r="I143"/>
    </row>
    <row r="144" spans="1:9" s="12" customFormat="1" x14ac:dyDescent="0.35">
      <c r="A144"/>
      <c r="B144"/>
      <c r="C144"/>
      <c r="D144"/>
      <c r="E144"/>
      <c r="F144"/>
      <c r="G144"/>
      <c r="H144"/>
      <c r="I144"/>
    </row>
    <row r="145" spans="1:9" s="12" customFormat="1" x14ac:dyDescent="0.35">
      <c r="A145"/>
      <c r="B145"/>
      <c r="C145"/>
      <c r="D145"/>
      <c r="E145"/>
      <c r="F145"/>
      <c r="G145"/>
      <c r="H145"/>
      <c r="I145"/>
    </row>
    <row r="146" spans="1:9" s="12" customFormat="1" x14ac:dyDescent="0.35">
      <c r="A146"/>
      <c r="B146"/>
      <c r="C146"/>
      <c r="D146"/>
      <c r="E146"/>
      <c r="F146"/>
      <c r="G146"/>
      <c r="H146"/>
      <c r="I146"/>
    </row>
    <row r="147" spans="1:9" s="12" customFormat="1" x14ac:dyDescent="0.35">
      <c r="A147"/>
      <c r="B147"/>
      <c r="C147"/>
      <c r="D147"/>
      <c r="E147"/>
      <c r="F147"/>
      <c r="G147"/>
      <c r="H147"/>
      <c r="I147"/>
    </row>
    <row r="148" spans="1:9" s="12" customFormat="1" x14ac:dyDescent="0.35">
      <c r="A148"/>
      <c r="B148"/>
      <c r="C148"/>
      <c r="D148"/>
      <c r="E148"/>
      <c r="F148"/>
      <c r="G148"/>
      <c r="H148"/>
      <c r="I148"/>
    </row>
    <row r="149" spans="1:9" s="12" customFormat="1" x14ac:dyDescent="0.35">
      <c r="A149"/>
      <c r="B149"/>
      <c r="C149"/>
      <c r="D149"/>
      <c r="E149"/>
      <c r="F149"/>
      <c r="G149"/>
      <c r="H149"/>
      <c r="I149"/>
    </row>
    <row r="150" spans="1:9" s="12" customFormat="1" x14ac:dyDescent="0.35">
      <c r="A150"/>
      <c r="B150"/>
      <c r="C150"/>
      <c r="D150"/>
      <c r="E150"/>
      <c r="F150"/>
      <c r="G150"/>
      <c r="H150"/>
      <c r="I150"/>
    </row>
    <row r="151" spans="1:9" s="12" customFormat="1" x14ac:dyDescent="0.35">
      <c r="A151"/>
      <c r="B151"/>
      <c r="C151"/>
      <c r="D151"/>
      <c r="E151"/>
      <c r="F151"/>
      <c r="G151"/>
      <c r="H151"/>
      <c r="I151"/>
    </row>
    <row r="152" spans="1:9" s="12" customFormat="1" x14ac:dyDescent="0.35">
      <c r="A152"/>
      <c r="B152"/>
      <c r="C152"/>
      <c r="D152"/>
      <c r="E152"/>
      <c r="F152"/>
      <c r="G152"/>
      <c r="H152"/>
      <c r="I152"/>
    </row>
    <row r="153" spans="1:9" s="12" customFormat="1" x14ac:dyDescent="0.35">
      <c r="A153"/>
      <c r="B153"/>
      <c r="C153"/>
      <c r="D153"/>
      <c r="E153"/>
      <c r="F153"/>
      <c r="G153"/>
      <c r="H153"/>
      <c r="I153"/>
    </row>
    <row r="154" spans="1:9" s="12" customFormat="1" x14ac:dyDescent="0.35">
      <c r="A154"/>
      <c r="B154"/>
      <c r="C154"/>
      <c r="D154"/>
      <c r="E154"/>
      <c r="F154"/>
      <c r="G154"/>
      <c r="H154"/>
      <c r="I154"/>
    </row>
    <row r="155" spans="1:9" s="12" customFormat="1" x14ac:dyDescent="0.35">
      <c r="A155"/>
      <c r="B155"/>
      <c r="C155"/>
      <c r="D155"/>
      <c r="E155"/>
      <c r="F155"/>
      <c r="G155"/>
      <c r="H155"/>
      <c r="I155"/>
    </row>
    <row r="156" spans="1:9" s="12" customFormat="1" x14ac:dyDescent="0.35">
      <c r="A156"/>
      <c r="B156"/>
      <c r="C156"/>
      <c r="D156"/>
      <c r="E156"/>
      <c r="F156"/>
      <c r="G156"/>
      <c r="H156"/>
      <c r="I156"/>
    </row>
    <row r="157" spans="1:9" s="12" customFormat="1" x14ac:dyDescent="0.35">
      <c r="A157"/>
      <c r="B157"/>
      <c r="C157"/>
      <c r="D157"/>
      <c r="E157"/>
      <c r="F157"/>
      <c r="G157"/>
      <c r="H157"/>
      <c r="I157"/>
    </row>
    <row r="158" spans="1:9" s="12" customFormat="1" x14ac:dyDescent="0.35">
      <c r="A158"/>
      <c r="B158"/>
      <c r="C158"/>
      <c r="D158"/>
      <c r="E158"/>
      <c r="F158"/>
      <c r="G158"/>
      <c r="H158"/>
      <c r="I158"/>
    </row>
    <row r="159" spans="1:9" s="12" customFormat="1" x14ac:dyDescent="0.35">
      <c r="A159"/>
      <c r="B159"/>
      <c r="C159"/>
      <c r="D159"/>
      <c r="E159"/>
      <c r="F159"/>
      <c r="G159"/>
      <c r="H159"/>
      <c r="I159"/>
    </row>
    <row r="160" spans="1:9" s="12" customFormat="1" x14ac:dyDescent="0.35">
      <c r="A160"/>
      <c r="B160"/>
      <c r="C160"/>
      <c r="D160"/>
      <c r="E160"/>
      <c r="F160"/>
      <c r="G160"/>
      <c r="H160"/>
      <c r="I160"/>
    </row>
    <row r="161" spans="1:9" s="12" customFormat="1" x14ac:dyDescent="0.35">
      <c r="A161"/>
      <c r="B161"/>
      <c r="C161"/>
      <c r="D161"/>
      <c r="E161"/>
      <c r="F161"/>
      <c r="G161"/>
      <c r="H161"/>
      <c r="I161"/>
    </row>
    <row r="162" spans="1:9" s="12" customFormat="1" x14ac:dyDescent="0.35">
      <c r="A162"/>
      <c r="B162"/>
      <c r="C162"/>
      <c r="D162"/>
      <c r="E162"/>
      <c r="F162"/>
      <c r="G162"/>
      <c r="H162"/>
      <c r="I162"/>
    </row>
    <row r="163" spans="1:9" s="12" customFormat="1" x14ac:dyDescent="0.35">
      <c r="A163"/>
      <c r="B163"/>
      <c r="C163"/>
      <c r="D163"/>
      <c r="E163"/>
      <c r="F163"/>
      <c r="G163"/>
      <c r="H163"/>
      <c r="I163"/>
    </row>
    <row r="164" spans="1:9" s="12" customFormat="1" x14ac:dyDescent="0.35">
      <c r="A164"/>
      <c r="B164"/>
      <c r="C164"/>
      <c r="D164"/>
      <c r="E164"/>
      <c r="F164"/>
      <c r="G164"/>
      <c r="H164"/>
      <c r="I164"/>
    </row>
    <row r="165" spans="1:9" s="12" customFormat="1" x14ac:dyDescent="0.35">
      <c r="A165"/>
      <c r="B165"/>
      <c r="C165"/>
      <c r="D165"/>
      <c r="E165"/>
      <c r="F165"/>
      <c r="G165"/>
      <c r="H165"/>
      <c r="I165"/>
    </row>
    <row r="166" spans="1:9" s="12" customFormat="1" x14ac:dyDescent="0.35">
      <c r="A166"/>
      <c r="B166"/>
      <c r="C166"/>
      <c r="D166"/>
      <c r="E166"/>
      <c r="F166"/>
      <c r="G166"/>
      <c r="H166"/>
      <c r="I166"/>
    </row>
    <row r="167" spans="1:9" s="12" customFormat="1" x14ac:dyDescent="0.35">
      <c r="A167"/>
      <c r="B167"/>
      <c r="C167"/>
      <c r="D167"/>
      <c r="E167"/>
      <c r="F167"/>
      <c r="G167"/>
      <c r="H167"/>
      <c r="I167"/>
    </row>
    <row r="168" spans="1:9" s="12" customFormat="1" x14ac:dyDescent="0.35">
      <c r="A168"/>
      <c r="B168"/>
      <c r="C168"/>
      <c r="D168"/>
      <c r="E168"/>
      <c r="F168"/>
      <c r="G168"/>
      <c r="H168"/>
      <c r="I168"/>
    </row>
    <row r="169" spans="1:9" s="12" customFormat="1" x14ac:dyDescent="0.35">
      <c r="A169"/>
      <c r="B169"/>
      <c r="C169"/>
      <c r="D169"/>
      <c r="E169"/>
      <c r="F169"/>
      <c r="G169"/>
      <c r="H169"/>
      <c r="I169"/>
    </row>
    <row r="170" spans="1:9" s="12" customFormat="1" x14ac:dyDescent="0.35">
      <c r="A170"/>
      <c r="B170"/>
      <c r="C170"/>
      <c r="D170"/>
      <c r="E170"/>
      <c r="F170"/>
      <c r="G170"/>
      <c r="H170"/>
      <c r="I170"/>
    </row>
    <row r="171" spans="1:9" s="12" customFormat="1" x14ac:dyDescent="0.35">
      <c r="A171"/>
      <c r="B171"/>
      <c r="C171"/>
      <c r="D171"/>
      <c r="E171"/>
      <c r="F171"/>
      <c r="G171"/>
      <c r="H171"/>
      <c r="I171"/>
    </row>
    <row r="172" spans="1:9" s="12" customFormat="1" x14ac:dyDescent="0.35">
      <c r="A172"/>
      <c r="B172"/>
      <c r="C172"/>
      <c r="D172"/>
      <c r="E172"/>
      <c r="F172"/>
      <c r="G172"/>
      <c r="H172"/>
      <c r="I172"/>
    </row>
    <row r="173" spans="1:9" s="12" customFormat="1" x14ac:dyDescent="0.35">
      <c r="A173"/>
      <c r="B173"/>
      <c r="C173"/>
      <c r="D173"/>
      <c r="E173"/>
      <c r="F173"/>
      <c r="G173"/>
      <c r="H173"/>
      <c r="I173"/>
    </row>
    <row r="174" spans="1:9" s="12" customFormat="1" x14ac:dyDescent="0.35">
      <c r="A174"/>
      <c r="B174"/>
      <c r="C174"/>
      <c r="D174"/>
      <c r="E174"/>
      <c r="F174"/>
      <c r="G174"/>
      <c r="H174"/>
      <c r="I174"/>
    </row>
    <row r="175" spans="1:9" s="12" customFormat="1" x14ac:dyDescent="0.35">
      <c r="A175"/>
      <c r="B175"/>
      <c r="C175"/>
      <c r="D175"/>
      <c r="E175"/>
      <c r="F175"/>
      <c r="G175"/>
      <c r="H175"/>
      <c r="I175"/>
    </row>
    <row r="176" spans="1:9" s="12" customFormat="1" x14ac:dyDescent="0.35">
      <c r="A176"/>
      <c r="B176"/>
      <c r="C176"/>
      <c r="D176"/>
      <c r="E176"/>
      <c r="F176"/>
      <c r="G176"/>
      <c r="H176"/>
      <c r="I176"/>
    </row>
    <row r="177" spans="1:9" s="12" customFormat="1" x14ac:dyDescent="0.35">
      <c r="A177"/>
      <c r="B177"/>
      <c r="C177"/>
      <c r="D177"/>
      <c r="E177"/>
      <c r="F177"/>
      <c r="G177"/>
      <c r="H177"/>
      <c r="I177"/>
    </row>
    <row r="178" spans="1:9" s="12" customFormat="1" x14ac:dyDescent="0.35">
      <c r="A178"/>
      <c r="B178"/>
      <c r="C178"/>
      <c r="D178"/>
      <c r="E178"/>
      <c r="F178"/>
      <c r="G178"/>
      <c r="H178"/>
      <c r="I178"/>
    </row>
    <row r="179" spans="1:9" s="12" customFormat="1" x14ac:dyDescent="0.35">
      <c r="A179"/>
      <c r="B179"/>
      <c r="C179"/>
      <c r="D179"/>
      <c r="E179"/>
      <c r="F179"/>
      <c r="G179"/>
      <c r="H179"/>
      <c r="I179"/>
    </row>
    <row r="180" spans="1:9" s="12" customFormat="1" x14ac:dyDescent="0.35">
      <c r="A180"/>
      <c r="B180"/>
      <c r="C180"/>
      <c r="D180"/>
      <c r="E180"/>
      <c r="F180"/>
      <c r="G180"/>
      <c r="H180"/>
      <c r="I180"/>
    </row>
    <row r="181" spans="1:9" s="12" customFormat="1" x14ac:dyDescent="0.35">
      <c r="A181"/>
      <c r="B181"/>
      <c r="C181"/>
      <c r="D181"/>
      <c r="E181"/>
      <c r="F181"/>
      <c r="G181"/>
      <c r="H181"/>
      <c r="I181"/>
    </row>
    <row r="182" spans="1:9" s="12" customFormat="1" x14ac:dyDescent="0.35">
      <c r="A182"/>
      <c r="B182"/>
      <c r="C182"/>
      <c r="D182"/>
      <c r="E182"/>
      <c r="F182"/>
      <c r="G182"/>
      <c r="H182"/>
      <c r="I182"/>
    </row>
    <row r="183" spans="1:9" s="12" customFormat="1" x14ac:dyDescent="0.35">
      <c r="A183"/>
      <c r="B183"/>
      <c r="C183"/>
      <c r="D183"/>
      <c r="E183"/>
      <c r="F183"/>
      <c r="G183"/>
      <c r="H183"/>
      <c r="I183"/>
    </row>
    <row r="184" spans="1:9" s="12" customFormat="1" x14ac:dyDescent="0.35">
      <c r="A184"/>
      <c r="B184"/>
      <c r="C184"/>
      <c r="D184"/>
      <c r="E184"/>
      <c r="F184"/>
      <c r="G184"/>
      <c r="H184"/>
      <c r="I184"/>
    </row>
    <row r="185" spans="1:9" s="12" customFormat="1" x14ac:dyDescent="0.35">
      <c r="A185"/>
      <c r="B185"/>
      <c r="C185"/>
      <c r="D185"/>
      <c r="E185"/>
      <c r="F185"/>
      <c r="G185"/>
      <c r="H185"/>
      <c r="I185"/>
    </row>
    <row r="186" spans="1:9" s="12" customFormat="1" x14ac:dyDescent="0.35">
      <c r="A186"/>
      <c r="B186"/>
      <c r="C186"/>
      <c r="D186"/>
      <c r="E186"/>
      <c r="F186"/>
      <c r="G186"/>
      <c r="H186"/>
      <c r="I186"/>
    </row>
    <row r="187" spans="1:9" s="12" customFormat="1" x14ac:dyDescent="0.35">
      <c r="A187"/>
      <c r="B187"/>
      <c r="C187"/>
      <c r="D187"/>
      <c r="E187"/>
      <c r="F187"/>
      <c r="G187"/>
      <c r="H187"/>
      <c r="I187"/>
    </row>
    <row r="188" spans="1:9" s="12" customFormat="1" x14ac:dyDescent="0.35">
      <c r="A188"/>
      <c r="B188"/>
      <c r="C188"/>
      <c r="D188"/>
      <c r="E188"/>
      <c r="F188"/>
      <c r="G188"/>
      <c r="H188"/>
      <c r="I188"/>
    </row>
    <row r="189" spans="1:9" s="12" customFormat="1" x14ac:dyDescent="0.35">
      <c r="A189"/>
      <c r="B189"/>
      <c r="C189"/>
      <c r="D189"/>
      <c r="E189"/>
      <c r="F189"/>
      <c r="G189"/>
      <c r="H189"/>
      <c r="I189"/>
    </row>
    <row r="190" spans="1:9" s="12" customFormat="1" x14ac:dyDescent="0.35">
      <c r="A190"/>
      <c r="B190"/>
      <c r="C190"/>
      <c r="D190"/>
      <c r="E190"/>
      <c r="F190"/>
      <c r="G190"/>
      <c r="H190"/>
      <c r="I190"/>
    </row>
    <row r="191" spans="1:9" s="12" customFormat="1" x14ac:dyDescent="0.35">
      <c r="A191"/>
      <c r="B191"/>
      <c r="C191"/>
      <c r="D191"/>
      <c r="E191"/>
      <c r="F191"/>
      <c r="G191"/>
      <c r="H191"/>
      <c r="I191"/>
    </row>
    <row r="192" spans="1:9" s="12" customFormat="1" x14ac:dyDescent="0.35">
      <c r="A192"/>
      <c r="B192"/>
      <c r="C192"/>
      <c r="D192"/>
      <c r="E192"/>
      <c r="F192"/>
      <c r="G192"/>
      <c r="H192"/>
      <c r="I192"/>
    </row>
    <row r="193" spans="1:9" s="12" customFormat="1" x14ac:dyDescent="0.35">
      <c r="A193"/>
      <c r="B193"/>
      <c r="C193"/>
      <c r="D193"/>
      <c r="E193"/>
      <c r="F193"/>
      <c r="G193"/>
      <c r="H193"/>
      <c r="I193"/>
    </row>
    <row r="194" spans="1:9" s="12" customFormat="1" x14ac:dyDescent="0.35">
      <c r="A194"/>
      <c r="B194"/>
      <c r="C194"/>
      <c r="D194"/>
      <c r="E194"/>
      <c r="F194"/>
      <c r="G194"/>
      <c r="H194"/>
      <c r="I194"/>
    </row>
    <row r="195" spans="1:9" s="12" customFormat="1" x14ac:dyDescent="0.35">
      <c r="A195"/>
      <c r="B195"/>
      <c r="C195"/>
      <c r="D195"/>
      <c r="E195"/>
      <c r="F195"/>
      <c r="G195"/>
      <c r="H195"/>
      <c r="I195"/>
    </row>
    <row r="196" spans="1:9" s="12" customFormat="1" x14ac:dyDescent="0.35">
      <c r="A196"/>
      <c r="B196"/>
      <c r="C196"/>
      <c r="D196"/>
      <c r="E196"/>
      <c r="F196"/>
      <c r="G196"/>
      <c r="H196"/>
      <c r="I196"/>
    </row>
    <row r="197" spans="1:9" s="12" customFormat="1" x14ac:dyDescent="0.35">
      <c r="A197"/>
      <c r="B197"/>
      <c r="C197"/>
      <c r="D197"/>
      <c r="E197"/>
      <c r="F197"/>
      <c r="G197"/>
      <c r="H197"/>
      <c r="I197"/>
    </row>
    <row r="198" spans="1:9" s="12" customFormat="1" x14ac:dyDescent="0.35">
      <c r="A198"/>
      <c r="B198"/>
      <c r="C198"/>
      <c r="D198"/>
      <c r="E198"/>
      <c r="F198"/>
      <c r="G198"/>
      <c r="H198"/>
      <c r="I198"/>
    </row>
    <row r="199" spans="1:9" s="12" customFormat="1" x14ac:dyDescent="0.35">
      <c r="A199"/>
      <c r="B199"/>
      <c r="C199"/>
      <c r="D199"/>
      <c r="E199"/>
      <c r="F199"/>
      <c r="G199"/>
      <c r="H199"/>
      <c r="I199"/>
    </row>
    <row r="200" spans="1:9" s="12" customFormat="1" x14ac:dyDescent="0.35">
      <c r="A200"/>
      <c r="B200"/>
      <c r="C200"/>
      <c r="D200"/>
      <c r="E200"/>
      <c r="F200"/>
      <c r="G200"/>
      <c r="H200"/>
      <c r="I200"/>
    </row>
    <row r="201" spans="1:9" s="12" customFormat="1" x14ac:dyDescent="0.35">
      <c r="A201"/>
      <c r="B201"/>
      <c r="C201"/>
      <c r="D201"/>
      <c r="E201"/>
      <c r="F201"/>
      <c r="G201"/>
      <c r="H201"/>
      <c r="I201"/>
    </row>
    <row r="202" spans="1:9" s="12" customFormat="1" x14ac:dyDescent="0.35">
      <c r="A202"/>
      <c r="B202"/>
      <c r="C202"/>
      <c r="D202"/>
      <c r="E202"/>
      <c r="F202"/>
      <c r="G202"/>
      <c r="H202"/>
      <c r="I202"/>
    </row>
    <row r="203" spans="1:9" s="12" customFormat="1" x14ac:dyDescent="0.35">
      <c r="A203"/>
      <c r="B203"/>
      <c r="C203"/>
      <c r="D203"/>
      <c r="E203"/>
      <c r="F203"/>
      <c r="G203"/>
      <c r="H203"/>
      <c r="I203"/>
    </row>
    <row r="204" spans="1:9" s="12" customFormat="1" x14ac:dyDescent="0.35">
      <c r="A204"/>
      <c r="B204"/>
      <c r="C204"/>
      <c r="D204"/>
      <c r="E204"/>
      <c r="F204"/>
      <c r="G204"/>
      <c r="H204"/>
      <c r="I204"/>
    </row>
    <row r="205" spans="1:9" s="12" customFormat="1" x14ac:dyDescent="0.35">
      <c r="A205"/>
      <c r="B205"/>
      <c r="C205"/>
      <c r="D205"/>
      <c r="E205"/>
      <c r="F205"/>
      <c r="G205"/>
      <c r="H205"/>
      <c r="I205"/>
    </row>
    <row r="206" spans="1:9" s="12" customFormat="1" x14ac:dyDescent="0.35">
      <c r="A206"/>
      <c r="B206"/>
      <c r="C206"/>
      <c r="D206"/>
      <c r="E206"/>
      <c r="F206"/>
      <c r="G206"/>
      <c r="H206"/>
      <c r="I206"/>
    </row>
    <row r="207" spans="1:9" s="12" customFormat="1" x14ac:dyDescent="0.35">
      <c r="A207"/>
      <c r="B207"/>
      <c r="C207"/>
      <c r="D207"/>
      <c r="E207"/>
      <c r="F207"/>
      <c r="G207"/>
      <c r="H207"/>
      <c r="I207"/>
    </row>
    <row r="208" spans="1:9" s="12" customFormat="1" x14ac:dyDescent="0.35">
      <c r="A208"/>
      <c r="B208"/>
      <c r="C208"/>
      <c r="D208"/>
      <c r="E208"/>
      <c r="F208"/>
      <c r="G208"/>
      <c r="H208"/>
      <c r="I208"/>
    </row>
    <row r="209" spans="1:9" s="12" customFormat="1" x14ac:dyDescent="0.35">
      <c r="A209"/>
      <c r="B209"/>
      <c r="C209"/>
      <c r="D209"/>
      <c r="E209"/>
      <c r="F209"/>
      <c r="G209"/>
      <c r="H209"/>
      <c r="I209"/>
    </row>
    <row r="210" spans="1:9" s="12" customFormat="1" x14ac:dyDescent="0.35">
      <c r="A210"/>
      <c r="B210"/>
      <c r="C210"/>
      <c r="D210"/>
      <c r="E210"/>
      <c r="F210"/>
      <c r="G210"/>
      <c r="H210"/>
      <c r="I210"/>
    </row>
    <row r="211" spans="1:9" s="12" customFormat="1" x14ac:dyDescent="0.35">
      <c r="A211"/>
      <c r="B211"/>
      <c r="C211"/>
      <c r="D211"/>
      <c r="E211"/>
      <c r="F211"/>
      <c r="G211"/>
      <c r="H211"/>
      <c r="I211"/>
    </row>
    <row r="212" spans="1:9" s="12" customFormat="1" x14ac:dyDescent="0.35">
      <c r="A212"/>
      <c r="B212"/>
      <c r="C212"/>
      <c r="D212"/>
      <c r="E212"/>
      <c r="F212"/>
      <c r="G212"/>
      <c r="H212"/>
      <c r="I212"/>
    </row>
    <row r="213" spans="1:9" s="12" customFormat="1" x14ac:dyDescent="0.35">
      <c r="A213"/>
      <c r="B213"/>
      <c r="C213"/>
      <c r="D213"/>
      <c r="E213"/>
      <c r="F213"/>
      <c r="G213"/>
      <c r="H213"/>
      <c r="I213"/>
    </row>
    <row r="214" spans="1:9" s="12" customFormat="1" x14ac:dyDescent="0.35">
      <c r="A214"/>
      <c r="B214"/>
      <c r="C214"/>
      <c r="D214"/>
      <c r="E214"/>
      <c r="F214"/>
      <c r="G214"/>
      <c r="H214"/>
      <c r="I214"/>
    </row>
    <row r="215" spans="1:9" s="12" customFormat="1" x14ac:dyDescent="0.35">
      <c r="A215"/>
      <c r="B215"/>
      <c r="C215"/>
      <c r="D215"/>
      <c r="E215"/>
      <c r="F215"/>
      <c r="G215"/>
      <c r="H215"/>
      <c r="I215"/>
    </row>
    <row r="216" spans="1:9" s="12" customFormat="1" x14ac:dyDescent="0.35">
      <c r="A216"/>
      <c r="B216"/>
      <c r="C216"/>
      <c r="D216"/>
      <c r="E216"/>
      <c r="F216"/>
      <c r="G216"/>
      <c r="H216"/>
      <c r="I216"/>
    </row>
    <row r="217" spans="1:9" s="12" customFormat="1" x14ac:dyDescent="0.35">
      <c r="A217"/>
      <c r="B217"/>
      <c r="C217"/>
      <c r="D217"/>
      <c r="E217"/>
      <c r="F217"/>
      <c r="G217"/>
      <c r="H217"/>
      <c r="I217"/>
    </row>
    <row r="218" spans="1:9" s="12" customFormat="1" x14ac:dyDescent="0.35">
      <c r="A218"/>
      <c r="B218"/>
      <c r="C218"/>
      <c r="D218"/>
      <c r="E218"/>
      <c r="F218"/>
      <c r="G218"/>
      <c r="H218"/>
      <c r="I218"/>
    </row>
    <row r="219" spans="1:9" s="12" customFormat="1" x14ac:dyDescent="0.35">
      <c r="A219"/>
      <c r="B219"/>
      <c r="C219"/>
      <c r="D219"/>
      <c r="E219"/>
      <c r="F219"/>
      <c r="G219"/>
      <c r="H219"/>
      <c r="I219"/>
    </row>
    <row r="220" spans="1:9" s="12" customFormat="1" x14ac:dyDescent="0.35">
      <c r="A220"/>
      <c r="B220"/>
      <c r="C220"/>
      <c r="D220"/>
      <c r="E220"/>
      <c r="F220"/>
      <c r="G220"/>
      <c r="H220"/>
      <c r="I220"/>
    </row>
    <row r="221" spans="1:9" s="12" customFormat="1" x14ac:dyDescent="0.35">
      <c r="A221"/>
      <c r="B221"/>
      <c r="C221"/>
      <c r="D221"/>
      <c r="E221"/>
      <c r="F221"/>
      <c r="G221"/>
      <c r="H221"/>
      <c r="I221"/>
    </row>
    <row r="222" spans="1:9" s="12" customFormat="1" x14ac:dyDescent="0.35">
      <c r="A222"/>
      <c r="B222"/>
      <c r="C222"/>
      <c r="D222"/>
      <c r="E222"/>
      <c r="F222"/>
      <c r="G222"/>
      <c r="H222"/>
      <c r="I222"/>
    </row>
    <row r="223" spans="1:9" s="12" customFormat="1" x14ac:dyDescent="0.35">
      <c r="A223"/>
      <c r="B223"/>
      <c r="C223"/>
      <c r="D223"/>
      <c r="E223"/>
      <c r="F223"/>
      <c r="G223"/>
      <c r="H223"/>
      <c r="I223"/>
    </row>
    <row r="224" spans="1:9" s="12" customFormat="1" x14ac:dyDescent="0.35">
      <c r="A224"/>
      <c r="B224"/>
      <c r="C224"/>
      <c r="D224"/>
      <c r="E224"/>
      <c r="F224"/>
      <c r="G224"/>
      <c r="H224"/>
      <c r="I224"/>
    </row>
    <row r="225" spans="1:9" s="12" customFormat="1" x14ac:dyDescent="0.35">
      <c r="A225"/>
      <c r="B225"/>
      <c r="C225"/>
      <c r="D225"/>
      <c r="E225"/>
      <c r="F225"/>
      <c r="G225"/>
      <c r="H225"/>
      <c r="I225"/>
    </row>
    <row r="226" spans="1:9" s="12" customFormat="1" x14ac:dyDescent="0.35">
      <c r="A226"/>
      <c r="B226"/>
      <c r="C226"/>
      <c r="D226"/>
      <c r="E226"/>
      <c r="F226"/>
      <c r="G226"/>
      <c r="H226"/>
      <c r="I226"/>
    </row>
    <row r="227" spans="1:9" s="12" customFormat="1" x14ac:dyDescent="0.35">
      <c r="A227"/>
      <c r="B227"/>
      <c r="C227"/>
      <c r="D227"/>
      <c r="E227"/>
      <c r="F227"/>
      <c r="G227"/>
      <c r="H227"/>
      <c r="I227"/>
    </row>
    <row r="228" spans="1:9" s="12" customFormat="1" x14ac:dyDescent="0.35">
      <c r="A228"/>
      <c r="B228"/>
      <c r="C228"/>
      <c r="D228"/>
      <c r="E228"/>
      <c r="F228"/>
      <c r="G228"/>
      <c r="H228"/>
      <c r="I228"/>
    </row>
    <row r="229" spans="1:9" s="12" customFormat="1" x14ac:dyDescent="0.35">
      <c r="A229"/>
      <c r="B229"/>
      <c r="C229"/>
      <c r="D229"/>
      <c r="E229"/>
      <c r="F229"/>
      <c r="G229"/>
      <c r="H229"/>
      <c r="I229"/>
    </row>
    <row r="230" spans="1:9" s="12" customFormat="1" x14ac:dyDescent="0.35">
      <c r="A230"/>
      <c r="B230"/>
      <c r="C230"/>
      <c r="D230"/>
      <c r="E230"/>
      <c r="F230"/>
      <c r="G230"/>
      <c r="H230"/>
      <c r="I230"/>
    </row>
    <row r="231" spans="1:9" s="12" customFormat="1" x14ac:dyDescent="0.35">
      <c r="A231"/>
      <c r="B231"/>
      <c r="C231"/>
      <c r="D231"/>
      <c r="E231"/>
      <c r="F231"/>
      <c r="G231"/>
      <c r="H231"/>
      <c r="I231"/>
    </row>
    <row r="232" spans="1:9" s="12" customFormat="1" x14ac:dyDescent="0.35">
      <c r="A232"/>
      <c r="B232"/>
      <c r="C232"/>
      <c r="D232"/>
      <c r="E232"/>
      <c r="F232"/>
      <c r="G232"/>
      <c r="H232"/>
      <c r="I232"/>
    </row>
  </sheetData>
  <phoneticPr fontId="1" type="noConversion"/>
  <dataValidations count="2">
    <dataValidation type="list" allowBlank="1" showInputMessage="1" showErrorMessage="1" sqref="O22" xr:uid="{E4CF7FE0-B233-4E5E-8092-C3F212C1C992}">
      <formula1>$S$8:$S$9</formula1>
    </dataValidation>
    <dataValidation type="list" allowBlank="1" showInputMessage="1" showErrorMessage="1" sqref="O25" xr:uid="{3A6CA656-B761-408A-A997-226B990FDCB6}">
      <formula1>$S$14:$S$15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EE06A4-0704-4188-8FE2-3C5881C75CCE}">
          <x14:formula1>
            <xm:f>TransportRate!$A$2:$A$309</xm:f>
          </x14:formula1>
          <xm:sqref>K12:K25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DFEC4-CD28-494E-9709-C8A73E56BAD7}">
  <sheetPr codeName="Sheet2"/>
  <dimension ref="A1:G40"/>
  <sheetViews>
    <sheetView tabSelected="1" workbookViewId="0">
      <selection activeCell="A45" sqref="A44:A45"/>
    </sheetView>
  </sheetViews>
  <sheetFormatPr defaultColWidth="0" defaultRowHeight="14.5" x14ac:dyDescent="0.35"/>
  <cols>
    <col min="1" max="1" width="77.7265625" bestFit="1" customWidth="1"/>
    <col min="2" max="2" width="7.453125" bestFit="1" customWidth="1"/>
    <col min="3" max="3" width="8.26953125" bestFit="1" customWidth="1"/>
    <col min="4" max="4" width="9.26953125" bestFit="1" customWidth="1"/>
    <col min="5" max="7" width="9.1796875" style="12" customWidth="1"/>
    <col min="8" max="16384" width="9.1796875" hidden="1"/>
  </cols>
  <sheetData>
    <row r="1" spans="1:4" x14ac:dyDescent="0.35">
      <c r="A1" s="8" t="s">
        <v>16</v>
      </c>
      <c r="B1" s="8" t="s">
        <v>17</v>
      </c>
      <c r="C1" s="8" t="s">
        <v>372</v>
      </c>
      <c r="D1" s="8" t="s">
        <v>381</v>
      </c>
    </row>
    <row r="2" spans="1:4" x14ac:dyDescent="0.35">
      <c r="A2" s="5" t="s">
        <v>18</v>
      </c>
      <c r="B2">
        <v>12.62</v>
      </c>
      <c r="C2" s="7" t="b">
        <v>1</v>
      </c>
      <c r="D2" s="4">
        <f>AVERAGE(AU[Estimate Container QTY])</f>
        <v>17</v>
      </c>
    </row>
    <row r="3" spans="1:4" x14ac:dyDescent="0.35">
      <c r="A3" s="5" t="s">
        <v>19</v>
      </c>
      <c r="B3">
        <v>15.78</v>
      </c>
      <c r="C3" s="7" t="b">
        <v>0</v>
      </c>
      <c r="D3" s="4">
        <f>AVERAGE(AU[Estimate Container QTY])</f>
        <v>17</v>
      </c>
    </row>
    <row r="4" spans="1:4" x14ac:dyDescent="0.35">
      <c r="A4" s="5" t="s">
        <v>20</v>
      </c>
      <c r="B4">
        <v>300.3</v>
      </c>
      <c r="C4" s="7" t="b">
        <v>0</v>
      </c>
      <c r="D4" s="4">
        <f>AVERAGE(AU[Estimate Container QTY])</f>
        <v>17</v>
      </c>
    </row>
    <row r="5" spans="1:4" x14ac:dyDescent="0.35">
      <c r="A5" s="5" t="s">
        <v>21</v>
      </c>
      <c r="B5">
        <v>584.78</v>
      </c>
      <c r="C5" s="7" t="b">
        <v>0</v>
      </c>
      <c r="D5" s="4">
        <f>AVERAGE(AU[Estimate Container QTY])</f>
        <v>17</v>
      </c>
    </row>
    <row r="6" spans="1:4" x14ac:dyDescent="0.35">
      <c r="A6" s="5" t="s">
        <v>22</v>
      </c>
      <c r="B6">
        <v>363.66</v>
      </c>
      <c r="C6" s="7" t="b">
        <v>0</v>
      </c>
      <c r="D6" s="4">
        <f>AVERAGE(AU[Estimate Container QTY])</f>
        <v>17</v>
      </c>
    </row>
    <row r="7" spans="1:4" x14ac:dyDescent="0.35">
      <c r="A7" s="5" t="s">
        <v>23</v>
      </c>
      <c r="B7">
        <v>770.74</v>
      </c>
      <c r="C7" s="7" t="b">
        <v>1</v>
      </c>
      <c r="D7" s="4">
        <f>AVERAGE(AU[Estimate Container QTY])</f>
        <v>17</v>
      </c>
    </row>
    <row r="8" spans="1:4" x14ac:dyDescent="0.35">
      <c r="A8" s="5" t="s">
        <v>24</v>
      </c>
      <c r="B8">
        <v>4.47</v>
      </c>
      <c r="C8" s="7" t="b">
        <v>0</v>
      </c>
      <c r="D8">
        <f>SUM(AU[Pallet Quantity])</f>
        <v>653</v>
      </c>
    </row>
    <row r="9" spans="1:4" x14ac:dyDescent="0.35">
      <c r="A9" s="5" t="s">
        <v>25</v>
      </c>
      <c r="B9">
        <v>4.3099999999999996</v>
      </c>
      <c r="C9" s="7" t="b">
        <v>1</v>
      </c>
      <c r="D9">
        <f>SUM(AU[Pallet Quantity])</f>
        <v>653</v>
      </c>
    </row>
    <row r="10" spans="1:4" x14ac:dyDescent="0.35">
      <c r="A10" s="5" t="s">
        <v>26</v>
      </c>
      <c r="B10">
        <v>4.5199999999999996</v>
      </c>
      <c r="C10" s="7" t="b">
        <v>1</v>
      </c>
      <c r="D10">
        <f>SUM(AU[Pallet Quantity])</f>
        <v>653</v>
      </c>
    </row>
    <row r="11" spans="1:4" x14ac:dyDescent="0.35">
      <c r="A11" s="5" t="s">
        <v>27</v>
      </c>
      <c r="B11">
        <v>0.76</v>
      </c>
      <c r="C11" s="7" t="b">
        <v>0</v>
      </c>
      <c r="D11">
        <f>SUM(AU[Pallet Quantity])</f>
        <v>653</v>
      </c>
    </row>
    <row r="12" spans="1:4" x14ac:dyDescent="0.35">
      <c r="A12" s="5" t="s">
        <v>28</v>
      </c>
      <c r="B12">
        <v>1.43</v>
      </c>
      <c r="C12" s="7" t="b">
        <v>1</v>
      </c>
      <c r="D12">
        <f>SUM(AU[Pallet Quantity])</f>
        <v>653</v>
      </c>
    </row>
    <row r="13" spans="1:4" x14ac:dyDescent="0.35">
      <c r="A13" s="5" t="s">
        <v>29</v>
      </c>
      <c r="B13">
        <v>1.05</v>
      </c>
      <c r="C13" s="7" t="b">
        <v>0</v>
      </c>
      <c r="D13">
        <f>SUM(AU[Pallet Quantity])</f>
        <v>653</v>
      </c>
    </row>
    <row r="14" spans="1:4" x14ac:dyDescent="0.35">
      <c r="A14" s="5" t="s">
        <v>30</v>
      </c>
      <c r="B14">
        <v>2.36</v>
      </c>
      <c r="C14" s="7" t="b">
        <v>0</v>
      </c>
      <c r="D14">
        <f>SUM(AU[Pallet Quantity])</f>
        <v>653</v>
      </c>
    </row>
    <row r="15" spans="1:4" x14ac:dyDescent="0.35">
      <c r="A15" s="5" t="s">
        <v>31</v>
      </c>
      <c r="B15">
        <v>1.1399999999999999</v>
      </c>
      <c r="C15" s="7" t="b">
        <v>0</v>
      </c>
      <c r="D15">
        <f>SUM(AU[Annual Case Quantity])</f>
        <v>28778</v>
      </c>
    </row>
    <row r="16" spans="1:4" x14ac:dyDescent="0.35">
      <c r="A16" s="5" t="s">
        <v>32</v>
      </c>
      <c r="B16">
        <v>5.84</v>
      </c>
      <c r="C16" s="7" t="b">
        <v>1</v>
      </c>
      <c r="D16">
        <f>SUM(AU[Pallet Quantity])</f>
        <v>653</v>
      </c>
    </row>
    <row r="17" spans="1:4" x14ac:dyDescent="0.35">
      <c r="A17" s="5" t="s">
        <v>33</v>
      </c>
      <c r="B17">
        <v>368.2</v>
      </c>
      <c r="C17" s="7" t="b">
        <v>0</v>
      </c>
      <c r="D17">
        <v>52</v>
      </c>
    </row>
    <row r="18" spans="1:4" x14ac:dyDescent="0.35">
      <c r="A18" s="5" t="s">
        <v>34</v>
      </c>
      <c r="B18">
        <v>683.8</v>
      </c>
      <c r="C18" s="7" t="b">
        <v>0</v>
      </c>
      <c r="D18">
        <v>52</v>
      </c>
    </row>
    <row r="19" spans="1:4" x14ac:dyDescent="0.35">
      <c r="A19" s="5" t="s">
        <v>35</v>
      </c>
      <c r="B19">
        <v>73.64</v>
      </c>
      <c r="C19" s="7" t="b">
        <v>0</v>
      </c>
      <c r="D19" s="11"/>
    </row>
    <row r="20" spans="1:4" x14ac:dyDescent="0.35">
      <c r="A20" s="5" t="s">
        <v>36</v>
      </c>
      <c r="B20">
        <v>84.16</v>
      </c>
      <c r="C20" s="7" t="b">
        <v>0</v>
      </c>
      <c r="D20" s="11"/>
    </row>
    <row r="21" spans="1:4" x14ac:dyDescent="0.35">
      <c r="A21" s="5" t="s">
        <v>37</v>
      </c>
      <c r="B21">
        <v>12.624000000000001</v>
      </c>
      <c r="C21" s="7" t="b">
        <v>0</v>
      </c>
      <c r="D21" s="11"/>
    </row>
    <row r="22" spans="1:4" x14ac:dyDescent="0.35">
      <c r="A22" s="5" t="s">
        <v>38</v>
      </c>
      <c r="B22">
        <v>3.1560000000000001</v>
      </c>
      <c r="C22" s="7" t="b">
        <v>0</v>
      </c>
      <c r="D22" s="11"/>
    </row>
    <row r="23" spans="1:4" x14ac:dyDescent="0.35">
      <c r="A23" s="5" t="s">
        <v>39</v>
      </c>
      <c r="B23">
        <v>5.26</v>
      </c>
      <c r="C23" s="7" t="b">
        <v>0</v>
      </c>
      <c r="D23" s="11"/>
    </row>
    <row r="24" spans="1:4" x14ac:dyDescent="0.35">
      <c r="A24" s="5" t="s">
        <v>40</v>
      </c>
      <c r="B24">
        <v>36.82</v>
      </c>
      <c r="C24" s="7" t="b">
        <v>0</v>
      </c>
      <c r="D24" s="11"/>
    </row>
    <row r="25" spans="1:4" x14ac:dyDescent="0.35">
      <c r="A25" s="5" t="s">
        <v>41</v>
      </c>
      <c r="B25">
        <v>4.5236000000000001</v>
      </c>
      <c r="C25" s="7" t="b">
        <v>1</v>
      </c>
      <c r="D25">
        <f>SUM(AU[Pallet Quantity])</f>
        <v>653</v>
      </c>
    </row>
    <row r="26" spans="1:4" x14ac:dyDescent="0.35">
      <c r="A26" s="5" t="s">
        <v>42</v>
      </c>
      <c r="B26">
        <v>0.75744</v>
      </c>
      <c r="C26" s="7" t="b">
        <v>0</v>
      </c>
      <c r="D26">
        <f>SUM(AU[Annual Case Quantity])</f>
        <v>28778</v>
      </c>
    </row>
    <row r="27" spans="1:4" x14ac:dyDescent="0.35">
      <c r="A27" s="5" t="s">
        <v>43</v>
      </c>
      <c r="B27">
        <v>1.4202000000000001</v>
      </c>
      <c r="C27" s="7" t="b">
        <v>0</v>
      </c>
      <c r="D27">
        <f>SUM(AU[Pallet Quantity])</f>
        <v>653</v>
      </c>
    </row>
    <row r="28" spans="1:4" x14ac:dyDescent="0.35">
      <c r="A28" s="5" t="s">
        <v>44</v>
      </c>
      <c r="B28">
        <v>1.052</v>
      </c>
      <c r="C28" s="7" t="b">
        <v>0</v>
      </c>
      <c r="D28">
        <f>SUM(AU[Pallet Quantity])</f>
        <v>653</v>
      </c>
    </row>
    <row r="29" spans="1:4" x14ac:dyDescent="0.35">
      <c r="A29" s="5" t="s">
        <v>45</v>
      </c>
      <c r="B29">
        <v>2.3564800000000004</v>
      </c>
      <c r="C29" s="7" t="b">
        <v>0</v>
      </c>
      <c r="D29">
        <f>SUM(AU[Pallet Quantity])</f>
        <v>653</v>
      </c>
    </row>
    <row r="30" spans="1:4" x14ac:dyDescent="0.35">
      <c r="A30" s="5" t="s">
        <v>46</v>
      </c>
      <c r="B30">
        <v>3.5136799999999999</v>
      </c>
      <c r="C30" s="7" t="b">
        <v>0</v>
      </c>
      <c r="D30">
        <f>SUM(AU[Annual Case Quantity])</f>
        <v>28778</v>
      </c>
    </row>
    <row r="31" spans="1:4" x14ac:dyDescent="0.35">
      <c r="A31" s="5" t="s">
        <v>47</v>
      </c>
      <c r="B31">
        <v>15.78</v>
      </c>
      <c r="C31" s="7" t="b">
        <v>0</v>
      </c>
      <c r="D31" s="11"/>
    </row>
    <row r="32" spans="1:4" x14ac:dyDescent="0.35">
      <c r="A32" s="5" t="s">
        <v>25</v>
      </c>
      <c r="B32">
        <v>4.2606000000000002</v>
      </c>
      <c r="C32" s="7" t="b">
        <v>0</v>
      </c>
      <c r="D32">
        <f>SUM(AU[Pallet Quantity])</f>
        <v>653</v>
      </c>
    </row>
    <row r="33" spans="1:4" x14ac:dyDescent="0.35">
      <c r="A33" s="5" t="s">
        <v>48</v>
      </c>
      <c r="B33">
        <v>0.68379999999999996</v>
      </c>
      <c r="C33" s="7" t="b">
        <v>1</v>
      </c>
      <c r="D33">
        <f>SUM(AU[Pallet Quantity])</f>
        <v>653</v>
      </c>
    </row>
    <row r="34" spans="1:4" x14ac:dyDescent="0.35">
      <c r="A34" s="5" t="s">
        <v>49</v>
      </c>
      <c r="B34">
        <v>0.55756000000000006</v>
      </c>
      <c r="C34" s="7" t="b">
        <v>1</v>
      </c>
      <c r="D34">
        <f>SUM(AU[Pallet Quantity])</f>
        <v>653</v>
      </c>
    </row>
    <row r="35" spans="1:4" x14ac:dyDescent="0.35">
      <c r="A35" s="5" t="s">
        <v>50</v>
      </c>
      <c r="B35">
        <v>0.75744</v>
      </c>
      <c r="C35" s="7" t="b">
        <v>0</v>
      </c>
      <c r="D35">
        <f>SUM(AU[Annual Case Quantity])</f>
        <v>28778</v>
      </c>
    </row>
    <row r="36" spans="1:4" x14ac:dyDescent="0.35">
      <c r="A36" s="5" t="s">
        <v>51</v>
      </c>
      <c r="B36">
        <v>3.96604</v>
      </c>
      <c r="C36" s="7" t="b">
        <v>1</v>
      </c>
      <c r="D36">
        <f>SUM(AU[Pallet Quantity])</f>
        <v>653</v>
      </c>
    </row>
    <row r="37" spans="1:4" x14ac:dyDescent="0.35">
      <c r="A37" s="5" t="s">
        <v>52</v>
      </c>
      <c r="B37">
        <v>44.183999999999997</v>
      </c>
      <c r="C37" s="7" t="b">
        <v>0</v>
      </c>
      <c r="D37">
        <f>SUM(AU[Pallet Quantity])</f>
        <v>653</v>
      </c>
    </row>
    <row r="38" spans="1:4" x14ac:dyDescent="0.35">
      <c r="A38" s="5" t="s">
        <v>53</v>
      </c>
      <c r="B38">
        <v>0.73639999999999994</v>
      </c>
      <c r="C38" s="7" t="b">
        <v>0</v>
      </c>
      <c r="D38">
        <f>SUM(AU[Pallet Quantity])</f>
        <v>653</v>
      </c>
    </row>
    <row r="39" spans="1:4" x14ac:dyDescent="0.35">
      <c r="A39" s="5" t="s">
        <v>54</v>
      </c>
      <c r="B39">
        <v>1.9356800000000001</v>
      </c>
      <c r="C39" s="7" t="b">
        <v>0</v>
      </c>
      <c r="D39" s="11"/>
    </row>
    <row r="40" spans="1:4" x14ac:dyDescent="0.35">
      <c r="A40" s="5" t="s">
        <v>55</v>
      </c>
      <c r="B40">
        <v>4.2606000000000002</v>
      </c>
      <c r="C40" s="7" t="b">
        <v>0</v>
      </c>
      <c r="D40" s="11"/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23C9-FEC1-4CCB-A910-FC816AEBDCA7}">
  <sheetPr codeName="Sheet14"/>
  <dimension ref="A1:O346"/>
  <sheetViews>
    <sheetView workbookViewId="0">
      <selection activeCell="B24" sqref="B24"/>
    </sheetView>
  </sheetViews>
  <sheetFormatPr defaultColWidth="0" defaultRowHeight="14.5" x14ac:dyDescent="0.35"/>
  <cols>
    <col min="1" max="1" width="10.1796875" bestFit="1" customWidth="1"/>
    <col min="2" max="2" width="71.26953125" bestFit="1" customWidth="1"/>
    <col min="3" max="3" width="10" style="22" bestFit="1" customWidth="1"/>
    <col min="4" max="4" width="10.1796875" style="40" bestFit="1" customWidth="1"/>
    <col min="5" max="5" width="12.1796875" bestFit="1" customWidth="1"/>
    <col min="6" max="6" width="15.1796875" style="9" bestFit="1" customWidth="1"/>
    <col min="7" max="7" width="0.453125" style="53" customWidth="1"/>
    <col min="8" max="9" width="12" style="22" hidden="1" customWidth="1"/>
    <col min="10" max="10" width="16.26953125" hidden="1" customWidth="1"/>
    <col min="11" max="11" width="18.81640625" hidden="1" customWidth="1"/>
    <col min="12" max="12" width="10.81640625" hidden="1" customWidth="1"/>
    <col min="13" max="13" width="14" hidden="1" customWidth="1"/>
    <col min="14" max="14" width="16.81640625" hidden="1" customWidth="1"/>
    <col min="15" max="15" width="12" hidden="1" customWidth="1"/>
    <col min="16" max="16384" width="9.1796875" hidden="1"/>
  </cols>
  <sheetData>
    <row r="1" spans="1:9" x14ac:dyDescent="0.35">
      <c r="A1" t="s">
        <v>379</v>
      </c>
      <c r="B1" t="s">
        <v>16</v>
      </c>
      <c r="C1" s="22" t="s">
        <v>579</v>
      </c>
      <c r="D1" s="40" t="s">
        <v>17</v>
      </c>
      <c r="E1" t="s">
        <v>577</v>
      </c>
      <c r="F1" s="9" t="s">
        <v>384</v>
      </c>
      <c r="G1" s="12"/>
      <c r="H1"/>
      <c r="I1"/>
    </row>
    <row r="2" spans="1:9" x14ac:dyDescent="0.35">
      <c r="A2" s="62" t="s">
        <v>375</v>
      </c>
      <c r="B2" t="s">
        <v>376</v>
      </c>
      <c r="C2" s="22">
        <v>17</v>
      </c>
      <c r="D2" s="40">
        <v>3822</v>
      </c>
      <c r="E2" s="40">
        <v>64974</v>
      </c>
      <c r="F2" s="9">
        <v>0.27786870474607001</v>
      </c>
      <c r="G2" s="52"/>
      <c r="H2"/>
      <c r="I2"/>
    </row>
    <row r="3" spans="1:9" x14ac:dyDescent="0.35">
      <c r="A3" s="62" t="s">
        <v>375</v>
      </c>
      <c r="B3" t="s">
        <v>377</v>
      </c>
      <c r="C3" s="22">
        <v>17</v>
      </c>
      <c r="D3" s="40">
        <v>1617</v>
      </c>
      <c r="E3" s="40">
        <v>27489</v>
      </c>
      <c r="F3" s="9">
        <v>0.11755983662333699</v>
      </c>
      <c r="G3" s="52"/>
      <c r="H3"/>
      <c r="I3"/>
    </row>
    <row r="4" spans="1:9" x14ac:dyDescent="0.35">
      <c r="A4" t="s">
        <v>380</v>
      </c>
      <c r="B4" t="s">
        <v>18</v>
      </c>
      <c r="C4" s="22">
        <v>17</v>
      </c>
      <c r="D4" s="40">
        <v>12.62</v>
      </c>
      <c r="E4" s="40">
        <v>214.54</v>
      </c>
      <c r="F4" s="9">
        <v>9.1750472367749995E-4</v>
      </c>
      <c r="G4" s="52"/>
      <c r="H4"/>
      <c r="I4"/>
    </row>
    <row r="5" spans="1:9" x14ac:dyDescent="0.35">
      <c r="A5" t="s">
        <v>380</v>
      </c>
      <c r="B5" t="s">
        <v>23</v>
      </c>
      <c r="C5" s="22">
        <v>17</v>
      </c>
      <c r="D5" s="40">
        <v>770.74</v>
      </c>
      <c r="E5" s="40">
        <v>13102.58</v>
      </c>
      <c r="F5" s="9">
        <v>5.6034674384088497E-2</v>
      </c>
      <c r="G5" s="52"/>
      <c r="H5"/>
      <c r="I5"/>
    </row>
    <row r="6" spans="1:9" x14ac:dyDescent="0.35">
      <c r="A6" t="s">
        <v>380</v>
      </c>
      <c r="B6" t="s">
        <v>25</v>
      </c>
      <c r="C6" s="22">
        <v>653</v>
      </c>
      <c r="D6" s="40">
        <v>4.3099999999999996</v>
      </c>
      <c r="E6" s="40">
        <v>2814.43</v>
      </c>
      <c r="F6" s="9">
        <v>1.20362301643501E-2</v>
      </c>
      <c r="G6" s="52"/>
      <c r="H6"/>
      <c r="I6"/>
    </row>
    <row r="7" spans="1:9" x14ac:dyDescent="0.35">
      <c r="A7" t="s">
        <v>380</v>
      </c>
      <c r="B7" t="s">
        <v>26</v>
      </c>
      <c r="C7" s="22">
        <v>653</v>
      </c>
      <c r="D7" s="40">
        <v>4.5199999999999996</v>
      </c>
      <c r="E7" s="40">
        <v>2951.56</v>
      </c>
      <c r="F7" s="9">
        <v>1.26226822141212E-2</v>
      </c>
      <c r="G7" s="52"/>
      <c r="H7"/>
      <c r="I7"/>
    </row>
    <row r="8" spans="1:9" x14ac:dyDescent="0.35">
      <c r="A8" t="s">
        <v>380</v>
      </c>
      <c r="B8" t="s">
        <v>28</v>
      </c>
      <c r="C8" s="22">
        <v>653</v>
      </c>
      <c r="D8" s="40">
        <v>1.43</v>
      </c>
      <c r="E8" s="40">
        <v>933.79</v>
      </c>
      <c r="F8" s="9">
        <v>3.9934591960604704E-3</v>
      </c>
      <c r="G8" s="52"/>
      <c r="H8"/>
      <c r="I8"/>
    </row>
    <row r="9" spans="1:9" x14ac:dyDescent="0.35">
      <c r="A9" t="s">
        <v>380</v>
      </c>
      <c r="B9" t="s">
        <v>32</v>
      </c>
      <c r="C9" s="22">
        <v>653</v>
      </c>
      <c r="D9" s="40">
        <v>5.84</v>
      </c>
      <c r="E9" s="40">
        <v>3813.52</v>
      </c>
      <c r="F9" s="9">
        <v>1.63089522412539E-2</v>
      </c>
      <c r="G9" s="52"/>
      <c r="H9"/>
      <c r="I9"/>
    </row>
    <row r="10" spans="1:9" x14ac:dyDescent="0.35">
      <c r="A10" t="s">
        <v>380</v>
      </c>
      <c r="B10" t="s">
        <v>41</v>
      </c>
      <c r="C10" s="22">
        <v>653</v>
      </c>
      <c r="D10" s="40">
        <v>4.5236000000000001</v>
      </c>
      <c r="E10" s="40">
        <v>2953.9108000000001</v>
      </c>
      <c r="F10" s="9">
        <v>1.2632735677831601E-2</v>
      </c>
      <c r="G10" s="52"/>
      <c r="H10"/>
      <c r="I10"/>
    </row>
    <row r="11" spans="1:9" x14ac:dyDescent="0.35">
      <c r="A11" t="s">
        <v>380</v>
      </c>
      <c r="B11" t="s">
        <v>48</v>
      </c>
      <c r="C11" s="22">
        <v>653</v>
      </c>
      <c r="D11" s="40">
        <v>0.68379999999999996</v>
      </c>
      <c r="E11" s="40">
        <v>446.52139999999997</v>
      </c>
      <c r="F11" s="9">
        <v>1.9095995792070999E-3</v>
      </c>
      <c r="G11" s="52"/>
      <c r="H11"/>
      <c r="I11"/>
    </row>
    <row r="12" spans="1:9" x14ac:dyDescent="0.35">
      <c r="A12" t="s">
        <v>380</v>
      </c>
      <c r="B12" t="s">
        <v>49</v>
      </c>
      <c r="C12" s="22">
        <v>653</v>
      </c>
      <c r="D12" s="40">
        <v>0.55755999999999994</v>
      </c>
      <c r="E12" s="40">
        <v>364.08668000000006</v>
      </c>
      <c r="F12" s="9">
        <v>1.5570581184304001E-3</v>
      </c>
      <c r="G12" s="52"/>
      <c r="H12"/>
      <c r="I12"/>
    </row>
    <row r="13" spans="1:9" x14ac:dyDescent="0.35">
      <c r="A13" t="s">
        <v>380</v>
      </c>
      <c r="B13" t="s">
        <v>51</v>
      </c>
      <c r="C13" s="22">
        <v>653</v>
      </c>
      <c r="D13" s="40">
        <v>3.96604</v>
      </c>
      <c r="E13" s="40">
        <v>2589.8241200000002</v>
      </c>
      <c r="F13" s="9">
        <v>1.10756775594012E-2</v>
      </c>
      <c r="G13" s="52"/>
      <c r="H13"/>
      <c r="I13"/>
    </row>
    <row r="14" spans="1:9" x14ac:dyDescent="0.35">
      <c r="A14" t="s">
        <v>383</v>
      </c>
      <c r="B14" t="s">
        <v>59</v>
      </c>
      <c r="C14" s="22">
        <v>21</v>
      </c>
      <c r="D14" s="40">
        <v>2610.9927265304759</v>
      </c>
      <c r="E14" s="40">
        <v>54830.847257139991</v>
      </c>
      <c r="F14" s="9">
        <v>0.23449035779652</v>
      </c>
      <c r="G14" s="52"/>
      <c r="H14"/>
      <c r="I14"/>
    </row>
    <row r="15" spans="1:9" x14ac:dyDescent="0.35">
      <c r="A15" t="s">
        <v>383</v>
      </c>
      <c r="B15" t="s">
        <v>284</v>
      </c>
      <c r="C15" s="22">
        <v>3</v>
      </c>
      <c r="D15" s="40">
        <v>7633.71570488</v>
      </c>
      <c r="E15" s="40">
        <v>22901.14711464</v>
      </c>
      <c r="F15" s="9">
        <v>9.7939361682276294E-2</v>
      </c>
      <c r="G15" s="12"/>
      <c r="H15"/>
      <c r="I15"/>
    </row>
    <row r="16" spans="1:9" x14ac:dyDescent="0.35">
      <c r="A16" t="s">
        <v>383</v>
      </c>
      <c r="B16" t="s">
        <v>331</v>
      </c>
      <c r="C16" s="22">
        <v>5</v>
      </c>
      <c r="D16" s="40">
        <v>6664.4202887299989</v>
      </c>
      <c r="E16" s="40">
        <v>33322.101443649997</v>
      </c>
      <c r="F16" s="9">
        <v>0.142505758727555</v>
      </c>
      <c r="G16" s="12"/>
      <c r="H16"/>
      <c r="I16"/>
    </row>
    <row r="17" spans="1:9" x14ac:dyDescent="0.35">
      <c r="A17" t="s">
        <v>383</v>
      </c>
      <c r="B17" t="s">
        <v>58</v>
      </c>
      <c r="C17" s="22">
        <v>1</v>
      </c>
      <c r="D17" s="40">
        <v>128</v>
      </c>
      <c r="E17" s="40">
        <v>128</v>
      </c>
      <c r="F17" s="9">
        <v>5.4740656581858899E-4</v>
      </c>
      <c r="G17" s="12"/>
      <c r="H17"/>
      <c r="I17"/>
    </row>
    <row r="18" spans="1:9" x14ac:dyDescent="0.35">
      <c r="E18" s="40">
        <f>SUM(E2:E17)</f>
        <v>233829.85881542994</v>
      </c>
      <c r="F18" s="45"/>
    </row>
    <row r="19" spans="1:9" x14ac:dyDescent="0.35">
      <c r="E19" s="40"/>
    </row>
    <row r="20" spans="1:9" x14ac:dyDescent="0.35">
      <c r="E20" s="40"/>
    </row>
    <row r="21" spans="1:9" x14ac:dyDescent="0.35">
      <c r="E21" s="40"/>
    </row>
    <row r="22" spans="1:9" x14ac:dyDescent="0.35">
      <c r="E22" s="40"/>
    </row>
    <row r="23" spans="1:9" x14ac:dyDescent="0.35">
      <c r="E23" s="40"/>
    </row>
    <row r="24" spans="1:9" x14ac:dyDescent="0.35">
      <c r="E24" s="40"/>
    </row>
    <row r="25" spans="1:9" x14ac:dyDescent="0.35">
      <c r="E25" s="40"/>
    </row>
    <row r="26" spans="1:9" x14ac:dyDescent="0.35">
      <c r="E26" s="40"/>
    </row>
    <row r="27" spans="1:9" x14ac:dyDescent="0.35">
      <c r="E27" s="40"/>
    </row>
    <row r="28" spans="1:9" x14ac:dyDescent="0.35">
      <c r="E28" s="40"/>
    </row>
    <row r="29" spans="1:9" x14ac:dyDescent="0.35">
      <c r="E29" s="40"/>
    </row>
    <row r="30" spans="1:9" x14ac:dyDescent="0.35">
      <c r="E30" s="40"/>
    </row>
    <row r="31" spans="1:9" x14ac:dyDescent="0.35">
      <c r="E31" s="40"/>
    </row>
    <row r="32" spans="1:9" x14ac:dyDescent="0.35">
      <c r="E32" s="40"/>
    </row>
    <row r="33" spans="5:5" x14ac:dyDescent="0.35">
      <c r="E33" s="40"/>
    </row>
    <row r="34" spans="5:5" x14ac:dyDescent="0.35">
      <c r="E34" s="40"/>
    </row>
    <row r="35" spans="5:5" x14ac:dyDescent="0.35">
      <c r="E35" s="40"/>
    </row>
    <row r="36" spans="5:5" x14ac:dyDescent="0.35">
      <c r="E36" s="40"/>
    </row>
    <row r="37" spans="5:5" x14ac:dyDescent="0.35">
      <c r="E37" s="40"/>
    </row>
    <row r="38" spans="5:5" x14ac:dyDescent="0.35">
      <c r="E38" s="40"/>
    </row>
    <row r="39" spans="5:5" x14ac:dyDescent="0.35">
      <c r="E39" s="40"/>
    </row>
    <row r="40" spans="5:5" x14ac:dyDescent="0.35">
      <c r="E40" s="40"/>
    </row>
    <row r="41" spans="5:5" x14ac:dyDescent="0.35">
      <c r="E41" s="40"/>
    </row>
    <row r="42" spans="5:5" x14ac:dyDescent="0.35">
      <c r="E42" s="40"/>
    </row>
    <row r="43" spans="5:5" x14ac:dyDescent="0.35">
      <c r="E43" s="40"/>
    </row>
    <row r="44" spans="5:5" x14ac:dyDescent="0.35">
      <c r="E44" s="40"/>
    </row>
    <row r="45" spans="5:5" x14ac:dyDescent="0.35">
      <c r="E45" s="40"/>
    </row>
    <row r="46" spans="5:5" x14ac:dyDescent="0.35">
      <c r="E46" s="40"/>
    </row>
    <row r="47" spans="5:5" x14ac:dyDescent="0.35">
      <c r="E47" s="40"/>
    </row>
    <row r="48" spans="5:5" x14ac:dyDescent="0.35">
      <c r="E48" s="40"/>
    </row>
    <row r="49" spans="5:5" x14ac:dyDescent="0.35">
      <c r="E49" s="40"/>
    </row>
    <row r="50" spans="5:5" x14ac:dyDescent="0.35">
      <c r="E50" s="40"/>
    </row>
    <row r="51" spans="5:5" x14ac:dyDescent="0.35">
      <c r="E51" s="40"/>
    </row>
    <row r="52" spans="5:5" x14ac:dyDescent="0.35">
      <c r="E52" s="40"/>
    </row>
    <row r="53" spans="5:5" x14ac:dyDescent="0.35">
      <c r="E53" s="40"/>
    </row>
    <row r="54" spans="5:5" x14ac:dyDescent="0.35">
      <c r="E54" s="40"/>
    </row>
    <row r="55" spans="5:5" x14ac:dyDescent="0.35">
      <c r="E55" s="40"/>
    </row>
    <row r="56" spans="5:5" x14ac:dyDescent="0.35">
      <c r="E56" s="40"/>
    </row>
    <row r="57" spans="5:5" x14ac:dyDescent="0.35">
      <c r="E57" s="40"/>
    </row>
    <row r="58" spans="5:5" x14ac:dyDescent="0.35">
      <c r="E58" s="40"/>
    </row>
    <row r="59" spans="5:5" x14ac:dyDescent="0.35">
      <c r="E59" s="40"/>
    </row>
    <row r="60" spans="5:5" x14ac:dyDescent="0.35">
      <c r="E60" s="40"/>
    </row>
    <row r="61" spans="5:5" x14ac:dyDescent="0.35">
      <c r="E61" s="40"/>
    </row>
    <row r="62" spans="5:5" x14ac:dyDescent="0.35">
      <c r="E62" s="40"/>
    </row>
    <row r="63" spans="5:5" x14ac:dyDescent="0.35">
      <c r="E63" s="40"/>
    </row>
    <row r="64" spans="5:5" x14ac:dyDescent="0.35">
      <c r="E64" s="40"/>
    </row>
    <row r="65" spans="5:5" x14ac:dyDescent="0.35">
      <c r="E65" s="40"/>
    </row>
    <row r="66" spans="5:5" x14ac:dyDescent="0.35">
      <c r="E66" s="40"/>
    </row>
    <row r="67" spans="5:5" x14ac:dyDescent="0.35">
      <c r="E67" s="40"/>
    </row>
    <row r="68" spans="5:5" x14ac:dyDescent="0.35">
      <c r="E68" s="40"/>
    </row>
    <row r="69" spans="5:5" x14ac:dyDescent="0.35">
      <c r="E69" s="40"/>
    </row>
    <row r="70" spans="5:5" x14ac:dyDescent="0.35">
      <c r="E70" s="40"/>
    </row>
    <row r="71" spans="5:5" x14ac:dyDescent="0.35">
      <c r="E71" s="40"/>
    </row>
    <row r="72" spans="5:5" x14ac:dyDescent="0.35">
      <c r="E72" s="40"/>
    </row>
    <row r="73" spans="5:5" x14ac:dyDescent="0.35">
      <c r="E73" s="40"/>
    </row>
    <row r="74" spans="5:5" x14ac:dyDescent="0.35">
      <c r="E74" s="40"/>
    </row>
    <row r="75" spans="5:5" x14ac:dyDescent="0.35">
      <c r="E75" s="40"/>
    </row>
    <row r="76" spans="5:5" x14ac:dyDescent="0.35">
      <c r="E76" s="40"/>
    </row>
    <row r="77" spans="5:5" x14ac:dyDescent="0.35">
      <c r="E77" s="40"/>
    </row>
    <row r="78" spans="5:5" x14ac:dyDescent="0.35">
      <c r="E78" s="40"/>
    </row>
    <row r="79" spans="5:5" x14ac:dyDescent="0.35">
      <c r="E79" s="40"/>
    </row>
    <row r="80" spans="5:5" x14ac:dyDescent="0.35">
      <c r="E80" s="40"/>
    </row>
    <row r="81" spans="5:5" x14ac:dyDescent="0.35">
      <c r="E81" s="40"/>
    </row>
    <row r="82" spans="5:5" x14ac:dyDescent="0.35">
      <c r="E82" s="40"/>
    </row>
    <row r="83" spans="5:5" x14ac:dyDescent="0.35">
      <c r="E83" s="40"/>
    </row>
    <row r="84" spans="5:5" x14ac:dyDescent="0.35">
      <c r="E84" s="40"/>
    </row>
    <row r="85" spans="5:5" x14ac:dyDescent="0.35">
      <c r="E85" s="40"/>
    </row>
    <row r="86" spans="5:5" x14ac:dyDescent="0.35">
      <c r="E86" s="40"/>
    </row>
    <row r="87" spans="5:5" x14ac:dyDescent="0.35">
      <c r="E87" s="40"/>
    </row>
    <row r="88" spans="5:5" x14ac:dyDescent="0.35">
      <c r="E88" s="40"/>
    </row>
    <row r="89" spans="5:5" x14ac:dyDescent="0.35">
      <c r="E89" s="40"/>
    </row>
    <row r="90" spans="5:5" x14ac:dyDescent="0.35">
      <c r="E90" s="40"/>
    </row>
    <row r="91" spans="5:5" x14ac:dyDescent="0.35">
      <c r="E91" s="40"/>
    </row>
    <row r="92" spans="5:5" x14ac:dyDescent="0.35">
      <c r="E92" s="40"/>
    </row>
    <row r="93" spans="5:5" x14ac:dyDescent="0.35">
      <c r="E93" s="40"/>
    </row>
    <row r="94" spans="5:5" x14ac:dyDescent="0.35">
      <c r="E94" s="40"/>
    </row>
    <row r="95" spans="5:5" x14ac:dyDescent="0.35">
      <c r="E95" s="40"/>
    </row>
    <row r="96" spans="5:5" x14ac:dyDescent="0.35">
      <c r="E96" s="40"/>
    </row>
    <row r="97" spans="5:5" x14ac:dyDescent="0.35">
      <c r="E97" s="40"/>
    </row>
    <row r="98" spans="5:5" x14ac:dyDescent="0.35">
      <c r="E98" s="40"/>
    </row>
    <row r="99" spans="5:5" x14ac:dyDescent="0.35">
      <c r="E99" s="40"/>
    </row>
    <row r="100" spans="5:5" x14ac:dyDescent="0.35">
      <c r="E100" s="40"/>
    </row>
    <row r="101" spans="5:5" x14ac:dyDescent="0.35">
      <c r="E101" s="40"/>
    </row>
    <row r="102" spans="5:5" x14ac:dyDescent="0.35">
      <c r="E102" s="40"/>
    </row>
    <row r="103" spans="5:5" x14ac:dyDescent="0.35">
      <c r="E103" s="40"/>
    </row>
    <row r="104" spans="5:5" x14ac:dyDescent="0.35">
      <c r="E104" s="40"/>
    </row>
    <row r="105" spans="5:5" x14ac:dyDescent="0.35">
      <c r="E105" s="40"/>
    </row>
    <row r="106" spans="5:5" x14ac:dyDescent="0.35">
      <c r="E106" s="40"/>
    </row>
    <row r="107" spans="5:5" x14ac:dyDescent="0.35">
      <c r="E107" s="40"/>
    </row>
    <row r="108" spans="5:5" x14ac:dyDescent="0.35">
      <c r="E108" s="40"/>
    </row>
    <row r="109" spans="5:5" x14ac:dyDescent="0.35">
      <c r="E109" s="40"/>
    </row>
    <row r="110" spans="5:5" x14ac:dyDescent="0.35">
      <c r="E110" s="40"/>
    </row>
    <row r="111" spans="5:5" x14ac:dyDescent="0.35">
      <c r="E111" s="40"/>
    </row>
    <row r="112" spans="5:5" x14ac:dyDescent="0.35">
      <c r="E112" s="40"/>
    </row>
    <row r="113" spans="5:5" x14ac:dyDescent="0.35">
      <c r="E113" s="40"/>
    </row>
    <row r="114" spans="5:5" x14ac:dyDescent="0.35">
      <c r="E114" s="40"/>
    </row>
    <row r="115" spans="5:5" x14ac:dyDescent="0.35">
      <c r="E115" s="40"/>
    </row>
    <row r="116" spans="5:5" x14ac:dyDescent="0.35">
      <c r="E116" s="40"/>
    </row>
    <row r="117" spans="5:5" x14ac:dyDescent="0.35">
      <c r="E117" s="40"/>
    </row>
    <row r="118" spans="5:5" x14ac:dyDescent="0.35">
      <c r="E118" s="40"/>
    </row>
    <row r="119" spans="5:5" x14ac:dyDescent="0.35">
      <c r="E119" s="40"/>
    </row>
    <row r="120" spans="5:5" x14ac:dyDescent="0.35">
      <c r="E120" s="40"/>
    </row>
    <row r="121" spans="5:5" x14ac:dyDescent="0.35">
      <c r="E121" s="40"/>
    </row>
    <row r="122" spans="5:5" x14ac:dyDescent="0.35">
      <c r="E122" s="40"/>
    </row>
    <row r="123" spans="5:5" x14ac:dyDescent="0.35">
      <c r="E123" s="40"/>
    </row>
    <row r="124" spans="5:5" x14ac:dyDescent="0.35">
      <c r="E124" s="40"/>
    </row>
    <row r="125" spans="5:5" x14ac:dyDescent="0.35">
      <c r="E125" s="40"/>
    </row>
    <row r="126" spans="5:5" x14ac:dyDescent="0.35">
      <c r="E126" s="40"/>
    </row>
    <row r="127" spans="5:5" x14ac:dyDescent="0.35">
      <c r="E127" s="40"/>
    </row>
    <row r="128" spans="5:5" x14ac:dyDescent="0.35">
      <c r="E128" s="40"/>
    </row>
    <row r="129" spans="5:5" x14ac:dyDescent="0.35">
      <c r="E129" s="40"/>
    </row>
    <row r="130" spans="5:5" x14ac:dyDescent="0.35">
      <c r="E130" s="40"/>
    </row>
    <row r="131" spans="5:5" x14ac:dyDescent="0.35">
      <c r="E131" s="40"/>
    </row>
    <row r="132" spans="5:5" x14ac:dyDescent="0.35">
      <c r="E132" s="40"/>
    </row>
    <row r="133" spans="5:5" x14ac:dyDescent="0.35">
      <c r="E133" s="40"/>
    </row>
    <row r="134" spans="5:5" x14ac:dyDescent="0.35">
      <c r="E134" s="40"/>
    </row>
    <row r="135" spans="5:5" x14ac:dyDescent="0.35">
      <c r="E135" s="40"/>
    </row>
    <row r="136" spans="5:5" x14ac:dyDescent="0.35">
      <c r="E136" s="40"/>
    </row>
    <row r="137" spans="5:5" x14ac:dyDescent="0.35">
      <c r="E137" s="40"/>
    </row>
    <row r="138" spans="5:5" x14ac:dyDescent="0.35">
      <c r="E138" s="40"/>
    </row>
    <row r="139" spans="5:5" x14ac:dyDescent="0.35">
      <c r="E139" s="40"/>
    </row>
    <row r="140" spans="5:5" x14ac:dyDescent="0.35">
      <c r="E140" s="40"/>
    </row>
    <row r="141" spans="5:5" x14ac:dyDescent="0.35">
      <c r="E141" s="40"/>
    </row>
    <row r="142" spans="5:5" x14ac:dyDescent="0.35">
      <c r="E142" s="40"/>
    </row>
    <row r="143" spans="5:5" x14ac:dyDescent="0.35">
      <c r="E143" s="40"/>
    </row>
    <row r="144" spans="5:5" x14ac:dyDescent="0.35">
      <c r="E144" s="40"/>
    </row>
    <row r="145" spans="5:5" x14ac:dyDescent="0.35">
      <c r="E145" s="40"/>
    </row>
    <row r="146" spans="5:5" x14ac:dyDescent="0.35">
      <c r="E146" s="40"/>
    </row>
    <row r="147" spans="5:5" x14ac:dyDescent="0.35">
      <c r="E147" s="40"/>
    </row>
    <row r="148" spans="5:5" x14ac:dyDescent="0.35">
      <c r="E148" s="40"/>
    </row>
    <row r="149" spans="5:5" x14ac:dyDescent="0.35">
      <c r="E149" s="40"/>
    </row>
    <row r="150" spans="5:5" x14ac:dyDescent="0.35">
      <c r="E150" s="40"/>
    </row>
    <row r="151" spans="5:5" x14ac:dyDescent="0.35">
      <c r="E151" s="40"/>
    </row>
    <row r="152" spans="5:5" x14ac:dyDescent="0.35">
      <c r="E152" s="40"/>
    </row>
    <row r="153" spans="5:5" x14ac:dyDescent="0.35">
      <c r="E153" s="40"/>
    </row>
    <row r="154" spans="5:5" x14ac:dyDescent="0.35">
      <c r="E154" s="40"/>
    </row>
    <row r="155" spans="5:5" x14ac:dyDescent="0.35">
      <c r="E155" s="40"/>
    </row>
    <row r="156" spans="5:5" x14ac:dyDescent="0.35">
      <c r="E156" s="40"/>
    </row>
    <row r="157" spans="5:5" x14ac:dyDescent="0.35">
      <c r="E157" s="40"/>
    </row>
    <row r="158" spans="5:5" x14ac:dyDescent="0.35">
      <c r="E158" s="40"/>
    </row>
    <row r="159" spans="5:5" x14ac:dyDescent="0.35">
      <c r="E159" s="40"/>
    </row>
    <row r="160" spans="5:5" x14ac:dyDescent="0.35">
      <c r="E160" s="40"/>
    </row>
    <row r="161" spans="5:5" x14ac:dyDescent="0.35">
      <c r="E161" s="40"/>
    </row>
    <row r="162" spans="5:5" x14ac:dyDescent="0.35">
      <c r="E162" s="40"/>
    </row>
    <row r="163" spans="5:5" x14ac:dyDescent="0.35">
      <c r="E163" s="40"/>
    </row>
    <row r="164" spans="5:5" x14ac:dyDescent="0.35">
      <c r="E164" s="40"/>
    </row>
    <row r="165" spans="5:5" x14ac:dyDescent="0.35">
      <c r="E165" s="40"/>
    </row>
    <row r="166" spans="5:5" x14ac:dyDescent="0.35">
      <c r="E166" s="40"/>
    </row>
    <row r="167" spans="5:5" x14ac:dyDescent="0.35">
      <c r="E167" s="40"/>
    </row>
    <row r="168" spans="5:5" x14ac:dyDescent="0.35">
      <c r="E168" s="40"/>
    </row>
    <row r="169" spans="5:5" x14ac:dyDescent="0.35">
      <c r="E169" s="40"/>
    </row>
    <row r="170" spans="5:5" x14ac:dyDescent="0.35">
      <c r="E170" s="40"/>
    </row>
    <row r="171" spans="5:5" x14ac:dyDescent="0.35">
      <c r="E171" s="40"/>
    </row>
    <row r="172" spans="5:5" x14ac:dyDescent="0.35">
      <c r="E172" s="40"/>
    </row>
    <row r="173" spans="5:5" x14ac:dyDescent="0.35">
      <c r="E173" s="40"/>
    </row>
    <row r="174" spans="5:5" x14ac:dyDescent="0.35">
      <c r="E174" s="40"/>
    </row>
    <row r="175" spans="5:5" x14ac:dyDescent="0.35">
      <c r="E175" s="40"/>
    </row>
    <row r="176" spans="5:5" x14ac:dyDescent="0.35">
      <c r="E176" s="40"/>
    </row>
    <row r="177" spans="5:5" x14ac:dyDescent="0.35">
      <c r="E177" s="40"/>
    </row>
    <row r="178" spans="5:5" x14ac:dyDescent="0.35">
      <c r="E178" s="40"/>
    </row>
    <row r="179" spans="5:5" x14ac:dyDescent="0.35">
      <c r="E179" s="40"/>
    </row>
    <row r="180" spans="5:5" x14ac:dyDescent="0.35">
      <c r="E180" s="40"/>
    </row>
    <row r="181" spans="5:5" x14ac:dyDescent="0.35">
      <c r="E181" s="40"/>
    </row>
    <row r="182" spans="5:5" x14ac:dyDescent="0.35">
      <c r="E182" s="40"/>
    </row>
    <row r="183" spans="5:5" x14ac:dyDescent="0.35">
      <c r="E183" s="40"/>
    </row>
    <row r="184" spans="5:5" x14ac:dyDescent="0.35">
      <c r="E184" s="40"/>
    </row>
    <row r="185" spans="5:5" x14ac:dyDescent="0.35">
      <c r="E185" s="40"/>
    </row>
    <row r="186" spans="5:5" x14ac:dyDescent="0.35">
      <c r="E186" s="40"/>
    </row>
    <row r="187" spans="5:5" x14ac:dyDescent="0.35">
      <c r="E187" s="40"/>
    </row>
    <row r="188" spans="5:5" x14ac:dyDescent="0.35">
      <c r="E188" s="40"/>
    </row>
    <row r="189" spans="5:5" x14ac:dyDescent="0.35">
      <c r="E189" s="40"/>
    </row>
    <row r="190" spans="5:5" x14ac:dyDescent="0.35">
      <c r="E190" s="40"/>
    </row>
    <row r="191" spans="5:5" x14ac:dyDescent="0.35">
      <c r="E191" s="40"/>
    </row>
    <row r="192" spans="5:5" x14ac:dyDescent="0.35">
      <c r="E192" s="40"/>
    </row>
    <row r="193" spans="5:5" x14ac:dyDescent="0.35">
      <c r="E193" s="40"/>
    </row>
    <row r="194" spans="5:5" x14ac:dyDescent="0.35">
      <c r="E194" s="40"/>
    </row>
    <row r="195" spans="5:5" x14ac:dyDescent="0.35">
      <c r="E195" s="40"/>
    </row>
    <row r="196" spans="5:5" x14ac:dyDescent="0.35">
      <c r="E196" s="40"/>
    </row>
    <row r="197" spans="5:5" x14ac:dyDescent="0.35">
      <c r="E197" s="40"/>
    </row>
    <row r="198" spans="5:5" x14ac:dyDescent="0.35">
      <c r="E198" s="40"/>
    </row>
    <row r="199" spans="5:5" x14ac:dyDescent="0.35">
      <c r="E199" s="40"/>
    </row>
    <row r="200" spans="5:5" x14ac:dyDescent="0.35">
      <c r="E200" s="40"/>
    </row>
    <row r="201" spans="5:5" x14ac:dyDescent="0.35">
      <c r="E201" s="40"/>
    </row>
    <row r="202" spans="5:5" x14ac:dyDescent="0.35">
      <c r="E202" s="40"/>
    </row>
    <row r="203" spans="5:5" x14ac:dyDescent="0.35">
      <c r="E203" s="40"/>
    </row>
    <row r="204" spans="5:5" x14ac:dyDescent="0.35">
      <c r="E204" s="40"/>
    </row>
    <row r="205" spans="5:5" x14ac:dyDescent="0.35">
      <c r="E205" s="40"/>
    </row>
    <row r="206" spans="5:5" x14ac:dyDescent="0.35">
      <c r="E206" s="40"/>
    </row>
    <row r="207" spans="5:5" x14ac:dyDescent="0.35">
      <c r="E207" s="40"/>
    </row>
    <row r="208" spans="5:5" x14ac:dyDescent="0.35">
      <c r="E208" s="40"/>
    </row>
    <row r="209" spans="5:5" x14ac:dyDescent="0.35">
      <c r="E209" s="40"/>
    </row>
    <row r="210" spans="5:5" x14ac:dyDescent="0.35">
      <c r="E210" s="40"/>
    </row>
    <row r="211" spans="5:5" x14ac:dyDescent="0.35">
      <c r="E211" s="40"/>
    </row>
    <row r="212" spans="5:5" x14ac:dyDescent="0.35">
      <c r="E212" s="40"/>
    </row>
    <row r="213" spans="5:5" x14ac:dyDescent="0.35">
      <c r="E213" s="40"/>
    </row>
    <row r="214" spans="5:5" x14ac:dyDescent="0.35">
      <c r="E214" s="40"/>
    </row>
    <row r="215" spans="5:5" x14ac:dyDescent="0.35">
      <c r="E215" s="40"/>
    </row>
    <row r="216" spans="5:5" x14ac:dyDescent="0.35">
      <c r="E216" s="40"/>
    </row>
    <row r="217" spans="5:5" x14ac:dyDescent="0.35">
      <c r="E217" s="40"/>
    </row>
    <row r="218" spans="5:5" x14ac:dyDescent="0.35">
      <c r="E218" s="40"/>
    </row>
    <row r="219" spans="5:5" x14ac:dyDescent="0.35">
      <c r="E219" s="40"/>
    </row>
    <row r="220" spans="5:5" x14ac:dyDescent="0.35">
      <c r="E220" s="40"/>
    </row>
    <row r="221" spans="5:5" x14ac:dyDescent="0.35">
      <c r="E221" s="40"/>
    </row>
    <row r="222" spans="5:5" x14ac:dyDescent="0.35">
      <c r="E222" s="40"/>
    </row>
    <row r="223" spans="5:5" x14ac:dyDescent="0.35">
      <c r="E223" s="40"/>
    </row>
    <row r="224" spans="5:5" x14ac:dyDescent="0.35">
      <c r="E224" s="40"/>
    </row>
    <row r="225" spans="5:5" x14ac:dyDescent="0.35">
      <c r="E225" s="40"/>
    </row>
    <row r="226" spans="5:5" x14ac:dyDescent="0.35">
      <c r="E226" s="40"/>
    </row>
    <row r="227" spans="5:5" x14ac:dyDescent="0.35">
      <c r="E227" s="40"/>
    </row>
    <row r="228" spans="5:5" x14ac:dyDescent="0.35">
      <c r="E228" s="40"/>
    </row>
    <row r="229" spans="5:5" x14ac:dyDescent="0.35">
      <c r="E229" s="40"/>
    </row>
    <row r="230" spans="5:5" x14ac:dyDescent="0.35">
      <c r="E230" s="40"/>
    </row>
    <row r="231" spans="5:5" x14ac:dyDescent="0.35">
      <c r="E231" s="40"/>
    </row>
    <row r="232" spans="5:5" x14ac:dyDescent="0.35">
      <c r="E232" s="40"/>
    </row>
    <row r="233" spans="5:5" x14ac:dyDescent="0.35">
      <c r="E233" s="40"/>
    </row>
    <row r="234" spans="5:5" x14ac:dyDescent="0.35">
      <c r="E234" s="40"/>
    </row>
    <row r="235" spans="5:5" x14ac:dyDescent="0.35">
      <c r="E235" s="40"/>
    </row>
    <row r="236" spans="5:5" x14ac:dyDescent="0.35">
      <c r="E236" s="40"/>
    </row>
    <row r="237" spans="5:5" x14ac:dyDescent="0.35">
      <c r="E237" s="40"/>
    </row>
    <row r="238" spans="5:5" x14ac:dyDescent="0.35">
      <c r="E238" s="40"/>
    </row>
    <row r="239" spans="5:5" x14ac:dyDescent="0.35">
      <c r="E239" s="40"/>
    </row>
    <row r="240" spans="5:5" x14ac:dyDescent="0.35">
      <c r="E240" s="40"/>
    </row>
    <row r="241" spans="5:5" x14ac:dyDescent="0.35">
      <c r="E241" s="40"/>
    </row>
    <row r="242" spans="5:5" x14ac:dyDescent="0.35">
      <c r="E242" s="40"/>
    </row>
    <row r="243" spans="5:5" x14ac:dyDescent="0.35">
      <c r="E243" s="40"/>
    </row>
    <row r="244" spans="5:5" x14ac:dyDescent="0.35">
      <c r="E244" s="40"/>
    </row>
    <row r="245" spans="5:5" x14ac:dyDescent="0.35">
      <c r="E245" s="40"/>
    </row>
    <row r="246" spans="5:5" x14ac:dyDescent="0.35">
      <c r="E246" s="40"/>
    </row>
    <row r="247" spans="5:5" x14ac:dyDescent="0.35">
      <c r="E247" s="40"/>
    </row>
    <row r="248" spans="5:5" x14ac:dyDescent="0.35">
      <c r="E248" s="40"/>
    </row>
    <row r="249" spans="5:5" x14ac:dyDescent="0.35">
      <c r="E249" s="40"/>
    </row>
    <row r="250" spans="5:5" x14ac:dyDescent="0.35">
      <c r="E250" s="40"/>
    </row>
    <row r="251" spans="5:5" x14ac:dyDescent="0.35">
      <c r="E251" s="40"/>
    </row>
    <row r="252" spans="5:5" x14ac:dyDescent="0.35">
      <c r="E252" s="40"/>
    </row>
    <row r="253" spans="5:5" x14ac:dyDescent="0.35">
      <c r="E253" s="40"/>
    </row>
    <row r="254" spans="5:5" x14ac:dyDescent="0.35">
      <c r="E254" s="40"/>
    </row>
    <row r="255" spans="5:5" x14ac:dyDescent="0.35">
      <c r="E255" s="40"/>
    </row>
    <row r="256" spans="5:5" x14ac:dyDescent="0.35">
      <c r="E256" s="40"/>
    </row>
    <row r="257" spans="5:5" x14ac:dyDescent="0.35">
      <c r="E257" s="40"/>
    </row>
    <row r="258" spans="5:5" x14ac:dyDescent="0.35">
      <c r="E258" s="40"/>
    </row>
    <row r="259" spans="5:5" x14ac:dyDescent="0.35">
      <c r="E259" s="40"/>
    </row>
    <row r="260" spans="5:5" x14ac:dyDescent="0.35">
      <c r="E260" s="40"/>
    </row>
    <row r="261" spans="5:5" x14ac:dyDescent="0.35">
      <c r="E261" s="40"/>
    </row>
    <row r="262" spans="5:5" x14ac:dyDescent="0.35">
      <c r="E262" s="40"/>
    </row>
    <row r="263" spans="5:5" x14ac:dyDescent="0.35">
      <c r="E263" s="40"/>
    </row>
    <row r="264" spans="5:5" x14ac:dyDescent="0.35">
      <c r="E264" s="40"/>
    </row>
    <row r="265" spans="5:5" x14ac:dyDescent="0.35">
      <c r="E265" s="40"/>
    </row>
    <row r="266" spans="5:5" x14ac:dyDescent="0.35">
      <c r="E266" s="40"/>
    </row>
    <row r="267" spans="5:5" x14ac:dyDescent="0.35">
      <c r="E267" s="40"/>
    </row>
    <row r="268" spans="5:5" x14ac:dyDescent="0.35">
      <c r="E268" s="40"/>
    </row>
    <row r="269" spans="5:5" x14ac:dyDescent="0.35">
      <c r="E269" s="40"/>
    </row>
    <row r="270" spans="5:5" x14ac:dyDescent="0.35">
      <c r="E270" s="40"/>
    </row>
    <row r="271" spans="5:5" x14ac:dyDescent="0.35">
      <c r="E271" s="40"/>
    </row>
    <row r="272" spans="5:5" x14ac:dyDescent="0.35">
      <c r="E272" s="40"/>
    </row>
    <row r="273" spans="5:5" x14ac:dyDescent="0.35">
      <c r="E273" s="40"/>
    </row>
    <row r="274" spans="5:5" x14ac:dyDescent="0.35">
      <c r="E274" s="40"/>
    </row>
    <row r="275" spans="5:5" x14ac:dyDescent="0.35">
      <c r="E275" s="40"/>
    </row>
    <row r="276" spans="5:5" x14ac:dyDescent="0.35">
      <c r="E276" s="40"/>
    </row>
    <row r="277" spans="5:5" x14ac:dyDescent="0.35">
      <c r="E277" s="40"/>
    </row>
    <row r="278" spans="5:5" x14ac:dyDescent="0.35">
      <c r="E278" s="40"/>
    </row>
    <row r="279" spans="5:5" x14ac:dyDescent="0.35">
      <c r="E279" s="40"/>
    </row>
    <row r="280" spans="5:5" x14ac:dyDescent="0.35">
      <c r="E280" s="40"/>
    </row>
    <row r="281" spans="5:5" x14ac:dyDescent="0.35">
      <c r="E281" s="40"/>
    </row>
    <row r="282" spans="5:5" x14ac:dyDescent="0.35">
      <c r="E282" s="40"/>
    </row>
    <row r="283" spans="5:5" x14ac:dyDescent="0.35">
      <c r="E283" s="40"/>
    </row>
    <row r="284" spans="5:5" x14ac:dyDescent="0.35">
      <c r="E284" s="40"/>
    </row>
    <row r="285" spans="5:5" x14ac:dyDescent="0.35">
      <c r="E285" s="40"/>
    </row>
    <row r="286" spans="5:5" x14ac:dyDescent="0.35">
      <c r="E286" s="40"/>
    </row>
    <row r="287" spans="5:5" x14ac:dyDescent="0.35">
      <c r="E287" s="40"/>
    </row>
    <row r="288" spans="5:5" x14ac:dyDescent="0.35">
      <c r="E288" s="40"/>
    </row>
    <row r="289" spans="5:5" x14ac:dyDescent="0.35">
      <c r="E289" s="40"/>
    </row>
    <row r="290" spans="5:5" x14ac:dyDescent="0.35">
      <c r="E290" s="40"/>
    </row>
    <row r="291" spans="5:5" x14ac:dyDescent="0.35">
      <c r="E291" s="40"/>
    </row>
    <row r="292" spans="5:5" x14ac:dyDescent="0.35">
      <c r="E292" s="40"/>
    </row>
    <row r="293" spans="5:5" x14ac:dyDescent="0.35">
      <c r="E293" s="40"/>
    </row>
    <row r="294" spans="5:5" x14ac:dyDescent="0.35">
      <c r="E294" s="40"/>
    </row>
    <row r="295" spans="5:5" x14ac:dyDescent="0.35">
      <c r="E295" s="40"/>
    </row>
    <row r="296" spans="5:5" x14ac:dyDescent="0.35">
      <c r="E296" s="40"/>
    </row>
    <row r="297" spans="5:5" x14ac:dyDescent="0.35">
      <c r="E297" s="40"/>
    </row>
    <row r="298" spans="5:5" x14ac:dyDescent="0.35">
      <c r="E298" s="40"/>
    </row>
    <row r="299" spans="5:5" x14ac:dyDescent="0.35">
      <c r="E299" s="40"/>
    </row>
    <row r="300" spans="5:5" x14ac:dyDescent="0.35">
      <c r="E300" s="40"/>
    </row>
    <row r="301" spans="5:5" x14ac:dyDescent="0.35">
      <c r="E301" s="40"/>
    </row>
    <row r="302" spans="5:5" x14ac:dyDescent="0.35">
      <c r="E302" s="40"/>
    </row>
    <row r="303" spans="5:5" x14ac:dyDescent="0.35">
      <c r="E303" s="40"/>
    </row>
    <row r="304" spans="5:5" x14ac:dyDescent="0.35">
      <c r="E304" s="40"/>
    </row>
    <row r="305" spans="5:5" x14ac:dyDescent="0.35">
      <c r="E305" s="40"/>
    </row>
    <row r="306" spans="5:5" x14ac:dyDescent="0.35">
      <c r="E306" s="40"/>
    </row>
    <row r="307" spans="5:5" x14ac:dyDescent="0.35">
      <c r="E307" s="40"/>
    </row>
    <row r="308" spans="5:5" x14ac:dyDescent="0.35">
      <c r="E308" s="40"/>
    </row>
    <row r="309" spans="5:5" x14ac:dyDescent="0.35">
      <c r="E309" s="40"/>
    </row>
    <row r="310" spans="5:5" x14ac:dyDescent="0.35">
      <c r="E310" s="40"/>
    </row>
    <row r="311" spans="5:5" x14ac:dyDescent="0.35">
      <c r="E311" s="40"/>
    </row>
    <row r="312" spans="5:5" x14ac:dyDescent="0.35">
      <c r="E312" s="40"/>
    </row>
    <row r="313" spans="5:5" x14ac:dyDescent="0.35">
      <c r="E313" s="40"/>
    </row>
    <row r="314" spans="5:5" x14ac:dyDescent="0.35">
      <c r="E314" s="40"/>
    </row>
    <row r="315" spans="5:5" x14ac:dyDescent="0.35">
      <c r="E315" s="40"/>
    </row>
    <row r="316" spans="5:5" x14ac:dyDescent="0.35">
      <c r="E316" s="40"/>
    </row>
    <row r="317" spans="5:5" x14ac:dyDescent="0.35">
      <c r="E317" s="40"/>
    </row>
    <row r="318" spans="5:5" x14ac:dyDescent="0.35">
      <c r="E318" s="40"/>
    </row>
    <row r="319" spans="5:5" x14ac:dyDescent="0.35">
      <c r="E319" s="40"/>
    </row>
    <row r="320" spans="5:5" x14ac:dyDescent="0.35">
      <c r="E320" s="40"/>
    </row>
    <row r="321" spans="5:5" x14ac:dyDescent="0.35">
      <c r="E321" s="40"/>
    </row>
    <row r="322" spans="5:5" x14ac:dyDescent="0.35">
      <c r="E322" s="40"/>
    </row>
    <row r="323" spans="5:5" x14ac:dyDescent="0.35">
      <c r="E323" s="40"/>
    </row>
    <row r="324" spans="5:5" x14ac:dyDescent="0.35">
      <c r="E324" s="40"/>
    </row>
    <row r="325" spans="5:5" x14ac:dyDescent="0.35">
      <c r="E325" s="40"/>
    </row>
    <row r="326" spans="5:5" x14ac:dyDescent="0.35">
      <c r="E326" s="40"/>
    </row>
    <row r="327" spans="5:5" x14ac:dyDescent="0.35">
      <c r="E327" s="40"/>
    </row>
    <row r="328" spans="5:5" x14ac:dyDescent="0.35">
      <c r="E328" s="40"/>
    </row>
    <row r="329" spans="5:5" x14ac:dyDescent="0.35">
      <c r="E329" s="40"/>
    </row>
    <row r="330" spans="5:5" x14ac:dyDescent="0.35">
      <c r="E330" s="40"/>
    </row>
    <row r="331" spans="5:5" x14ac:dyDescent="0.35">
      <c r="E331" s="40"/>
    </row>
    <row r="332" spans="5:5" x14ac:dyDescent="0.35">
      <c r="E332" s="40"/>
    </row>
    <row r="333" spans="5:5" x14ac:dyDescent="0.35">
      <c r="E333" s="40"/>
    </row>
    <row r="334" spans="5:5" x14ac:dyDescent="0.35">
      <c r="E334" s="40"/>
    </row>
    <row r="335" spans="5:5" x14ac:dyDescent="0.35">
      <c r="E335" s="40"/>
    </row>
    <row r="336" spans="5:5" x14ac:dyDescent="0.35">
      <c r="E336" s="40"/>
    </row>
    <row r="337" spans="5:5" x14ac:dyDescent="0.35">
      <c r="E337" s="40"/>
    </row>
    <row r="338" spans="5:5" x14ac:dyDescent="0.35">
      <c r="E338" s="40"/>
    </row>
    <row r="339" spans="5:5" x14ac:dyDescent="0.35">
      <c r="E339" s="40"/>
    </row>
    <row r="340" spans="5:5" x14ac:dyDescent="0.35">
      <c r="E340" s="40"/>
    </row>
    <row r="341" spans="5:5" x14ac:dyDescent="0.35">
      <c r="E341" s="40"/>
    </row>
    <row r="342" spans="5:5" x14ac:dyDescent="0.35">
      <c r="E342" s="40"/>
    </row>
    <row r="343" spans="5:5" x14ac:dyDescent="0.35">
      <c r="E343" s="40"/>
    </row>
    <row r="344" spans="5:5" x14ac:dyDescent="0.35">
      <c r="E344" s="40"/>
    </row>
    <row r="345" spans="5:5" x14ac:dyDescent="0.35">
      <c r="E345" s="40"/>
    </row>
    <row r="346" spans="5:5" x14ac:dyDescent="0.35">
      <c r="E346" s="40"/>
    </row>
  </sheetData>
  <phoneticPr fontId="1" type="noConversion"/>
  <conditionalFormatting sqref="F2:F135">
    <cfRule type="colorScale" priority="105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AB597-72DA-486A-8D80-CD720791E813}">
  <sheetPr codeName="Sheet3"/>
  <dimension ref="A1:M350"/>
  <sheetViews>
    <sheetView workbookViewId="0">
      <selection activeCell="E49" sqref="E49"/>
    </sheetView>
  </sheetViews>
  <sheetFormatPr defaultRowHeight="14.5" x14ac:dyDescent="0.35"/>
  <cols>
    <col min="1" max="1" width="20.6328125" bestFit="1" customWidth="1"/>
    <col min="2" max="2" width="54.26953125" bestFit="1" customWidth="1"/>
    <col min="3" max="3" width="13.54296875" bestFit="1" customWidth="1"/>
    <col min="4" max="4" width="11.81640625" bestFit="1" customWidth="1"/>
    <col min="5" max="5" width="14.7265625" bestFit="1" customWidth="1"/>
    <col min="6" max="6" width="11.81640625" bestFit="1" customWidth="1"/>
    <col min="7" max="7" width="14.1796875" bestFit="1" customWidth="1"/>
    <col min="8" max="8" width="10" bestFit="1" customWidth="1"/>
    <col min="9" max="9" width="11.81640625" bestFit="1" customWidth="1"/>
    <col min="10" max="10" width="14.1796875" bestFit="1" customWidth="1"/>
    <col min="11" max="11" width="8.81640625" bestFit="1" customWidth="1"/>
    <col min="12" max="13" width="10" bestFit="1" customWidth="1"/>
  </cols>
  <sheetData>
    <row r="1" spans="1:12" x14ac:dyDescent="0.35">
      <c r="A1" t="s">
        <v>366</v>
      </c>
      <c r="B1" t="s">
        <v>365</v>
      </c>
      <c r="C1" t="s">
        <v>59</v>
      </c>
      <c r="D1" t="s">
        <v>284</v>
      </c>
      <c r="E1" t="s">
        <v>331</v>
      </c>
      <c r="F1" t="s">
        <v>58</v>
      </c>
    </row>
    <row r="2" spans="1:12" x14ac:dyDescent="0.35">
      <c r="A2" t="s">
        <v>599</v>
      </c>
      <c r="B2" t="s">
        <v>600</v>
      </c>
      <c r="C2">
        <v>1.6526026219993419E-2</v>
      </c>
      <c r="D2">
        <v>7.4620642589386663E-4</v>
      </c>
      <c r="E2">
        <v>2.0358013697742388E-3</v>
      </c>
      <c r="F2">
        <v>1.5640224598185437E-6</v>
      </c>
    </row>
    <row r="3" spans="1:12" x14ac:dyDescent="0.35">
      <c r="A3" t="s">
        <v>599</v>
      </c>
      <c r="B3" t="s">
        <v>601</v>
      </c>
      <c r="C3">
        <v>1.6526026219993419E-2</v>
      </c>
      <c r="D3">
        <v>7.4620642589386663E-4</v>
      </c>
      <c r="E3">
        <v>2.0358013697742388E-3</v>
      </c>
      <c r="F3">
        <v>1.5640224598185437E-6</v>
      </c>
      <c r="G3" s="41"/>
    </row>
    <row r="4" spans="1:12" x14ac:dyDescent="0.35">
      <c r="A4" t="s">
        <v>599</v>
      </c>
      <c r="B4" t="s">
        <v>602</v>
      </c>
      <c r="C4">
        <v>1.6526026219993419E-2</v>
      </c>
      <c r="D4">
        <v>7.4620642589386663E-4</v>
      </c>
      <c r="E4">
        <v>2.0358013697742388E-3</v>
      </c>
      <c r="F4">
        <v>1.5640224598185437E-6</v>
      </c>
      <c r="G4" s="41"/>
    </row>
    <row r="5" spans="1:12" x14ac:dyDescent="0.35">
      <c r="A5" t="s">
        <v>599</v>
      </c>
      <c r="B5" t="s">
        <v>603</v>
      </c>
      <c r="C5">
        <v>1.6526026219993419E-2</v>
      </c>
      <c r="D5">
        <v>7.4620642589386663E-4</v>
      </c>
      <c r="E5">
        <v>2.0358013697742388E-3</v>
      </c>
      <c r="F5">
        <v>1.5640224598185437E-6</v>
      </c>
      <c r="G5" s="41"/>
    </row>
    <row r="6" spans="1:12" x14ac:dyDescent="0.35">
      <c r="A6" t="s">
        <v>599</v>
      </c>
      <c r="B6" t="s">
        <v>604</v>
      </c>
      <c r="C6">
        <v>1.6526026219993419E-2</v>
      </c>
      <c r="D6">
        <v>7.4620642589386663E-4</v>
      </c>
      <c r="E6">
        <v>2.0358013697742388E-3</v>
      </c>
      <c r="F6">
        <v>1.5640224598185437E-6</v>
      </c>
      <c r="G6" s="41"/>
    </row>
    <row r="7" spans="1:12" x14ac:dyDescent="0.35">
      <c r="A7" t="s">
        <v>599</v>
      </c>
      <c r="B7" t="s">
        <v>605</v>
      </c>
      <c r="C7">
        <v>1.6526026219993419E-2</v>
      </c>
      <c r="D7">
        <v>7.4620642589386663E-4</v>
      </c>
      <c r="E7">
        <v>2.0358013697742388E-3</v>
      </c>
      <c r="F7">
        <v>1.5640224598185437E-6</v>
      </c>
      <c r="G7" s="41"/>
    </row>
    <row r="8" spans="1:12" x14ac:dyDescent="0.35">
      <c r="A8" t="s">
        <v>599</v>
      </c>
      <c r="B8" t="s">
        <v>606</v>
      </c>
      <c r="C8">
        <v>2.9726317019253438E-2</v>
      </c>
      <c r="D8">
        <v>1.3422445591360053E-3</v>
      </c>
      <c r="E8">
        <v>3.6619134025652968E-3</v>
      </c>
      <c r="F8">
        <v>2.8132974525691582E-6</v>
      </c>
      <c r="G8" s="41"/>
    </row>
    <row r="9" spans="1:12" x14ac:dyDescent="0.35">
      <c r="A9" t="s">
        <v>599</v>
      </c>
      <c r="B9" t="s">
        <v>607</v>
      </c>
      <c r="C9">
        <v>2.9726317019253438E-2</v>
      </c>
      <c r="D9">
        <v>1.3422445591360053E-3</v>
      </c>
      <c r="E9">
        <v>3.6619134025652968E-3</v>
      </c>
      <c r="F9">
        <v>2.8132974525691582E-6</v>
      </c>
      <c r="G9" s="41"/>
      <c r="H9" s="41"/>
      <c r="I9" s="41"/>
      <c r="J9" s="41"/>
      <c r="K9" s="41"/>
      <c r="L9" s="41"/>
    </row>
    <row r="10" spans="1:12" x14ac:dyDescent="0.35">
      <c r="A10" t="s">
        <v>599</v>
      </c>
      <c r="B10" t="s">
        <v>608</v>
      </c>
      <c r="C10">
        <v>2.9726317019253438E-2</v>
      </c>
      <c r="D10">
        <v>1.3422445591360053E-3</v>
      </c>
      <c r="E10">
        <v>3.6619134025652968E-3</v>
      </c>
      <c r="F10">
        <v>2.8132974525691582E-6</v>
      </c>
      <c r="G10" s="41"/>
      <c r="H10" s="41"/>
      <c r="I10" s="41"/>
      <c r="J10" s="41"/>
      <c r="K10" s="41"/>
      <c r="L10" s="41"/>
    </row>
    <row r="11" spans="1:12" x14ac:dyDescent="0.35">
      <c r="A11" t="s">
        <v>599</v>
      </c>
      <c r="B11" t="s">
        <v>609</v>
      </c>
      <c r="C11">
        <v>2.9726317019253438E-2</v>
      </c>
      <c r="D11">
        <v>1.3422445591360053E-3</v>
      </c>
      <c r="E11">
        <v>3.6619134025652968E-3</v>
      </c>
      <c r="F11">
        <v>2.8132974525691582E-6</v>
      </c>
      <c r="G11" s="41"/>
      <c r="H11" s="41"/>
      <c r="I11" s="41"/>
      <c r="J11" s="41"/>
      <c r="K11" s="41"/>
      <c r="L11" s="41"/>
    </row>
    <row r="12" spans="1:12" x14ac:dyDescent="0.35">
      <c r="A12" t="s">
        <v>599</v>
      </c>
      <c r="B12" t="s">
        <v>610</v>
      </c>
      <c r="C12">
        <v>2.9726317019253438E-2</v>
      </c>
      <c r="D12">
        <v>1.3422445591360053E-3</v>
      </c>
      <c r="E12">
        <v>3.6619134025652968E-3</v>
      </c>
      <c r="F12">
        <v>2.8132974525691582E-6</v>
      </c>
      <c r="G12" s="41"/>
      <c r="H12" s="41"/>
      <c r="I12" s="41"/>
      <c r="J12" s="41"/>
      <c r="K12" s="41"/>
      <c r="L12" s="41"/>
    </row>
    <row r="13" spans="1:12" x14ac:dyDescent="0.35">
      <c r="A13" t="s">
        <v>599</v>
      </c>
      <c r="B13" t="s">
        <v>611</v>
      </c>
      <c r="C13">
        <v>2.9726317019253438E-2</v>
      </c>
      <c r="D13">
        <v>1.3422445591360053E-3</v>
      </c>
      <c r="E13">
        <v>3.6619134025652968E-3</v>
      </c>
      <c r="F13">
        <v>2.8132974525691582E-6</v>
      </c>
      <c r="G13" s="41"/>
      <c r="H13" s="41"/>
      <c r="I13" s="41"/>
      <c r="J13" s="41"/>
      <c r="K13" s="41"/>
      <c r="L13" s="41"/>
    </row>
    <row r="14" spans="1:12" x14ac:dyDescent="0.35">
      <c r="A14" t="s">
        <v>599</v>
      </c>
      <c r="B14" t="s">
        <v>612</v>
      </c>
      <c r="C14">
        <v>2.2536803157835239E-2</v>
      </c>
      <c r="D14">
        <v>1.0176134971355828E-3</v>
      </c>
      <c r="E14">
        <v>2.7762545047608929E-3</v>
      </c>
      <c r="F14">
        <v>2.1328821485663736E-6</v>
      </c>
      <c r="G14" s="41"/>
      <c r="H14" s="41"/>
      <c r="I14" s="41"/>
      <c r="J14" s="41"/>
      <c r="K14" s="41"/>
      <c r="L14" s="41"/>
    </row>
    <row r="15" spans="1:12" x14ac:dyDescent="0.35">
      <c r="A15" t="s">
        <v>599</v>
      </c>
      <c r="B15" t="s">
        <v>613</v>
      </c>
      <c r="C15">
        <v>2.2536803157835239E-2</v>
      </c>
      <c r="D15">
        <v>1.0176134971355828E-3</v>
      </c>
      <c r="E15">
        <v>2.7762545047608929E-3</v>
      </c>
      <c r="F15">
        <v>2.1328821485663736E-6</v>
      </c>
      <c r="G15" s="41"/>
      <c r="H15" s="41"/>
      <c r="I15" s="41"/>
      <c r="J15" s="41"/>
      <c r="K15" s="41"/>
      <c r="L15" s="41"/>
    </row>
    <row r="16" spans="1:12" x14ac:dyDescent="0.35">
      <c r="A16" t="s">
        <v>599</v>
      </c>
      <c r="B16" t="s">
        <v>614</v>
      </c>
      <c r="C16">
        <v>2.2536803157835239E-2</v>
      </c>
      <c r="D16">
        <v>1.0176134971355828E-3</v>
      </c>
      <c r="E16">
        <v>2.7762545047608929E-3</v>
      </c>
      <c r="F16">
        <v>2.1328821485663736E-6</v>
      </c>
      <c r="G16" s="41"/>
      <c r="H16" s="41"/>
      <c r="I16" s="41"/>
      <c r="J16" s="41"/>
      <c r="K16" s="41"/>
      <c r="L16" s="41"/>
    </row>
    <row r="17" spans="1:13" x14ac:dyDescent="0.35">
      <c r="A17" t="s">
        <v>599</v>
      </c>
      <c r="B17" t="s">
        <v>615</v>
      </c>
      <c r="C17">
        <v>2.2536803157835239E-2</v>
      </c>
      <c r="D17">
        <v>1.0176134971355828E-3</v>
      </c>
      <c r="E17">
        <v>2.7762545047608929E-3</v>
      </c>
      <c r="F17">
        <v>2.1328821485663736E-6</v>
      </c>
      <c r="G17" s="41"/>
      <c r="H17" s="41"/>
      <c r="I17" s="41"/>
      <c r="J17" s="41"/>
      <c r="K17" s="41"/>
      <c r="L17" s="41"/>
    </row>
    <row r="18" spans="1:13" x14ac:dyDescent="0.35">
      <c r="A18" t="s">
        <v>599</v>
      </c>
      <c r="B18" t="s">
        <v>616</v>
      </c>
      <c r="C18">
        <v>2.2536803157835239E-2</v>
      </c>
      <c r="D18">
        <v>1.0176134971355828E-3</v>
      </c>
      <c r="E18">
        <v>2.7762545047608929E-3</v>
      </c>
      <c r="F18">
        <v>2.1328821485663736E-6</v>
      </c>
      <c r="G18" s="41"/>
      <c r="H18" s="41"/>
      <c r="I18" s="41"/>
      <c r="J18" s="41"/>
      <c r="K18" s="41"/>
      <c r="L18" s="41"/>
    </row>
    <row r="19" spans="1:13" x14ac:dyDescent="0.35">
      <c r="A19" t="s">
        <v>599</v>
      </c>
      <c r="B19" t="s">
        <v>617</v>
      </c>
      <c r="C19">
        <v>2.2536803157835239E-2</v>
      </c>
      <c r="D19">
        <v>1.0176134971355828E-3</v>
      </c>
      <c r="E19">
        <v>2.7762545047608929E-3</v>
      </c>
      <c r="F19">
        <v>2.1328821485663736E-6</v>
      </c>
      <c r="G19" s="41"/>
      <c r="H19" s="41"/>
      <c r="I19" s="41"/>
      <c r="J19" s="41"/>
      <c r="K19" s="41"/>
      <c r="L19" s="41"/>
    </row>
    <row r="20" spans="1:13" x14ac:dyDescent="0.35">
      <c r="A20" t="s">
        <v>599</v>
      </c>
      <c r="B20" t="s">
        <v>618</v>
      </c>
      <c r="C20">
        <v>3.1592383685953816E-2</v>
      </c>
      <c r="D20">
        <v>1.426503831105061E-3</v>
      </c>
      <c r="E20">
        <v>3.8917896611157451E-3</v>
      </c>
      <c r="F20">
        <v>2.9899019271951999E-6</v>
      </c>
      <c r="G20" s="41"/>
      <c r="H20" s="41"/>
      <c r="I20" s="41"/>
      <c r="J20" s="41"/>
      <c r="K20" s="41"/>
      <c r="L20" s="41"/>
    </row>
    <row r="21" spans="1:13" x14ac:dyDescent="0.35">
      <c r="A21" t="s">
        <v>599</v>
      </c>
      <c r="B21" t="s">
        <v>619</v>
      </c>
      <c r="C21">
        <v>3.1592383685953816E-2</v>
      </c>
      <c r="D21">
        <v>1.426503831105061E-3</v>
      </c>
      <c r="E21">
        <v>3.8917896611157451E-3</v>
      </c>
      <c r="F21">
        <v>2.9899019271951999E-6</v>
      </c>
      <c r="G21" s="41"/>
      <c r="H21" s="41"/>
      <c r="I21" s="41"/>
      <c r="J21" s="41"/>
      <c r="K21" s="41"/>
      <c r="L21" s="41"/>
    </row>
    <row r="22" spans="1:13" x14ac:dyDescent="0.35">
      <c r="A22" t="s">
        <v>599</v>
      </c>
      <c r="B22" t="s">
        <v>620</v>
      </c>
      <c r="C22">
        <v>3.1592383685953816E-2</v>
      </c>
      <c r="D22">
        <v>1.426503831105061E-3</v>
      </c>
      <c r="E22">
        <v>3.8917896611157451E-3</v>
      </c>
      <c r="F22">
        <v>2.9899019271951999E-6</v>
      </c>
      <c r="G22" s="41"/>
      <c r="H22" s="41"/>
      <c r="I22" s="41"/>
      <c r="J22" s="41"/>
      <c r="K22" s="41"/>
      <c r="L22" s="41"/>
    </row>
    <row r="23" spans="1:13" x14ac:dyDescent="0.35">
      <c r="A23" t="s">
        <v>599</v>
      </c>
      <c r="B23" t="s">
        <v>621</v>
      </c>
      <c r="C23">
        <v>3.1592383685953816E-2</v>
      </c>
      <c r="D23">
        <v>1.426503831105061E-3</v>
      </c>
      <c r="E23">
        <v>3.8917896611157451E-3</v>
      </c>
      <c r="F23">
        <v>2.9899019271951999E-6</v>
      </c>
      <c r="G23" s="41"/>
      <c r="H23" s="41"/>
      <c r="I23" s="41"/>
      <c r="J23" s="41"/>
      <c r="K23" s="41"/>
      <c r="L23" s="41"/>
    </row>
    <row r="24" spans="1:13" x14ac:dyDescent="0.35">
      <c r="A24" t="s">
        <v>599</v>
      </c>
      <c r="B24" t="s">
        <v>622</v>
      </c>
      <c r="C24">
        <v>3.1592383685953816E-2</v>
      </c>
      <c r="D24">
        <v>1.426503831105061E-3</v>
      </c>
      <c r="E24">
        <v>3.8917896611157451E-3</v>
      </c>
      <c r="F24">
        <v>2.9899019271951999E-6</v>
      </c>
      <c r="G24" s="41"/>
      <c r="H24" s="41"/>
      <c r="I24" s="41"/>
      <c r="J24" s="41"/>
      <c r="K24" s="41"/>
      <c r="L24" s="41"/>
    </row>
    <row r="25" spans="1:13" x14ac:dyDescent="0.35">
      <c r="A25" t="s">
        <v>599</v>
      </c>
      <c r="B25" t="s">
        <v>623</v>
      </c>
      <c r="C25">
        <v>3.1592383685953816E-2</v>
      </c>
      <c r="D25">
        <v>1.426503831105061E-3</v>
      </c>
      <c r="E25">
        <v>3.8917896611157451E-3</v>
      </c>
      <c r="F25">
        <v>2.9899019271951999E-6</v>
      </c>
      <c r="G25" s="41"/>
      <c r="H25" s="41"/>
      <c r="I25" s="41"/>
      <c r="J25" s="41"/>
      <c r="K25" s="41"/>
      <c r="L25" s="41"/>
      <c r="M25" s="41"/>
    </row>
    <row r="26" spans="1:13" x14ac:dyDescent="0.35">
      <c r="A26" t="s">
        <v>599</v>
      </c>
      <c r="B26" t="s">
        <v>624</v>
      </c>
      <c r="C26">
        <v>5.1294092657364572E-2</v>
      </c>
      <c r="D26">
        <v>2.3161031600575596E-3</v>
      </c>
      <c r="E26">
        <v>6.3187957409177519E-3</v>
      </c>
      <c r="F26">
        <v>4.8544708754651593E-6</v>
      </c>
      <c r="G26" s="41"/>
      <c r="H26" s="41"/>
      <c r="I26" s="41"/>
      <c r="J26" s="41"/>
      <c r="K26" s="41"/>
      <c r="L26" s="41"/>
      <c r="M26" s="41"/>
    </row>
    <row r="27" spans="1:13" x14ac:dyDescent="0.35">
      <c r="A27" t="s">
        <v>599</v>
      </c>
      <c r="B27" t="s">
        <v>625</v>
      </c>
      <c r="C27">
        <v>5.1294092657364572E-2</v>
      </c>
      <c r="D27">
        <v>2.3161031600575596E-3</v>
      </c>
      <c r="E27">
        <v>6.3187957409177519E-3</v>
      </c>
      <c r="F27">
        <v>4.8544708754651593E-6</v>
      </c>
      <c r="G27" s="41"/>
      <c r="H27" s="41"/>
      <c r="I27" s="41"/>
      <c r="J27" s="41"/>
      <c r="K27" s="41"/>
      <c r="L27" s="41"/>
      <c r="M27" s="41"/>
    </row>
    <row r="28" spans="1:13" x14ac:dyDescent="0.35">
      <c r="A28" t="s">
        <v>599</v>
      </c>
      <c r="B28" t="s">
        <v>626</v>
      </c>
      <c r="C28">
        <v>5.1294092657364572E-2</v>
      </c>
      <c r="D28">
        <v>2.3161031600575596E-3</v>
      </c>
      <c r="E28">
        <v>6.3187957409177519E-3</v>
      </c>
      <c r="F28">
        <v>4.8544708754651593E-6</v>
      </c>
      <c r="G28" s="41"/>
      <c r="H28" s="41"/>
      <c r="I28" s="41"/>
      <c r="J28" s="41"/>
      <c r="K28" s="41"/>
      <c r="L28" s="41"/>
      <c r="M28" s="41"/>
    </row>
    <row r="29" spans="1:13" x14ac:dyDescent="0.35">
      <c r="A29" t="s">
        <v>599</v>
      </c>
      <c r="B29" t="s">
        <v>627</v>
      </c>
      <c r="C29">
        <v>5.1294092657364572E-2</v>
      </c>
      <c r="D29">
        <v>2.3161031600575596E-3</v>
      </c>
      <c r="E29">
        <v>6.3187957409177519E-3</v>
      </c>
      <c r="F29">
        <v>4.8544708754651593E-6</v>
      </c>
      <c r="G29" s="41"/>
      <c r="H29" s="41"/>
      <c r="I29" s="41"/>
      <c r="J29" s="41"/>
      <c r="K29" s="41"/>
      <c r="L29" s="41"/>
      <c r="M29" s="41"/>
    </row>
    <row r="30" spans="1:13" x14ac:dyDescent="0.35">
      <c r="A30" t="s">
        <v>599</v>
      </c>
      <c r="B30" t="s">
        <v>628</v>
      </c>
      <c r="C30">
        <v>5.1294092657364572E-2</v>
      </c>
      <c r="D30">
        <v>2.3161031600575596E-3</v>
      </c>
      <c r="E30">
        <v>6.3187957409177519E-3</v>
      </c>
      <c r="F30">
        <v>4.8544708754651593E-6</v>
      </c>
      <c r="G30" s="41"/>
      <c r="H30" s="41"/>
      <c r="I30" s="41"/>
      <c r="J30" s="41"/>
      <c r="K30" s="41"/>
      <c r="L30" s="41"/>
      <c r="M30" s="41"/>
    </row>
    <row r="31" spans="1:13" x14ac:dyDescent="0.35">
      <c r="A31" t="s">
        <v>599</v>
      </c>
      <c r="B31" t="s">
        <v>629</v>
      </c>
      <c r="C31">
        <v>5.1294092657364572E-2</v>
      </c>
      <c r="D31">
        <v>2.3161031600575596E-3</v>
      </c>
      <c r="E31">
        <v>6.3187957409177519E-3</v>
      </c>
      <c r="F31">
        <v>4.8544708754651593E-6</v>
      </c>
      <c r="G31" s="41"/>
      <c r="H31" s="41"/>
      <c r="I31" s="41"/>
      <c r="J31" s="41"/>
      <c r="K31" s="41"/>
      <c r="L31" s="41"/>
      <c r="M31" s="41"/>
    </row>
    <row r="32" spans="1:13" x14ac:dyDescent="0.35">
      <c r="A32" t="s">
        <v>599</v>
      </c>
      <c r="B32" t="s">
        <v>630</v>
      </c>
      <c r="C32">
        <v>2.4877962906166045E-2</v>
      </c>
      <c r="D32">
        <v>1.1233248414716452E-3</v>
      </c>
      <c r="E32">
        <v>3.0646563358523891E-3</v>
      </c>
      <c r="F32">
        <v>2.3544494134169298E-6</v>
      </c>
      <c r="G32" s="41"/>
      <c r="H32" s="41"/>
      <c r="I32" s="41"/>
      <c r="J32" s="41"/>
      <c r="K32" s="41"/>
      <c r="L32" s="41"/>
      <c r="M32" s="41"/>
    </row>
    <row r="33" spans="1:13" x14ac:dyDescent="0.35">
      <c r="A33" t="s">
        <v>599</v>
      </c>
      <c r="B33" t="s">
        <v>631</v>
      </c>
      <c r="C33">
        <v>2.4877962906166045E-2</v>
      </c>
      <c r="D33">
        <v>1.1233248414716452E-3</v>
      </c>
      <c r="E33">
        <v>3.0646563358523891E-3</v>
      </c>
      <c r="F33">
        <v>2.3544494134169298E-6</v>
      </c>
      <c r="G33" s="41"/>
      <c r="H33" s="41"/>
      <c r="I33" s="41"/>
      <c r="J33" s="41"/>
      <c r="K33" s="41"/>
      <c r="L33" s="41"/>
      <c r="M33" s="41"/>
    </row>
    <row r="34" spans="1:13" x14ac:dyDescent="0.35">
      <c r="A34" t="s">
        <v>599</v>
      </c>
      <c r="B34" t="s">
        <v>632</v>
      </c>
      <c r="C34">
        <v>2.4877962906166045E-2</v>
      </c>
      <c r="D34">
        <v>1.1233248414716452E-3</v>
      </c>
      <c r="E34">
        <v>3.0646563358523891E-3</v>
      </c>
      <c r="F34">
        <v>2.3544494134169298E-6</v>
      </c>
      <c r="G34" s="41"/>
      <c r="H34" s="41"/>
      <c r="I34" s="41"/>
      <c r="J34" s="41"/>
      <c r="K34" s="41"/>
      <c r="L34" s="41"/>
      <c r="M34" s="41"/>
    </row>
    <row r="35" spans="1:13" x14ac:dyDescent="0.35">
      <c r="A35" t="s">
        <v>599</v>
      </c>
      <c r="B35" t="s">
        <v>633</v>
      </c>
      <c r="C35">
        <v>2.4877962906166045E-2</v>
      </c>
      <c r="D35">
        <v>1.1233248414716452E-3</v>
      </c>
      <c r="E35">
        <v>3.0646563358523891E-3</v>
      </c>
      <c r="F35">
        <v>2.3544494134169298E-6</v>
      </c>
      <c r="G35" s="41"/>
      <c r="H35" s="41"/>
      <c r="I35" s="41"/>
      <c r="J35" s="41"/>
      <c r="K35" s="41"/>
      <c r="L35" s="41"/>
      <c r="M35" s="41"/>
    </row>
    <row r="36" spans="1:13" x14ac:dyDescent="0.35">
      <c r="A36" t="s">
        <v>599</v>
      </c>
      <c r="B36" t="s">
        <v>634</v>
      </c>
      <c r="C36">
        <v>2.4877962906166045E-2</v>
      </c>
      <c r="D36">
        <v>1.1233248414716452E-3</v>
      </c>
      <c r="E36">
        <v>3.0646563358523891E-3</v>
      </c>
      <c r="F36">
        <v>2.3544494134169298E-6</v>
      </c>
      <c r="G36" s="41"/>
      <c r="H36" s="41"/>
      <c r="I36" s="41"/>
      <c r="J36" s="41"/>
      <c r="K36" s="41"/>
      <c r="L36" s="41"/>
      <c r="M36" s="41"/>
    </row>
    <row r="37" spans="1:13" x14ac:dyDescent="0.35">
      <c r="A37" t="s">
        <v>599</v>
      </c>
      <c r="B37" t="s">
        <v>635</v>
      </c>
      <c r="C37">
        <v>2.4877962906166045E-2</v>
      </c>
      <c r="D37">
        <v>1.1233248414716452E-3</v>
      </c>
      <c r="E37">
        <v>3.0646563358523891E-3</v>
      </c>
      <c r="F37">
        <v>2.3544494134169298E-6</v>
      </c>
      <c r="G37" s="41"/>
      <c r="H37" s="41"/>
      <c r="I37" s="41"/>
      <c r="J37" s="41"/>
      <c r="K37" s="41"/>
      <c r="L37" s="41"/>
      <c r="M37" s="41"/>
    </row>
    <row r="38" spans="1:13" x14ac:dyDescent="0.35">
      <c r="A38" t="s">
        <v>599</v>
      </c>
      <c r="B38" t="s">
        <v>636</v>
      </c>
      <c r="C38">
        <v>7.8321881505787838E-2</v>
      </c>
      <c r="D38">
        <v>3.5364999722080894E-3</v>
      </c>
      <c r="E38">
        <v>9.6482839570880222E-3</v>
      </c>
      <c r="F38">
        <v>7.4123797299861471E-6</v>
      </c>
      <c r="G38" s="41"/>
      <c r="H38" s="41"/>
      <c r="I38" s="41"/>
      <c r="J38" s="41"/>
      <c r="K38" s="41"/>
      <c r="L38" s="41"/>
      <c r="M38" s="41"/>
    </row>
    <row r="39" spans="1:13" x14ac:dyDescent="0.35">
      <c r="A39" t="s">
        <v>599</v>
      </c>
      <c r="B39" t="s">
        <v>637</v>
      </c>
      <c r="C39">
        <v>0.11761072952298091</v>
      </c>
      <c r="D39">
        <v>5.310525407368546E-3</v>
      </c>
      <c r="E39">
        <v>1.448818252347704E-2</v>
      </c>
      <c r="F39">
        <v>1.1130674733351551E-5</v>
      </c>
      <c r="G39" s="41"/>
      <c r="H39" s="41"/>
      <c r="I39" s="41"/>
      <c r="J39" s="41"/>
      <c r="K39" s="41"/>
      <c r="L39" s="41"/>
      <c r="M39" s="41"/>
    </row>
    <row r="40" spans="1:13" x14ac:dyDescent="0.35">
      <c r="A40" t="s">
        <v>599</v>
      </c>
      <c r="B40" t="s">
        <v>638</v>
      </c>
      <c r="C40">
        <v>0.19893843173979653</v>
      </c>
      <c r="D40">
        <v>8.9827484324022586E-3</v>
      </c>
      <c r="E40">
        <v>2.4506746294922551E-2</v>
      </c>
      <c r="F40">
        <v>1.8827525215087304E-5</v>
      </c>
      <c r="G40" s="41"/>
      <c r="H40" s="41"/>
      <c r="I40" s="41"/>
      <c r="J40" s="41"/>
      <c r="K40" s="41"/>
      <c r="L40" s="41"/>
      <c r="M40" s="41"/>
    </row>
    <row r="41" spans="1:13" x14ac:dyDescent="0.35">
      <c r="G41" s="41"/>
      <c r="H41" s="41"/>
      <c r="I41" s="41"/>
      <c r="J41" s="41"/>
      <c r="K41" s="41"/>
      <c r="L41" s="41"/>
      <c r="M41" s="41"/>
    </row>
    <row r="42" spans="1:13" x14ac:dyDescent="0.35">
      <c r="G42" s="41"/>
      <c r="H42" s="41"/>
      <c r="I42" s="41"/>
      <c r="J42" s="41"/>
      <c r="K42" s="41"/>
      <c r="L42" s="41"/>
      <c r="M42" s="41"/>
    </row>
    <row r="43" spans="1:13" x14ac:dyDescent="0.35">
      <c r="G43" s="41"/>
      <c r="H43" s="41"/>
      <c r="I43" s="41"/>
      <c r="J43" s="41"/>
      <c r="K43" s="41"/>
      <c r="L43" s="41"/>
      <c r="M43" s="41"/>
    </row>
    <row r="44" spans="1:13" x14ac:dyDescent="0.35">
      <c r="G44" s="41"/>
      <c r="H44" s="41"/>
      <c r="I44" s="41"/>
      <c r="J44" s="41"/>
      <c r="K44" s="41"/>
      <c r="L44" s="41"/>
      <c r="M44" s="41"/>
    </row>
    <row r="45" spans="1:13" x14ac:dyDescent="0.35">
      <c r="G45" s="41"/>
      <c r="H45" s="41"/>
      <c r="I45" s="41"/>
      <c r="J45" s="41"/>
      <c r="K45" s="41"/>
      <c r="L45" s="41"/>
      <c r="M45" s="41"/>
    </row>
    <row r="46" spans="1:13" x14ac:dyDescent="0.35">
      <c r="G46" s="41"/>
      <c r="H46" s="41"/>
      <c r="I46" s="41"/>
      <c r="J46" s="41"/>
      <c r="K46" s="41"/>
      <c r="L46" s="41"/>
      <c r="M46" s="41"/>
    </row>
    <row r="47" spans="1:13" x14ac:dyDescent="0.35">
      <c r="G47" s="41"/>
      <c r="H47" s="41"/>
      <c r="I47" s="41"/>
      <c r="J47" s="41"/>
      <c r="K47" s="41"/>
      <c r="L47" s="41"/>
      <c r="M47" s="41"/>
    </row>
    <row r="48" spans="1:13" x14ac:dyDescent="0.35">
      <c r="G48" s="41"/>
      <c r="H48" s="41"/>
      <c r="I48" s="41"/>
      <c r="J48" s="41"/>
      <c r="K48" s="41"/>
      <c r="L48" s="41"/>
      <c r="M48" s="41"/>
    </row>
    <row r="49" spans="7:13" x14ac:dyDescent="0.35">
      <c r="G49" s="41"/>
      <c r="H49" s="41"/>
      <c r="I49" s="41"/>
      <c r="J49" s="41"/>
      <c r="K49" s="41"/>
      <c r="L49" s="41"/>
      <c r="M49" s="41"/>
    </row>
    <row r="50" spans="7:13" x14ac:dyDescent="0.35">
      <c r="G50" s="41"/>
      <c r="H50" s="41"/>
      <c r="I50" s="41"/>
      <c r="J50" s="41"/>
      <c r="K50" s="41"/>
      <c r="L50" s="41"/>
      <c r="M50" s="41"/>
    </row>
    <row r="51" spans="7:13" x14ac:dyDescent="0.35">
      <c r="G51" s="41"/>
      <c r="H51" s="41"/>
      <c r="I51" s="41"/>
      <c r="J51" s="41"/>
      <c r="K51" s="41"/>
      <c r="L51" s="41"/>
      <c r="M51" s="41"/>
    </row>
    <row r="52" spans="7:13" x14ac:dyDescent="0.35">
      <c r="G52" s="41"/>
      <c r="H52" s="41"/>
      <c r="I52" s="41"/>
      <c r="J52" s="41"/>
      <c r="K52" s="41"/>
      <c r="L52" s="41"/>
      <c r="M52" s="41"/>
    </row>
    <row r="53" spans="7:13" x14ac:dyDescent="0.35">
      <c r="G53" s="41"/>
      <c r="H53" s="41"/>
      <c r="I53" s="41"/>
      <c r="J53" s="41"/>
      <c r="K53" s="41"/>
      <c r="L53" s="41"/>
      <c r="M53" s="41"/>
    </row>
    <row r="54" spans="7:13" x14ac:dyDescent="0.35">
      <c r="G54" s="41"/>
      <c r="H54" s="41"/>
      <c r="I54" s="41"/>
      <c r="J54" s="41"/>
      <c r="K54" s="41"/>
      <c r="L54" s="41"/>
      <c r="M54" s="41"/>
    </row>
    <row r="55" spans="7:13" x14ac:dyDescent="0.35">
      <c r="G55" s="41"/>
      <c r="H55" s="41"/>
      <c r="I55" s="41"/>
      <c r="J55" s="41"/>
      <c r="K55" s="41"/>
      <c r="L55" s="41"/>
      <c r="M55" s="41"/>
    </row>
    <row r="56" spans="7:13" x14ac:dyDescent="0.35">
      <c r="G56" s="41"/>
      <c r="H56" s="41"/>
      <c r="I56" s="41"/>
      <c r="J56" s="41"/>
      <c r="K56" s="41"/>
      <c r="L56" s="41"/>
      <c r="M56" s="41"/>
    </row>
    <row r="57" spans="7:13" x14ac:dyDescent="0.35">
      <c r="G57" s="41"/>
      <c r="H57" s="41"/>
      <c r="I57" s="41"/>
      <c r="J57" s="41"/>
      <c r="K57" s="41"/>
      <c r="L57" s="41"/>
      <c r="M57" s="41"/>
    </row>
    <row r="58" spans="7:13" x14ac:dyDescent="0.35">
      <c r="G58" s="41"/>
      <c r="H58" s="41"/>
      <c r="I58" s="41"/>
      <c r="J58" s="41"/>
      <c r="K58" s="41"/>
      <c r="L58" s="41"/>
      <c r="M58" s="41"/>
    </row>
    <row r="59" spans="7:13" x14ac:dyDescent="0.35">
      <c r="G59" s="41"/>
      <c r="H59" s="41"/>
      <c r="I59" s="41"/>
      <c r="J59" s="41"/>
      <c r="K59" s="41"/>
      <c r="L59" s="41"/>
      <c r="M59" s="41"/>
    </row>
    <row r="60" spans="7:13" x14ac:dyDescent="0.35">
      <c r="G60" s="41"/>
      <c r="H60" s="41"/>
      <c r="I60" s="41"/>
      <c r="J60" s="41"/>
      <c r="K60" s="41"/>
      <c r="L60" s="41"/>
      <c r="M60" s="41"/>
    </row>
    <row r="61" spans="7:13" x14ac:dyDescent="0.35">
      <c r="G61" s="41"/>
      <c r="H61" s="41"/>
      <c r="I61" s="41"/>
      <c r="J61" s="41"/>
      <c r="K61" s="41"/>
      <c r="L61" s="41"/>
      <c r="M61" s="41"/>
    </row>
    <row r="62" spans="7:13" x14ac:dyDescent="0.35">
      <c r="G62" s="41"/>
      <c r="H62" s="41"/>
      <c r="I62" s="41"/>
      <c r="J62" s="41"/>
      <c r="K62" s="41"/>
      <c r="L62" s="41"/>
      <c r="M62" s="41"/>
    </row>
    <row r="63" spans="7:13" x14ac:dyDescent="0.35">
      <c r="G63" s="41"/>
      <c r="H63" s="41"/>
      <c r="I63" s="41"/>
      <c r="J63" s="41"/>
      <c r="K63" s="41"/>
      <c r="L63" s="41"/>
      <c r="M63" s="41"/>
    </row>
    <row r="64" spans="7:13" x14ac:dyDescent="0.35">
      <c r="G64" s="41"/>
      <c r="H64" s="41"/>
      <c r="I64" s="41"/>
      <c r="J64" s="41"/>
      <c r="K64" s="41"/>
      <c r="L64" s="41"/>
      <c r="M64" s="41"/>
    </row>
    <row r="65" spans="7:13" x14ac:dyDescent="0.35">
      <c r="G65" s="41"/>
      <c r="H65" s="41"/>
      <c r="I65" s="41"/>
      <c r="J65" s="41"/>
      <c r="K65" s="41"/>
      <c r="L65" s="41"/>
      <c r="M65" s="41"/>
    </row>
    <row r="66" spans="7:13" x14ac:dyDescent="0.35">
      <c r="G66" s="41"/>
      <c r="H66" s="41"/>
      <c r="I66" s="41"/>
      <c r="J66" s="41"/>
      <c r="K66" s="41"/>
      <c r="L66" s="41"/>
      <c r="M66" s="41"/>
    </row>
    <row r="67" spans="7:13" x14ac:dyDescent="0.35">
      <c r="G67" s="41"/>
      <c r="H67" s="41"/>
      <c r="I67" s="41"/>
      <c r="J67" s="41"/>
      <c r="K67" s="41"/>
      <c r="L67" s="41"/>
      <c r="M67" s="41"/>
    </row>
    <row r="68" spans="7:13" x14ac:dyDescent="0.35">
      <c r="G68" s="41"/>
      <c r="H68" s="41"/>
      <c r="I68" s="41"/>
      <c r="J68" s="41"/>
      <c r="K68" s="41"/>
      <c r="L68" s="41"/>
      <c r="M68" s="41"/>
    </row>
    <row r="69" spans="7:13" x14ac:dyDescent="0.35">
      <c r="G69" s="41"/>
      <c r="H69" s="41"/>
      <c r="I69" s="41"/>
      <c r="J69" s="41"/>
      <c r="K69" s="41"/>
      <c r="L69" s="41"/>
      <c r="M69" s="41"/>
    </row>
    <row r="70" spans="7:13" x14ac:dyDescent="0.35">
      <c r="G70" s="41"/>
      <c r="H70" s="41"/>
      <c r="I70" s="41"/>
      <c r="J70" s="41"/>
      <c r="K70" s="41"/>
      <c r="L70" s="41"/>
      <c r="M70" s="41"/>
    </row>
    <row r="71" spans="7:13" x14ac:dyDescent="0.35">
      <c r="G71" s="41"/>
      <c r="H71" s="41"/>
      <c r="I71" s="41"/>
      <c r="J71" s="41"/>
      <c r="K71" s="41"/>
      <c r="L71" s="41"/>
      <c r="M71" s="41"/>
    </row>
    <row r="72" spans="7:13" x14ac:dyDescent="0.35">
      <c r="G72" s="41"/>
      <c r="H72" s="41"/>
      <c r="I72" s="41"/>
      <c r="J72" s="41"/>
      <c r="K72" s="41"/>
      <c r="L72" s="41"/>
      <c r="M72" s="41"/>
    </row>
    <row r="73" spans="7:13" x14ac:dyDescent="0.35">
      <c r="G73" s="41"/>
      <c r="H73" s="41"/>
      <c r="I73" s="41"/>
      <c r="J73" s="41"/>
      <c r="K73" s="41"/>
      <c r="L73" s="41"/>
      <c r="M73" s="41"/>
    </row>
    <row r="74" spans="7:13" x14ac:dyDescent="0.35">
      <c r="G74" s="41"/>
      <c r="H74" s="41"/>
      <c r="I74" s="41"/>
      <c r="J74" s="41"/>
      <c r="K74" s="41"/>
      <c r="L74" s="41"/>
      <c r="M74" s="41"/>
    </row>
    <row r="75" spans="7:13" x14ac:dyDescent="0.35">
      <c r="G75" s="41"/>
      <c r="H75" s="41"/>
      <c r="I75" s="41"/>
      <c r="J75" s="41"/>
      <c r="K75" s="41"/>
      <c r="L75" s="41"/>
      <c r="M75" s="41"/>
    </row>
    <row r="76" spans="7:13" x14ac:dyDescent="0.35">
      <c r="G76" s="41"/>
      <c r="H76" s="41"/>
      <c r="I76" s="41"/>
      <c r="J76" s="41"/>
      <c r="K76" s="41"/>
      <c r="L76" s="41"/>
      <c r="M76" s="41"/>
    </row>
    <row r="77" spans="7:13" x14ac:dyDescent="0.35">
      <c r="G77" s="41"/>
      <c r="H77" s="41"/>
      <c r="I77" s="41"/>
      <c r="J77" s="41"/>
      <c r="K77" s="41"/>
      <c r="L77" s="41"/>
      <c r="M77" s="41"/>
    </row>
    <row r="78" spans="7:13" x14ac:dyDescent="0.35">
      <c r="G78" s="41"/>
      <c r="H78" s="41"/>
      <c r="I78" s="41"/>
      <c r="J78" s="41"/>
      <c r="K78" s="41"/>
      <c r="L78" s="41"/>
      <c r="M78" s="41"/>
    </row>
    <row r="79" spans="7:13" x14ac:dyDescent="0.35">
      <c r="G79" s="41"/>
      <c r="H79" s="41"/>
      <c r="I79" s="41"/>
      <c r="J79" s="41"/>
      <c r="K79" s="41"/>
      <c r="L79" s="41"/>
      <c r="M79" s="41"/>
    </row>
    <row r="80" spans="7:13" x14ac:dyDescent="0.35">
      <c r="G80" s="41"/>
      <c r="H80" s="41"/>
      <c r="I80" s="41"/>
      <c r="J80" s="41"/>
      <c r="K80" s="41"/>
      <c r="L80" s="41"/>
      <c r="M80" s="41"/>
    </row>
    <row r="81" spans="7:13" x14ac:dyDescent="0.35">
      <c r="G81" s="41"/>
      <c r="H81" s="41"/>
      <c r="I81" s="41"/>
      <c r="J81" s="41"/>
      <c r="K81" s="41"/>
      <c r="L81" s="41"/>
      <c r="M81" s="41"/>
    </row>
    <row r="82" spans="7:13" x14ac:dyDescent="0.35">
      <c r="G82" s="41"/>
      <c r="H82" s="41"/>
      <c r="I82" s="41"/>
      <c r="J82" s="41"/>
      <c r="K82" s="41"/>
      <c r="L82" s="41"/>
      <c r="M82" s="41"/>
    </row>
    <row r="83" spans="7:13" x14ac:dyDescent="0.35">
      <c r="G83" s="41"/>
      <c r="H83" s="41"/>
      <c r="I83" s="41"/>
      <c r="J83" s="41"/>
      <c r="K83" s="41"/>
      <c r="L83" s="41"/>
      <c r="M83" s="41"/>
    </row>
    <row r="84" spans="7:13" x14ac:dyDescent="0.35">
      <c r="G84" s="41"/>
      <c r="H84" s="41"/>
      <c r="I84" s="41"/>
      <c r="J84" s="41"/>
      <c r="K84" s="41"/>
      <c r="L84" s="41"/>
      <c r="M84" s="41"/>
    </row>
    <row r="85" spans="7:13" x14ac:dyDescent="0.35">
      <c r="G85" s="41"/>
      <c r="H85" s="41"/>
      <c r="I85" s="41"/>
      <c r="J85" s="41"/>
      <c r="K85" s="41"/>
      <c r="L85" s="41"/>
      <c r="M85" s="41"/>
    </row>
    <row r="86" spans="7:13" x14ac:dyDescent="0.35">
      <c r="G86" s="41"/>
      <c r="H86" s="41"/>
      <c r="I86" s="41"/>
      <c r="J86" s="41"/>
      <c r="K86" s="41"/>
      <c r="L86" s="41"/>
      <c r="M86" s="41"/>
    </row>
    <row r="87" spans="7:13" x14ac:dyDescent="0.35">
      <c r="G87" s="41"/>
      <c r="H87" s="41"/>
      <c r="I87" s="41"/>
      <c r="J87" s="41"/>
      <c r="K87" s="41"/>
      <c r="L87" s="41"/>
      <c r="M87" s="41"/>
    </row>
    <row r="88" spans="7:13" x14ac:dyDescent="0.35">
      <c r="G88" s="41"/>
      <c r="H88" s="41"/>
      <c r="I88" s="41"/>
      <c r="J88" s="41"/>
      <c r="K88" s="41"/>
      <c r="L88" s="41"/>
      <c r="M88" s="41"/>
    </row>
    <row r="89" spans="7:13" x14ac:dyDescent="0.35">
      <c r="G89" s="41"/>
      <c r="H89" s="41"/>
      <c r="I89" s="41"/>
      <c r="J89" s="41"/>
      <c r="K89" s="41"/>
      <c r="L89" s="41"/>
      <c r="M89" s="41"/>
    </row>
    <row r="90" spans="7:13" x14ac:dyDescent="0.35">
      <c r="G90" s="41"/>
      <c r="H90" s="41"/>
      <c r="I90" s="41"/>
      <c r="J90" s="41"/>
      <c r="K90" s="41"/>
      <c r="L90" s="41"/>
      <c r="M90" s="41"/>
    </row>
    <row r="91" spans="7:13" x14ac:dyDescent="0.35">
      <c r="G91" s="41"/>
      <c r="H91" s="41"/>
      <c r="I91" s="41"/>
      <c r="J91" s="41"/>
      <c r="K91" s="41"/>
      <c r="L91" s="41"/>
      <c r="M91" s="41"/>
    </row>
    <row r="92" spans="7:13" x14ac:dyDescent="0.35">
      <c r="G92" s="41"/>
      <c r="H92" s="41"/>
      <c r="I92" s="41"/>
      <c r="J92" s="41"/>
      <c r="K92" s="41"/>
      <c r="L92" s="41"/>
      <c r="M92" s="41"/>
    </row>
    <row r="93" spans="7:13" x14ac:dyDescent="0.35">
      <c r="G93" s="41"/>
      <c r="H93" s="41"/>
      <c r="I93" s="41"/>
      <c r="J93" s="41"/>
      <c r="K93" s="41"/>
      <c r="L93" s="41"/>
      <c r="M93" s="41"/>
    </row>
    <row r="94" spans="7:13" x14ac:dyDescent="0.35">
      <c r="G94" s="41"/>
      <c r="H94" s="41"/>
      <c r="I94" s="41"/>
      <c r="J94" s="41"/>
      <c r="K94" s="41"/>
      <c r="L94" s="41"/>
      <c r="M94" s="41"/>
    </row>
    <row r="95" spans="7:13" x14ac:dyDescent="0.35">
      <c r="G95" s="41"/>
      <c r="H95" s="41"/>
      <c r="I95" s="41"/>
      <c r="J95" s="41"/>
      <c r="K95" s="41"/>
      <c r="L95" s="41"/>
      <c r="M95" s="41"/>
    </row>
    <row r="96" spans="7:13" x14ac:dyDescent="0.35">
      <c r="G96" s="41"/>
      <c r="H96" s="41"/>
      <c r="I96" s="41"/>
      <c r="J96" s="41"/>
      <c r="K96" s="41"/>
      <c r="L96" s="41"/>
      <c r="M96" s="41"/>
    </row>
    <row r="97" spans="7:13" x14ac:dyDescent="0.35">
      <c r="G97" s="41"/>
      <c r="H97" s="41"/>
      <c r="I97" s="41"/>
      <c r="J97" s="41"/>
      <c r="K97" s="41"/>
      <c r="L97" s="41"/>
      <c r="M97" s="41"/>
    </row>
    <row r="98" spans="7:13" x14ac:dyDescent="0.35">
      <c r="G98" s="41"/>
      <c r="H98" s="41"/>
      <c r="I98" s="41"/>
      <c r="J98" s="41"/>
      <c r="K98" s="41"/>
      <c r="L98" s="41"/>
      <c r="M98" s="41"/>
    </row>
    <row r="99" spans="7:13" x14ac:dyDescent="0.35">
      <c r="G99" s="41"/>
      <c r="H99" s="41"/>
      <c r="I99" s="41"/>
      <c r="J99" s="41"/>
      <c r="K99" s="41"/>
      <c r="L99" s="41"/>
      <c r="M99" s="41"/>
    </row>
    <row r="100" spans="7:13" x14ac:dyDescent="0.35">
      <c r="G100" s="41"/>
      <c r="H100" s="41"/>
      <c r="I100" s="41"/>
      <c r="J100" s="41"/>
      <c r="K100" s="41"/>
      <c r="L100" s="41"/>
      <c r="M100" s="41"/>
    </row>
    <row r="101" spans="7:13" x14ac:dyDescent="0.35">
      <c r="G101" s="41"/>
      <c r="H101" s="41"/>
      <c r="I101" s="41"/>
      <c r="J101" s="41"/>
      <c r="K101" s="41"/>
      <c r="L101" s="41"/>
      <c r="M101" s="41"/>
    </row>
    <row r="102" spans="7:13" x14ac:dyDescent="0.35">
      <c r="G102" s="41"/>
      <c r="H102" s="41"/>
      <c r="I102" s="41"/>
      <c r="J102" s="41"/>
      <c r="K102" s="41"/>
      <c r="L102" s="41"/>
      <c r="M102" s="41"/>
    </row>
    <row r="103" spans="7:13" x14ac:dyDescent="0.35">
      <c r="G103" s="41"/>
      <c r="H103" s="41"/>
      <c r="I103" s="41"/>
      <c r="J103" s="41"/>
      <c r="K103" s="41"/>
      <c r="L103" s="41"/>
      <c r="M103" s="41"/>
    </row>
    <row r="104" spans="7:13" x14ac:dyDescent="0.35">
      <c r="G104" s="41"/>
      <c r="H104" s="41"/>
      <c r="I104" s="41"/>
      <c r="J104" s="41"/>
      <c r="K104" s="41"/>
      <c r="L104" s="41"/>
      <c r="M104" s="41"/>
    </row>
    <row r="105" spans="7:13" x14ac:dyDescent="0.35">
      <c r="G105" s="41"/>
      <c r="H105" s="41"/>
      <c r="I105" s="41"/>
      <c r="J105" s="41"/>
      <c r="K105" s="41"/>
      <c r="L105" s="41"/>
      <c r="M105" s="41"/>
    </row>
    <row r="106" spans="7:13" x14ac:dyDescent="0.35">
      <c r="G106" s="41"/>
      <c r="H106" s="41"/>
      <c r="I106" s="41"/>
      <c r="J106" s="41"/>
      <c r="K106" s="41"/>
      <c r="L106" s="41"/>
      <c r="M106" s="41"/>
    </row>
    <row r="107" spans="7:13" x14ac:dyDescent="0.35">
      <c r="G107" s="41"/>
      <c r="H107" s="41"/>
      <c r="I107" s="41"/>
      <c r="J107" s="41"/>
      <c r="K107" s="41"/>
      <c r="L107" s="41"/>
      <c r="M107" s="41"/>
    </row>
    <row r="108" spans="7:13" x14ac:dyDescent="0.35">
      <c r="G108" s="41"/>
      <c r="H108" s="41"/>
      <c r="I108" s="41"/>
      <c r="J108" s="41"/>
      <c r="K108" s="41"/>
      <c r="L108" s="41"/>
      <c r="M108" s="41"/>
    </row>
    <row r="109" spans="7:13" x14ac:dyDescent="0.35">
      <c r="G109" s="41"/>
      <c r="H109" s="41"/>
      <c r="I109" s="41"/>
      <c r="J109" s="41"/>
      <c r="K109" s="41"/>
      <c r="L109" s="41"/>
      <c r="M109" s="41"/>
    </row>
    <row r="110" spans="7:13" x14ac:dyDescent="0.35">
      <c r="G110" s="41"/>
      <c r="H110" s="41"/>
      <c r="I110" s="41"/>
      <c r="J110" s="41"/>
      <c r="K110" s="41"/>
      <c r="L110" s="41"/>
      <c r="M110" s="41"/>
    </row>
    <row r="111" spans="7:13" x14ac:dyDescent="0.35">
      <c r="G111" s="41"/>
      <c r="H111" s="41"/>
      <c r="I111" s="41"/>
      <c r="J111" s="41"/>
      <c r="K111" s="41"/>
      <c r="L111" s="41"/>
      <c r="M111" s="41"/>
    </row>
    <row r="112" spans="7:13" x14ac:dyDescent="0.35">
      <c r="G112" s="41"/>
      <c r="H112" s="41"/>
      <c r="I112" s="41"/>
      <c r="J112" s="41"/>
      <c r="K112" s="41"/>
      <c r="L112" s="41"/>
      <c r="M112" s="41"/>
    </row>
    <row r="113" spans="7:13" x14ac:dyDescent="0.35">
      <c r="G113" s="41"/>
      <c r="H113" s="41"/>
      <c r="I113" s="41"/>
      <c r="J113" s="41"/>
      <c r="K113" s="41"/>
      <c r="L113" s="41"/>
      <c r="M113" s="41"/>
    </row>
    <row r="114" spans="7:13" x14ac:dyDescent="0.35">
      <c r="G114" s="41"/>
      <c r="H114" s="41"/>
      <c r="I114" s="41"/>
      <c r="J114" s="41"/>
      <c r="K114" s="41"/>
      <c r="L114" s="41"/>
      <c r="M114" s="41"/>
    </row>
    <row r="115" spans="7:13" x14ac:dyDescent="0.35">
      <c r="G115" s="41"/>
      <c r="H115" s="41"/>
      <c r="I115" s="41"/>
      <c r="J115" s="41"/>
      <c r="K115" s="41"/>
      <c r="L115" s="41"/>
      <c r="M115" s="41"/>
    </row>
    <row r="116" spans="7:13" x14ac:dyDescent="0.35">
      <c r="G116" s="41"/>
      <c r="H116" s="41"/>
      <c r="I116" s="41"/>
      <c r="J116" s="41"/>
      <c r="K116" s="41"/>
      <c r="L116" s="41"/>
      <c r="M116" s="41"/>
    </row>
    <row r="117" spans="7:13" x14ac:dyDescent="0.35">
      <c r="G117" s="41"/>
      <c r="H117" s="41"/>
      <c r="I117" s="41"/>
      <c r="J117" s="41"/>
      <c r="K117" s="41"/>
      <c r="L117" s="41"/>
      <c r="M117" s="41"/>
    </row>
    <row r="118" spans="7:13" x14ac:dyDescent="0.35">
      <c r="G118" s="41"/>
      <c r="H118" s="41"/>
      <c r="I118" s="41"/>
      <c r="J118" s="41"/>
      <c r="K118" s="41"/>
      <c r="L118" s="41"/>
      <c r="M118" s="41"/>
    </row>
    <row r="119" spans="7:13" x14ac:dyDescent="0.35">
      <c r="G119" s="41"/>
      <c r="H119" s="41"/>
      <c r="I119" s="41"/>
      <c r="J119" s="41"/>
      <c r="K119" s="41"/>
      <c r="L119" s="41"/>
      <c r="M119" s="41"/>
    </row>
    <row r="120" spans="7:13" x14ac:dyDescent="0.35">
      <c r="G120" s="41"/>
      <c r="H120" s="41"/>
      <c r="I120" s="41"/>
      <c r="J120" s="41"/>
      <c r="K120" s="41"/>
      <c r="L120" s="41"/>
      <c r="M120" s="41"/>
    </row>
    <row r="121" spans="7:13" x14ac:dyDescent="0.35">
      <c r="G121" s="41"/>
      <c r="H121" s="41"/>
      <c r="I121" s="41"/>
      <c r="J121" s="41"/>
      <c r="K121" s="41"/>
      <c r="L121" s="41"/>
      <c r="M121" s="41"/>
    </row>
    <row r="122" spans="7:13" x14ac:dyDescent="0.35">
      <c r="G122" s="41"/>
      <c r="H122" s="41"/>
      <c r="I122" s="41"/>
      <c r="J122" s="41"/>
      <c r="K122" s="41"/>
      <c r="L122" s="41"/>
      <c r="M122" s="41"/>
    </row>
    <row r="123" spans="7:13" x14ac:dyDescent="0.35">
      <c r="G123" s="41"/>
      <c r="H123" s="41"/>
      <c r="I123" s="41"/>
      <c r="J123" s="41"/>
      <c r="K123" s="41"/>
      <c r="L123" s="41"/>
      <c r="M123" s="41"/>
    </row>
    <row r="124" spans="7:13" x14ac:dyDescent="0.35">
      <c r="G124" s="41"/>
      <c r="H124" s="41"/>
      <c r="I124" s="41"/>
      <c r="J124" s="41"/>
      <c r="K124" s="41"/>
      <c r="L124" s="41"/>
      <c r="M124" s="41"/>
    </row>
    <row r="125" spans="7:13" x14ac:dyDescent="0.35">
      <c r="G125" s="41"/>
      <c r="H125" s="41"/>
      <c r="I125" s="41"/>
      <c r="J125" s="41"/>
      <c r="K125" s="41"/>
      <c r="L125" s="41"/>
      <c r="M125" s="41"/>
    </row>
    <row r="126" spans="7:13" x14ac:dyDescent="0.35">
      <c r="G126" s="41"/>
      <c r="H126" s="41"/>
      <c r="I126" s="41"/>
      <c r="J126" s="41"/>
      <c r="K126" s="41"/>
      <c r="L126" s="41"/>
      <c r="M126" s="41"/>
    </row>
    <row r="127" spans="7:13" x14ac:dyDescent="0.35">
      <c r="G127" s="41"/>
      <c r="H127" s="41"/>
      <c r="I127" s="41"/>
      <c r="J127" s="41"/>
      <c r="K127" s="41"/>
      <c r="L127" s="41"/>
      <c r="M127" s="41"/>
    </row>
    <row r="128" spans="7:13" x14ac:dyDescent="0.35">
      <c r="G128" s="41"/>
      <c r="H128" s="41"/>
      <c r="I128" s="41"/>
      <c r="J128" s="41"/>
      <c r="K128" s="41"/>
      <c r="L128" s="41"/>
      <c r="M128" s="41"/>
    </row>
    <row r="129" spans="7:13" x14ac:dyDescent="0.35">
      <c r="G129" s="41"/>
      <c r="H129" s="41"/>
      <c r="I129" s="41"/>
      <c r="J129" s="41"/>
      <c r="K129" s="41"/>
      <c r="L129" s="41"/>
      <c r="M129" s="41"/>
    </row>
    <row r="130" spans="7:13" x14ac:dyDescent="0.35">
      <c r="G130" s="41"/>
      <c r="H130" s="41"/>
      <c r="I130" s="41"/>
      <c r="J130" s="41"/>
      <c r="K130" s="41"/>
      <c r="L130" s="41"/>
      <c r="M130" s="41"/>
    </row>
    <row r="131" spans="7:13" x14ac:dyDescent="0.35">
      <c r="G131" s="41"/>
      <c r="H131" s="41"/>
      <c r="I131" s="41"/>
      <c r="J131" s="41"/>
      <c r="K131" s="41"/>
      <c r="L131" s="41"/>
      <c r="M131" s="41"/>
    </row>
    <row r="132" spans="7:13" x14ac:dyDescent="0.35">
      <c r="G132" s="41"/>
      <c r="H132" s="41"/>
      <c r="I132" s="41"/>
      <c r="J132" s="41"/>
      <c r="K132" s="41"/>
      <c r="L132" s="41"/>
      <c r="M132" s="41"/>
    </row>
    <row r="133" spans="7:13" x14ac:dyDescent="0.35">
      <c r="G133" s="41"/>
      <c r="H133" s="41"/>
      <c r="I133" s="41"/>
      <c r="J133" s="41"/>
      <c r="K133" s="41"/>
      <c r="L133" s="41"/>
      <c r="M133" s="41"/>
    </row>
    <row r="134" spans="7:13" x14ac:dyDescent="0.35">
      <c r="G134" s="41"/>
      <c r="H134" s="41"/>
      <c r="I134" s="41"/>
      <c r="J134" s="41"/>
      <c r="K134" s="41"/>
      <c r="L134" s="41"/>
      <c r="M134" s="41"/>
    </row>
    <row r="135" spans="7:13" x14ac:dyDescent="0.35">
      <c r="G135" s="41"/>
      <c r="H135" s="41"/>
      <c r="I135" s="41"/>
      <c r="J135" s="41"/>
      <c r="K135" s="41"/>
      <c r="L135" s="41"/>
      <c r="M135" s="41"/>
    </row>
    <row r="136" spans="7:13" x14ac:dyDescent="0.35">
      <c r="G136" s="41"/>
      <c r="H136" s="41"/>
      <c r="I136" s="41"/>
      <c r="J136" s="41"/>
      <c r="K136" s="41"/>
      <c r="L136" s="41"/>
      <c r="M136" s="41"/>
    </row>
    <row r="137" spans="7:13" x14ac:dyDescent="0.35">
      <c r="G137" s="41"/>
      <c r="H137" s="41"/>
      <c r="I137" s="41"/>
      <c r="J137" s="41"/>
      <c r="K137" s="41"/>
      <c r="L137" s="41"/>
      <c r="M137" s="41"/>
    </row>
    <row r="138" spans="7:13" x14ac:dyDescent="0.35">
      <c r="G138" s="41"/>
      <c r="H138" s="41"/>
      <c r="I138" s="41"/>
      <c r="J138" s="41"/>
      <c r="K138" s="41"/>
      <c r="L138" s="41"/>
      <c r="M138" s="41"/>
    </row>
    <row r="139" spans="7:13" x14ac:dyDescent="0.35">
      <c r="G139" s="41"/>
      <c r="H139" s="41"/>
      <c r="I139" s="41"/>
      <c r="J139" s="41"/>
      <c r="K139" s="41"/>
      <c r="L139" s="41"/>
      <c r="M139" s="41"/>
    </row>
    <row r="140" spans="7:13" x14ac:dyDescent="0.35">
      <c r="G140" s="41"/>
      <c r="H140" s="41"/>
      <c r="I140" s="41"/>
      <c r="J140" s="41"/>
      <c r="K140" s="41"/>
      <c r="L140" s="41"/>
      <c r="M140" s="41"/>
    </row>
    <row r="141" spans="7:13" x14ac:dyDescent="0.35">
      <c r="G141" s="41"/>
      <c r="H141" s="41"/>
      <c r="I141" s="41"/>
      <c r="J141" s="41"/>
      <c r="K141" s="41"/>
      <c r="L141" s="41"/>
      <c r="M141" s="41"/>
    </row>
    <row r="142" spans="7:13" x14ac:dyDescent="0.35">
      <c r="G142" s="41"/>
      <c r="H142" s="41"/>
      <c r="I142" s="41"/>
      <c r="J142" s="41"/>
      <c r="K142" s="41"/>
      <c r="L142" s="41"/>
      <c r="M142" s="41"/>
    </row>
    <row r="143" spans="7:13" x14ac:dyDescent="0.35">
      <c r="G143" s="41"/>
      <c r="H143" s="41"/>
      <c r="I143" s="41"/>
      <c r="J143" s="41"/>
      <c r="K143" s="41"/>
      <c r="L143" s="41"/>
      <c r="M143" s="41"/>
    </row>
    <row r="144" spans="7:13" x14ac:dyDescent="0.35">
      <c r="G144" s="41"/>
      <c r="H144" s="41"/>
      <c r="I144" s="41"/>
      <c r="J144" s="41"/>
      <c r="K144" s="41"/>
      <c r="L144" s="41"/>
      <c r="M144" s="41"/>
    </row>
    <row r="145" spans="7:13" x14ac:dyDescent="0.35">
      <c r="G145" s="41"/>
      <c r="H145" s="41"/>
      <c r="I145" s="41"/>
      <c r="J145" s="41"/>
      <c r="K145" s="41"/>
      <c r="L145" s="41"/>
      <c r="M145" s="41"/>
    </row>
    <row r="146" spans="7:13" x14ac:dyDescent="0.35">
      <c r="G146" s="41"/>
      <c r="H146" s="41"/>
      <c r="I146" s="41"/>
      <c r="J146" s="41"/>
      <c r="K146" s="41"/>
      <c r="L146" s="41"/>
      <c r="M146" s="41"/>
    </row>
    <row r="147" spans="7:13" x14ac:dyDescent="0.35">
      <c r="G147" s="41"/>
      <c r="H147" s="41"/>
      <c r="I147" s="41"/>
      <c r="J147" s="41"/>
      <c r="K147" s="41"/>
      <c r="L147" s="41"/>
      <c r="M147" s="41"/>
    </row>
    <row r="148" spans="7:13" x14ac:dyDescent="0.35">
      <c r="G148" s="41"/>
      <c r="H148" s="41"/>
      <c r="I148" s="41"/>
      <c r="J148" s="41"/>
      <c r="K148" s="41"/>
      <c r="L148" s="41"/>
      <c r="M148" s="41"/>
    </row>
    <row r="149" spans="7:13" x14ac:dyDescent="0.35">
      <c r="G149" s="41"/>
      <c r="H149" s="41"/>
      <c r="I149" s="41"/>
      <c r="J149" s="41"/>
      <c r="K149" s="41"/>
      <c r="L149" s="41"/>
      <c r="M149" s="41"/>
    </row>
    <row r="150" spans="7:13" x14ac:dyDescent="0.35">
      <c r="G150" s="41"/>
      <c r="H150" s="41"/>
      <c r="I150" s="41"/>
      <c r="J150" s="41"/>
      <c r="K150" s="41"/>
      <c r="L150" s="41"/>
      <c r="M150" s="41"/>
    </row>
    <row r="151" spans="7:13" x14ac:dyDescent="0.35">
      <c r="G151" s="41"/>
      <c r="H151" s="41"/>
      <c r="I151" s="41"/>
      <c r="J151" s="41"/>
      <c r="K151" s="41"/>
      <c r="L151" s="41"/>
      <c r="M151" s="41"/>
    </row>
    <row r="152" spans="7:13" x14ac:dyDescent="0.35">
      <c r="G152" s="41"/>
      <c r="H152" s="41"/>
      <c r="I152" s="41"/>
      <c r="J152" s="41"/>
      <c r="K152" s="41"/>
      <c r="L152" s="41"/>
      <c r="M152" s="41"/>
    </row>
    <row r="153" spans="7:13" x14ac:dyDescent="0.35">
      <c r="G153" s="41"/>
      <c r="H153" s="41"/>
      <c r="I153" s="41"/>
      <c r="J153" s="41"/>
      <c r="K153" s="41"/>
      <c r="L153" s="41"/>
      <c r="M153" s="41"/>
    </row>
    <row r="154" spans="7:13" x14ac:dyDescent="0.35">
      <c r="G154" s="41"/>
      <c r="H154" s="41"/>
      <c r="I154" s="41"/>
      <c r="J154" s="41"/>
      <c r="K154" s="41"/>
      <c r="L154" s="41"/>
      <c r="M154" s="41"/>
    </row>
    <row r="155" spans="7:13" x14ac:dyDescent="0.35">
      <c r="G155" s="41"/>
      <c r="H155" s="41"/>
      <c r="I155" s="41"/>
      <c r="J155" s="41"/>
      <c r="K155" s="41"/>
      <c r="L155" s="41"/>
      <c r="M155" s="41"/>
    </row>
    <row r="156" spans="7:13" x14ac:dyDescent="0.35">
      <c r="G156" s="41"/>
      <c r="H156" s="41"/>
      <c r="I156" s="41"/>
      <c r="J156" s="41"/>
      <c r="K156" s="41"/>
      <c r="L156" s="41"/>
      <c r="M156" s="41"/>
    </row>
    <row r="157" spans="7:13" x14ac:dyDescent="0.35">
      <c r="G157" s="41"/>
      <c r="H157" s="41"/>
      <c r="I157" s="41"/>
      <c r="J157" s="41"/>
      <c r="K157" s="41"/>
      <c r="L157" s="41"/>
      <c r="M157" s="41"/>
    </row>
    <row r="158" spans="7:13" x14ac:dyDescent="0.35">
      <c r="G158" s="41"/>
      <c r="H158" s="41"/>
      <c r="I158" s="41"/>
      <c r="J158" s="41"/>
      <c r="K158" s="41"/>
      <c r="L158" s="41"/>
      <c r="M158" s="41"/>
    </row>
    <row r="159" spans="7:13" x14ac:dyDescent="0.35">
      <c r="G159" s="41"/>
      <c r="H159" s="41"/>
      <c r="I159" s="41"/>
      <c r="J159" s="41"/>
      <c r="K159" s="41"/>
      <c r="L159" s="41"/>
      <c r="M159" s="41"/>
    </row>
    <row r="160" spans="7:13" x14ac:dyDescent="0.35">
      <c r="G160" s="41"/>
      <c r="H160" s="41"/>
      <c r="I160" s="41"/>
      <c r="J160" s="41"/>
      <c r="K160" s="41"/>
      <c r="L160" s="41"/>
      <c r="M160" s="41"/>
    </row>
    <row r="161" spans="7:13" x14ac:dyDescent="0.35">
      <c r="G161" s="41"/>
      <c r="H161" s="41"/>
      <c r="I161" s="41"/>
      <c r="J161" s="41"/>
      <c r="K161" s="41"/>
      <c r="L161" s="41"/>
      <c r="M161" s="41"/>
    </row>
    <row r="162" spans="7:13" x14ac:dyDescent="0.35">
      <c r="G162" s="41"/>
      <c r="H162" s="41"/>
      <c r="I162" s="41"/>
      <c r="J162" s="41"/>
      <c r="K162" s="41"/>
      <c r="L162" s="41"/>
      <c r="M162" s="41"/>
    </row>
    <row r="163" spans="7:13" x14ac:dyDescent="0.35">
      <c r="G163" s="41"/>
      <c r="H163" s="41"/>
      <c r="I163" s="41"/>
      <c r="J163" s="41"/>
      <c r="K163" s="41"/>
      <c r="L163" s="41"/>
      <c r="M163" s="41"/>
    </row>
    <row r="164" spans="7:13" x14ac:dyDescent="0.35">
      <c r="G164" s="41"/>
      <c r="H164" s="41"/>
      <c r="I164" s="41"/>
      <c r="J164" s="41"/>
      <c r="K164" s="41"/>
      <c r="L164" s="41"/>
      <c r="M164" s="41"/>
    </row>
    <row r="165" spans="7:13" x14ac:dyDescent="0.35">
      <c r="G165" s="41"/>
      <c r="H165" s="41"/>
      <c r="I165" s="41"/>
      <c r="J165" s="41"/>
      <c r="K165" s="41"/>
      <c r="L165" s="41"/>
      <c r="M165" s="41"/>
    </row>
    <row r="166" spans="7:13" x14ac:dyDescent="0.35">
      <c r="G166" s="41"/>
      <c r="H166" s="41"/>
      <c r="I166" s="41"/>
      <c r="J166" s="41"/>
      <c r="K166" s="41"/>
      <c r="L166" s="41"/>
      <c r="M166" s="41"/>
    </row>
    <row r="167" spans="7:13" x14ac:dyDescent="0.35">
      <c r="G167" s="41"/>
      <c r="H167" s="41"/>
      <c r="I167" s="41"/>
      <c r="J167" s="41"/>
      <c r="K167" s="41"/>
      <c r="L167" s="41"/>
      <c r="M167" s="41"/>
    </row>
    <row r="168" spans="7:13" x14ac:dyDescent="0.35">
      <c r="G168" s="41"/>
      <c r="H168" s="41"/>
      <c r="I168" s="41"/>
      <c r="J168" s="41"/>
      <c r="K168" s="41"/>
      <c r="L168" s="41"/>
      <c r="M168" s="41"/>
    </row>
    <row r="169" spans="7:13" x14ac:dyDescent="0.35">
      <c r="G169" s="41"/>
      <c r="H169" s="41"/>
      <c r="I169" s="41"/>
      <c r="J169" s="41"/>
      <c r="K169" s="41"/>
      <c r="L169" s="41"/>
      <c r="M169" s="41"/>
    </row>
    <row r="170" spans="7:13" x14ac:dyDescent="0.35">
      <c r="G170" s="41"/>
      <c r="H170" s="41"/>
      <c r="I170" s="41"/>
      <c r="J170" s="41"/>
      <c r="K170" s="41"/>
      <c r="L170" s="41"/>
      <c r="M170" s="41"/>
    </row>
    <row r="171" spans="7:13" x14ac:dyDescent="0.35">
      <c r="G171" s="41"/>
      <c r="H171" s="41"/>
      <c r="I171" s="41"/>
      <c r="J171" s="41"/>
      <c r="K171" s="41"/>
      <c r="L171" s="41"/>
      <c r="M171" s="41"/>
    </row>
    <row r="172" spans="7:13" x14ac:dyDescent="0.35">
      <c r="G172" s="41"/>
      <c r="H172" s="41"/>
      <c r="I172" s="41"/>
      <c r="J172" s="41"/>
      <c r="K172" s="41"/>
      <c r="L172" s="41"/>
      <c r="M172" s="41"/>
    </row>
    <row r="173" spans="7:13" x14ac:dyDescent="0.35">
      <c r="G173" s="41"/>
      <c r="H173" s="41"/>
      <c r="I173" s="41"/>
      <c r="J173" s="41"/>
      <c r="K173" s="41"/>
      <c r="L173" s="41"/>
      <c r="M173" s="41"/>
    </row>
    <row r="174" spans="7:13" x14ac:dyDescent="0.35">
      <c r="G174" s="41"/>
      <c r="H174" s="41"/>
      <c r="I174" s="41"/>
      <c r="J174" s="41"/>
      <c r="K174" s="41"/>
      <c r="L174" s="41"/>
      <c r="M174" s="41"/>
    </row>
    <row r="175" spans="7:13" x14ac:dyDescent="0.35">
      <c r="G175" s="41"/>
      <c r="H175" s="41"/>
      <c r="I175" s="41"/>
      <c r="J175" s="41"/>
      <c r="K175" s="41"/>
      <c r="L175" s="41"/>
      <c r="M175" s="41"/>
    </row>
    <row r="176" spans="7:13" x14ac:dyDescent="0.35">
      <c r="G176" s="41"/>
      <c r="H176" s="41"/>
      <c r="I176" s="41"/>
      <c r="J176" s="41"/>
      <c r="K176" s="41"/>
      <c r="L176" s="41"/>
      <c r="M176" s="41"/>
    </row>
    <row r="177" spans="7:13" x14ac:dyDescent="0.35">
      <c r="G177" s="41"/>
      <c r="H177" s="41"/>
      <c r="I177" s="41"/>
      <c r="J177" s="41"/>
      <c r="K177" s="41"/>
      <c r="L177" s="41"/>
      <c r="M177" s="41"/>
    </row>
    <row r="178" spans="7:13" x14ac:dyDescent="0.35">
      <c r="G178" s="41"/>
      <c r="H178" s="41"/>
      <c r="I178" s="41"/>
      <c r="J178" s="41"/>
      <c r="K178" s="41"/>
      <c r="L178" s="41"/>
      <c r="M178" s="41"/>
    </row>
    <row r="179" spans="7:13" x14ac:dyDescent="0.35">
      <c r="G179" s="41"/>
      <c r="H179" s="41"/>
      <c r="I179" s="41"/>
      <c r="J179" s="41"/>
      <c r="K179" s="41"/>
      <c r="L179" s="41"/>
      <c r="M179" s="41"/>
    </row>
    <row r="180" spans="7:13" x14ac:dyDescent="0.35">
      <c r="G180" s="41"/>
      <c r="H180" s="41"/>
      <c r="I180" s="41"/>
      <c r="J180" s="41"/>
      <c r="K180" s="41"/>
      <c r="L180" s="41"/>
      <c r="M180" s="41"/>
    </row>
    <row r="181" spans="7:13" x14ac:dyDescent="0.35">
      <c r="G181" s="41"/>
      <c r="H181" s="41"/>
      <c r="I181" s="41"/>
      <c r="J181" s="41"/>
      <c r="K181" s="41"/>
      <c r="L181" s="41"/>
      <c r="M181" s="41"/>
    </row>
    <row r="182" spans="7:13" x14ac:dyDescent="0.35">
      <c r="G182" s="41"/>
      <c r="H182" s="41"/>
      <c r="I182" s="41"/>
      <c r="J182" s="41"/>
      <c r="K182" s="41"/>
      <c r="L182" s="41"/>
      <c r="M182" s="41"/>
    </row>
    <row r="183" spans="7:13" x14ac:dyDescent="0.35">
      <c r="G183" s="41"/>
      <c r="H183" s="41"/>
      <c r="I183" s="41"/>
      <c r="J183" s="41"/>
      <c r="K183" s="41"/>
      <c r="L183" s="41"/>
      <c r="M183" s="41"/>
    </row>
    <row r="184" spans="7:13" x14ac:dyDescent="0.35">
      <c r="G184" s="41"/>
      <c r="H184" s="41"/>
      <c r="I184" s="41"/>
      <c r="J184" s="41"/>
      <c r="K184" s="41"/>
      <c r="L184" s="41"/>
      <c r="M184" s="41"/>
    </row>
    <row r="185" spans="7:13" x14ac:dyDescent="0.35">
      <c r="G185" s="41"/>
      <c r="H185" s="41"/>
      <c r="I185" s="41"/>
      <c r="J185" s="41"/>
      <c r="K185" s="41"/>
      <c r="L185" s="41"/>
      <c r="M185" s="41"/>
    </row>
    <row r="186" spans="7:13" x14ac:dyDescent="0.35">
      <c r="G186" s="41"/>
      <c r="H186" s="41"/>
      <c r="I186" s="41"/>
      <c r="J186" s="41"/>
      <c r="K186" s="41"/>
      <c r="L186" s="41"/>
      <c r="M186" s="41"/>
    </row>
    <row r="187" spans="7:13" x14ac:dyDescent="0.35">
      <c r="G187" s="41"/>
      <c r="H187" s="41"/>
      <c r="I187" s="41"/>
      <c r="J187" s="41"/>
      <c r="K187" s="41"/>
      <c r="L187" s="41"/>
      <c r="M187" s="41"/>
    </row>
    <row r="188" spans="7:13" x14ac:dyDescent="0.35">
      <c r="G188" s="41"/>
      <c r="H188" s="41"/>
      <c r="I188" s="41"/>
      <c r="J188" s="41"/>
      <c r="K188" s="41"/>
      <c r="L188" s="41"/>
      <c r="M188" s="41"/>
    </row>
    <row r="189" spans="7:13" x14ac:dyDescent="0.35">
      <c r="G189" s="41"/>
      <c r="H189" s="41"/>
      <c r="I189" s="41"/>
      <c r="J189" s="41"/>
      <c r="K189" s="41"/>
      <c r="L189" s="41"/>
      <c r="M189" s="41"/>
    </row>
    <row r="190" spans="7:13" x14ac:dyDescent="0.35">
      <c r="G190" s="41"/>
      <c r="H190" s="41"/>
      <c r="I190" s="41"/>
      <c r="J190" s="41"/>
      <c r="K190" s="41"/>
      <c r="L190" s="41"/>
      <c r="M190" s="41"/>
    </row>
    <row r="191" spans="7:13" x14ac:dyDescent="0.35">
      <c r="G191" s="41"/>
      <c r="H191" s="41"/>
      <c r="I191" s="41"/>
      <c r="J191" s="41"/>
      <c r="K191" s="41"/>
      <c r="L191" s="41"/>
      <c r="M191" s="41"/>
    </row>
    <row r="192" spans="7:13" x14ac:dyDescent="0.35">
      <c r="G192" s="41"/>
      <c r="H192" s="41"/>
      <c r="I192" s="41"/>
      <c r="J192" s="41"/>
      <c r="K192" s="41"/>
      <c r="L192" s="41"/>
      <c r="M192" s="41"/>
    </row>
    <row r="193" spans="7:13" x14ac:dyDescent="0.35">
      <c r="G193" s="41"/>
      <c r="H193" s="41"/>
      <c r="I193" s="41"/>
      <c r="J193" s="41"/>
      <c r="K193" s="41"/>
      <c r="L193" s="41"/>
      <c r="M193" s="41"/>
    </row>
    <row r="194" spans="7:13" x14ac:dyDescent="0.35">
      <c r="G194" s="41"/>
      <c r="H194" s="41"/>
      <c r="I194" s="41"/>
      <c r="J194" s="41"/>
      <c r="K194" s="41"/>
      <c r="L194" s="41"/>
      <c r="M194" s="41"/>
    </row>
    <row r="195" spans="7:13" x14ac:dyDescent="0.35">
      <c r="G195" s="41"/>
      <c r="H195" s="41"/>
      <c r="I195" s="41"/>
      <c r="J195" s="41"/>
      <c r="K195" s="41"/>
      <c r="L195" s="41"/>
      <c r="M195" s="41"/>
    </row>
    <row r="196" spans="7:13" x14ac:dyDescent="0.35">
      <c r="G196" s="41"/>
      <c r="H196" s="41"/>
      <c r="I196" s="41"/>
      <c r="J196" s="41"/>
      <c r="K196" s="41"/>
      <c r="L196" s="41"/>
      <c r="M196" s="41"/>
    </row>
    <row r="197" spans="7:13" x14ac:dyDescent="0.35">
      <c r="G197" s="41"/>
      <c r="H197" s="41"/>
      <c r="I197" s="41"/>
      <c r="J197" s="41"/>
      <c r="K197" s="41"/>
      <c r="L197" s="41"/>
      <c r="M197" s="41"/>
    </row>
    <row r="198" spans="7:13" x14ac:dyDescent="0.35">
      <c r="G198" s="41"/>
      <c r="H198" s="41"/>
      <c r="I198" s="41"/>
      <c r="J198" s="41"/>
      <c r="K198" s="41"/>
      <c r="L198" s="41"/>
      <c r="M198" s="41"/>
    </row>
    <row r="199" spans="7:13" x14ac:dyDescent="0.35">
      <c r="G199" s="41"/>
      <c r="H199" s="41"/>
      <c r="I199" s="41"/>
      <c r="J199" s="41"/>
      <c r="K199" s="41"/>
      <c r="L199" s="41"/>
      <c r="M199" s="41"/>
    </row>
    <row r="200" spans="7:13" x14ac:dyDescent="0.35">
      <c r="G200" s="41"/>
      <c r="H200" s="41"/>
      <c r="I200" s="41"/>
      <c r="J200" s="41"/>
      <c r="K200" s="41"/>
      <c r="L200" s="41"/>
      <c r="M200" s="41"/>
    </row>
    <row r="201" spans="7:13" x14ac:dyDescent="0.35">
      <c r="G201" s="41"/>
      <c r="H201" s="41"/>
      <c r="I201" s="41"/>
      <c r="J201" s="41"/>
      <c r="K201" s="41"/>
      <c r="L201" s="41"/>
      <c r="M201" s="41"/>
    </row>
    <row r="202" spans="7:13" x14ac:dyDescent="0.35">
      <c r="G202" s="41"/>
      <c r="H202" s="41"/>
      <c r="I202" s="41"/>
      <c r="J202" s="41"/>
      <c r="K202" s="41"/>
      <c r="L202" s="41"/>
      <c r="M202" s="41"/>
    </row>
    <row r="203" spans="7:13" x14ac:dyDescent="0.35">
      <c r="G203" s="41"/>
      <c r="H203" s="41"/>
      <c r="I203" s="41"/>
      <c r="J203" s="41"/>
      <c r="K203" s="41"/>
      <c r="L203" s="41"/>
      <c r="M203" s="41"/>
    </row>
    <row r="204" spans="7:13" x14ac:dyDescent="0.35">
      <c r="G204" s="41"/>
      <c r="H204" s="41"/>
      <c r="I204" s="41"/>
      <c r="J204" s="41"/>
      <c r="K204" s="41"/>
      <c r="L204" s="41"/>
      <c r="M204" s="41"/>
    </row>
    <row r="205" spans="7:13" x14ac:dyDescent="0.35">
      <c r="G205" s="41"/>
      <c r="H205" s="41"/>
      <c r="I205" s="41"/>
      <c r="J205" s="41"/>
      <c r="K205" s="41"/>
      <c r="L205" s="41"/>
      <c r="M205" s="41"/>
    </row>
    <row r="206" spans="7:13" x14ac:dyDescent="0.35">
      <c r="G206" s="41"/>
      <c r="H206" s="41"/>
      <c r="I206" s="41"/>
      <c r="J206" s="41"/>
      <c r="K206" s="41"/>
      <c r="L206" s="41"/>
      <c r="M206" s="41"/>
    </row>
    <row r="207" spans="7:13" x14ac:dyDescent="0.35">
      <c r="G207" s="41"/>
      <c r="H207" s="41"/>
      <c r="I207" s="41"/>
      <c r="J207" s="41"/>
      <c r="K207" s="41"/>
      <c r="L207" s="41"/>
      <c r="M207" s="41"/>
    </row>
    <row r="208" spans="7:13" x14ac:dyDescent="0.35">
      <c r="G208" s="41"/>
      <c r="H208" s="41"/>
      <c r="I208" s="41"/>
      <c r="J208" s="41"/>
      <c r="K208" s="41"/>
      <c r="L208" s="41"/>
      <c r="M208" s="41"/>
    </row>
    <row r="209" spans="7:13" x14ac:dyDescent="0.35">
      <c r="G209" s="41"/>
      <c r="H209" s="41"/>
      <c r="I209" s="41"/>
      <c r="J209" s="41"/>
      <c r="K209" s="41"/>
      <c r="L209" s="41"/>
      <c r="M209" s="41"/>
    </row>
    <row r="210" spans="7:13" x14ac:dyDescent="0.35">
      <c r="G210" s="41"/>
      <c r="H210" s="41"/>
      <c r="I210" s="41"/>
      <c r="J210" s="41"/>
      <c r="K210" s="41"/>
      <c r="L210" s="41"/>
      <c r="M210" s="41"/>
    </row>
    <row r="211" spans="7:13" x14ac:dyDescent="0.35">
      <c r="G211" s="41"/>
      <c r="H211" s="41"/>
      <c r="I211" s="41"/>
      <c r="J211" s="41"/>
      <c r="K211" s="41"/>
      <c r="L211" s="41"/>
      <c r="M211" s="41"/>
    </row>
    <row r="212" spans="7:13" x14ac:dyDescent="0.35">
      <c r="G212" s="41"/>
      <c r="H212" s="41"/>
      <c r="I212" s="41"/>
      <c r="J212" s="41"/>
      <c r="K212" s="41"/>
      <c r="L212" s="41"/>
      <c r="M212" s="41"/>
    </row>
    <row r="213" spans="7:13" x14ac:dyDescent="0.35">
      <c r="G213" s="41"/>
      <c r="H213" s="41"/>
      <c r="I213" s="41"/>
      <c r="J213" s="41"/>
      <c r="K213" s="41"/>
      <c r="L213" s="41"/>
      <c r="M213" s="41"/>
    </row>
    <row r="214" spans="7:13" x14ac:dyDescent="0.35">
      <c r="G214" s="41"/>
      <c r="H214" s="41"/>
      <c r="I214" s="41"/>
      <c r="J214" s="41"/>
      <c r="K214" s="41"/>
      <c r="L214" s="41"/>
      <c r="M214" s="41"/>
    </row>
    <row r="215" spans="7:13" x14ac:dyDescent="0.35">
      <c r="G215" s="41"/>
      <c r="H215" s="41"/>
      <c r="I215" s="41"/>
      <c r="J215" s="41"/>
      <c r="K215" s="41"/>
      <c r="L215" s="41"/>
      <c r="M215" s="41"/>
    </row>
    <row r="216" spans="7:13" x14ac:dyDescent="0.35">
      <c r="G216" s="41"/>
      <c r="H216" s="41"/>
      <c r="I216" s="41"/>
      <c r="J216" s="41"/>
      <c r="K216" s="41"/>
      <c r="L216" s="41"/>
      <c r="M216" s="41"/>
    </row>
    <row r="217" spans="7:13" x14ac:dyDescent="0.35">
      <c r="G217" s="41"/>
      <c r="H217" s="41"/>
      <c r="I217" s="41"/>
      <c r="J217" s="41"/>
      <c r="K217" s="41"/>
      <c r="L217" s="41"/>
      <c r="M217" s="41"/>
    </row>
    <row r="218" spans="7:13" x14ac:dyDescent="0.35">
      <c r="G218" s="41"/>
      <c r="H218" s="41"/>
      <c r="I218" s="41"/>
      <c r="J218" s="41"/>
      <c r="K218" s="41"/>
      <c r="L218" s="41"/>
      <c r="M218" s="41"/>
    </row>
    <row r="219" spans="7:13" x14ac:dyDescent="0.35">
      <c r="G219" s="41"/>
      <c r="H219" s="41"/>
      <c r="I219" s="41"/>
      <c r="J219" s="41"/>
      <c r="K219" s="41"/>
      <c r="L219" s="41"/>
      <c r="M219" s="41"/>
    </row>
    <row r="220" spans="7:13" x14ac:dyDescent="0.35">
      <c r="G220" s="41"/>
      <c r="H220" s="41"/>
      <c r="I220" s="41"/>
      <c r="J220" s="41"/>
      <c r="K220" s="41"/>
      <c r="L220" s="41"/>
      <c r="M220" s="41"/>
    </row>
    <row r="221" spans="7:13" x14ac:dyDescent="0.35">
      <c r="G221" s="41"/>
      <c r="H221" s="41"/>
      <c r="I221" s="41"/>
      <c r="J221" s="41"/>
      <c r="K221" s="41"/>
      <c r="L221" s="41"/>
      <c r="M221" s="41"/>
    </row>
    <row r="222" spans="7:13" x14ac:dyDescent="0.35">
      <c r="G222" s="41"/>
      <c r="H222" s="41"/>
      <c r="I222" s="41"/>
      <c r="J222" s="41"/>
      <c r="K222" s="41"/>
      <c r="L222" s="41"/>
      <c r="M222" s="41"/>
    </row>
    <row r="223" spans="7:13" x14ac:dyDescent="0.35">
      <c r="G223" s="41"/>
      <c r="H223" s="41"/>
      <c r="I223" s="41"/>
      <c r="J223" s="41"/>
      <c r="K223" s="41"/>
      <c r="L223" s="41"/>
      <c r="M223" s="41"/>
    </row>
    <row r="224" spans="7:13" x14ac:dyDescent="0.35">
      <c r="G224" s="41"/>
      <c r="H224" s="41"/>
      <c r="I224" s="41"/>
      <c r="J224" s="41"/>
      <c r="K224" s="41"/>
      <c r="L224" s="41"/>
      <c r="M224" s="41"/>
    </row>
    <row r="225" spans="7:13" x14ac:dyDescent="0.35">
      <c r="G225" s="41"/>
      <c r="H225" s="41"/>
      <c r="I225" s="41"/>
      <c r="J225" s="41"/>
      <c r="K225" s="41"/>
      <c r="L225" s="41"/>
      <c r="M225" s="41"/>
    </row>
    <row r="226" spans="7:13" x14ac:dyDescent="0.35">
      <c r="G226" s="41"/>
      <c r="H226" s="41"/>
      <c r="I226" s="41"/>
      <c r="J226" s="41"/>
      <c r="K226" s="41"/>
      <c r="L226" s="41"/>
      <c r="M226" s="41"/>
    </row>
    <row r="227" spans="7:13" x14ac:dyDescent="0.35">
      <c r="G227" s="41"/>
      <c r="H227" s="41"/>
      <c r="I227" s="41"/>
      <c r="J227" s="41"/>
      <c r="K227" s="41"/>
      <c r="L227" s="41"/>
      <c r="M227" s="41"/>
    </row>
    <row r="228" spans="7:13" x14ac:dyDescent="0.35">
      <c r="G228" s="41"/>
      <c r="H228" s="41"/>
      <c r="I228" s="41"/>
      <c r="J228" s="41"/>
      <c r="K228" s="41"/>
      <c r="L228" s="41"/>
      <c r="M228" s="41"/>
    </row>
    <row r="229" spans="7:13" x14ac:dyDescent="0.35">
      <c r="G229" s="41"/>
      <c r="H229" s="41"/>
      <c r="I229" s="41"/>
      <c r="J229" s="41"/>
      <c r="K229" s="41"/>
      <c r="L229" s="41"/>
      <c r="M229" s="41"/>
    </row>
    <row r="230" spans="7:13" x14ac:dyDescent="0.35">
      <c r="G230" s="41"/>
      <c r="H230" s="41"/>
      <c r="I230" s="41"/>
      <c r="J230" s="41"/>
      <c r="K230" s="41"/>
      <c r="L230" s="41"/>
      <c r="M230" s="41"/>
    </row>
    <row r="231" spans="7:13" x14ac:dyDescent="0.35">
      <c r="G231" s="41"/>
      <c r="H231" s="41"/>
      <c r="I231" s="41"/>
      <c r="J231" s="41"/>
      <c r="K231" s="41"/>
      <c r="L231" s="41"/>
      <c r="M231" s="41"/>
    </row>
    <row r="232" spans="7:13" x14ac:dyDescent="0.35">
      <c r="G232" s="41"/>
      <c r="H232" s="41"/>
      <c r="I232" s="41"/>
      <c r="J232" s="41"/>
      <c r="K232" s="41"/>
      <c r="L232" s="41"/>
      <c r="M232" s="41"/>
    </row>
    <row r="233" spans="7:13" x14ac:dyDescent="0.35">
      <c r="G233" s="41"/>
      <c r="H233" s="41"/>
      <c r="I233" s="41"/>
      <c r="J233" s="41"/>
      <c r="K233" s="41"/>
      <c r="L233" s="41"/>
      <c r="M233" s="41"/>
    </row>
    <row r="234" spans="7:13" x14ac:dyDescent="0.35">
      <c r="G234" s="41"/>
      <c r="H234" s="41"/>
      <c r="I234" s="41"/>
      <c r="J234" s="41"/>
      <c r="K234" s="41"/>
      <c r="L234" s="41"/>
      <c r="M234" s="41"/>
    </row>
    <row r="235" spans="7:13" x14ac:dyDescent="0.35">
      <c r="G235" s="41"/>
      <c r="H235" s="41"/>
      <c r="I235" s="41"/>
      <c r="J235" s="41"/>
      <c r="K235" s="41"/>
      <c r="L235" s="41"/>
      <c r="M235" s="41"/>
    </row>
    <row r="236" spans="7:13" x14ac:dyDescent="0.35">
      <c r="G236" s="41"/>
      <c r="H236" s="41"/>
      <c r="I236" s="41"/>
      <c r="J236" s="41"/>
      <c r="K236" s="41"/>
      <c r="L236" s="41"/>
      <c r="M236" s="41"/>
    </row>
    <row r="237" spans="7:13" x14ac:dyDescent="0.35">
      <c r="G237" s="41"/>
      <c r="H237" s="41"/>
      <c r="I237" s="41"/>
      <c r="J237" s="41"/>
      <c r="K237" s="41"/>
      <c r="L237" s="41"/>
      <c r="M237" s="41"/>
    </row>
    <row r="238" spans="7:13" x14ac:dyDescent="0.35">
      <c r="G238" s="41"/>
      <c r="H238" s="41"/>
      <c r="I238" s="41"/>
      <c r="J238" s="41"/>
      <c r="K238" s="41"/>
      <c r="L238" s="41"/>
      <c r="M238" s="41"/>
    </row>
    <row r="239" spans="7:13" x14ac:dyDescent="0.35">
      <c r="G239" s="41"/>
      <c r="H239" s="41"/>
      <c r="I239" s="41"/>
      <c r="J239" s="41"/>
      <c r="K239" s="41"/>
      <c r="L239" s="41"/>
      <c r="M239" s="41"/>
    </row>
    <row r="240" spans="7:13" x14ac:dyDescent="0.35">
      <c r="G240" s="41"/>
      <c r="H240" s="41"/>
      <c r="I240" s="41"/>
      <c r="J240" s="41"/>
      <c r="K240" s="41"/>
      <c r="L240" s="41"/>
      <c r="M240" s="41"/>
    </row>
    <row r="241" spans="7:13" x14ac:dyDescent="0.35">
      <c r="G241" s="41"/>
      <c r="H241" s="41"/>
      <c r="I241" s="41"/>
      <c r="J241" s="41"/>
      <c r="K241" s="41"/>
      <c r="L241" s="41"/>
      <c r="M241" s="41"/>
    </row>
    <row r="242" spans="7:13" x14ac:dyDescent="0.35">
      <c r="G242" s="41"/>
      <c r="H242" s="41"/>
      <c r="I242" s="41"/>
      <c r="J242" s="41"/>
      <c r="K242" s="41"/>
      <c r="L242" s="41"/>
      <c r="M242" s="41"/>
    </row>
    <row r="243" spans="7:13" x14ac:dyDescent="0.35">
      <c r="G243" s="41"/>
      <c r="H243" s="41"/>
      <c r="I243" s="41"/>
      <c r="J243" s="41"/>
      <c r="K243" s="41"/>
      <c r="L243" s="41"/>
      <c r="M243" s="41"/>
    </row>
    <row r="244" spans="7:13" x14ac:dyDescent="0.35">
      <c r="G244" s="41"/>
      <c r="H244" s="41"/>
      <c r="I244" s="41"/>
      <c r="J244" s="41"/>
      <c r="K244" s="41"/>
      <c r="L244" s="41"/>
      <c r="M244" s="41"/>
    </row>
    <row r="245" spans="7:13" x14ac:dyDescent="0.35">
      <c r="G245" s="41"/>
      <c r="H245" s="41"/>
      <c r="I245" s="41"/>
      <c r="J245" s="41"/>
      <c r="K245" s="41"/>
      <c r="L245" s="41"/>
      <c r="M245" s="41"/>
    </row>
    <row r="246" spans="7:13" x14ac:dyDescent="0.35">
      <c r="G246" s="41"/>
      <c r="H246" s="41"/>
      <c r="I246" s="41"/>
      <c r="J246" s="41"/>
      <c r="K246" s="41"/>
      <c r="L246" s="41"/>
      <c r="M246" s="41"/>
    </row>
    <row r="247" spans="7:13" x14ac:dyDescent="0.35">
      <c r="G247" s="41"/>
      <c r="H247" s="41"/>
      <c r="I247" s="41"/>
      <c r="J247" s="41"/>
      <c r="K247" s="41"/>
      <c r="L247" s="41"/>
      <c r="M247" s="41"/>
    </row>
    <row r="248" spans="7:13" x14ac:dyDescent="0.35">
      <c r="G248" s="41"/>
      <c r="H248" s="41"/>
      <c r="I248" s="41"/>
      <c r="J248" s="41"/>
      <c r="K248" s="41"/>
      <c r="L248" s="41"/>
      <c r="M248" s="41"/>
    </row>
    <row r="249" spans="7:13" x14ac:dyDescent="0.35">
      <c r="G249" s="41"/>
      <c r="H249" s="41"/>
      <c r="I249" s="41"/>
      <c r="J249" s="41"/>
      <c r="K249" s="41"/>
      <c r="L249" s="41"/>
      <c r="M249" s="41"/>
    </row>
    <row r="250" spans="7:13" x14ac:dyDescent="0.35">
      <c r="G250" s="41"/>
      <c r="H250" s="41"/>
      <c r="I250" s="41"/>
      <c r="J250" s="41"/>
      <c r="K250" s="41"/>
      <c r="L250" s="41"/>
      <c r="M250" s="41"/>
    </row>
    <row r="251" spans="7:13" x14ac:dyDescent="0.35">
      <c r="G251" s="41"/>
      <c r="H251" s="41"/>
      <c r="I251" s="41"/>
      <c r="J251" s="41"/>
      <c r="K251" s="41"/>
      <c r="L251" s="41"/>
      <c r="M251" s="41"/>
    </row>
    <row r="252" spans="7:13" x14ac:dyDescent="0.35">
      <c r="G252" s="41"/>
      <c r="H252" s="41"/>
      <c r="I252" s="41"/>
      <c r="J252" s="41"/>
      <c r="K252" s="41"/>
      <c r="L252" s="41"/>
      <c r="M252" s="41"/>
    </row>
    <row r="253" spans="7:13" x14ac:dyDescent="0.35">
      <c r="G253" s="41"/>
      <c r="H253" s="41"/>
      <c r="I253" s="41"/>
      <c r="J253" s="41"/>
      <c r="K253" s="41"/>
      <c r="L253" s="41"/>
      <c r="M253" s="41"/>
    </row>
    <row r="254" spans="7:13" x14ac:dyDescent="0.35">
      <c r="G254" s="41"/>
      <c r="H254" s="41"/>
      <c r="I254" s="41"/>
      <c r="J254" s="41"/>
      <c r="K254" s="41"/>
      <c r="L254" s="41"/>
      <c r="M254" s="41"/>
    </row>
    <row r="255" spans="7:13" x14ac:dyDescent="0.35">
      <c r="G255" s="41"/>
      <c r="H255" s="41"/>
      <c r="I255" s="41"/>
      <c r="J255" s="41"/>
      <c r="K255" s="41"/>
      <c r="L255" s="41"/>
      <c r="M255" s="41"/>
    </row>
    <row r="256" spans="7:13" x14ac:dyDescent="0.35">
      <c r="G256" s="41"/>
      <c r="H256" s="41"/>
      <c r="I256" s="41"/>
      <c r="J256" s="41"/>
      <c r="K256" s="41"/>
      <c r="L256" s="41"/>
      <c r="M256" s="41"/>
    </row>
    <row r="257" spans="7:13" x14ac:dyDescent="0.35">
      <c r="G257" s="41"/>
      <c r="H257" s="41"/>
      <c r="I257" s="41"/>
      <c r="J257" s="41"/>
      <c r="K257" s="41"/>
      <c r="L257" s="41"/>
      <c r="M257" s="41"/>
    </row>
    <row r="258" spans="7:13" x14ac:dyDescent="0.35">
      <c r="G258" s="41"/>
      <c r="H258" s="41"/>
      <c r="I258" s="41"/>
      <c r="J258" s="41"/>
      <c r="K258" s="41"/>
      <c r="L258" s="41"/>
      <c r="M258" s="41"/>
    </row>
    <row r="259" spans="7:13" x14ac:dyDescent="0.35">
      <c r="G259" s="41"/>
      <c r="H259" s="41"/>
      <c r="I259" s="41"/>
      <c r="J259" s="41"/>
      <c r="K259" s="41"/>
      <c r="L259" s="41"/>
      <c r="M259" s="41"/>
    </row>
    <row r="260" spans="7:13" x14ac:dyDescent="0.35">
      <c r="G260" s="41"/>
      <c r="H260" s="41"/>
      <c r="I260" s="41"/>
      <c r="J260" s="41"/>
      <c r="K260" s="41"/>
      <c r="L260" s="41"/>
      <c r="M260" s="41"/>
    </row>
    <row r="261" spans="7:13" x14ac:dyDescent="0.35">
      <c r="G261" s="41"/>
      <c r="H261" s="41"/>
      <c r="I261" s="41"/>
      <c r="J261" s="41"/>
      <c r="K261" s="41"/>
      <c r="L261" s="41"/>
      <c r="M261" s="41"/>
    </row>
    <row r="262" spans="7:13" x14ac:dyDescent="0.35">
      <c r="G262" s="41"/>
      <c r="H262" s="41"/>
      <c r="I262" s="41"/>
      <c r="J262" s="41"/>
      <c r="K262" s="41"/>
      <c r="L262" s="41"/>
      <c r="M262" s="41"/>
    </row>
    <row r="263" spans="7:13" x14ac:dyDescent="0.35">
      <c r="G263" s="41"/>
      <c r="H263" s="41"/>
      <c r="I263" s="41"/>
      <c r="J263" s="41"/>
      <c r="K263" s="41"/>
      <c r="L263" s="41"/>
      <c r="M263" s="41"/>
    </row>
    <row r="264" spans="7:13" x14ac:dyDescent="0.35">
      <c r="G264" s="41"/>
      <c r="H264" s="41"/>
      <c r="I264" s="41"/>
      <c r="J264" s="41"/>
      <c r="K264" s="41"/>
      <c r="L264" s="41"/>
      <c r="M264" s="41"/>
    </row>
    <row r="265" spans="7:13" x14ac:dyDescent="0.35">
      <c r="G265" s="41"/>
      <c r="H265" s="41"/>
      <c r="I265" s="41"/>
      <c r="J265" s="41"/>
      <c r="K265" s="41"/>
      <c r="L265" s="41"/>
      <c r="M265" s="41"/>
    </row>
    <row r="266" spans="7:13" x14ac:dyDescent="0.35">
      <c r="G266" s="41"/>
      <c r="H266" s="41"/>
      <c r="I266" s="41"/>
      <c r="J266" s="41"/>
      <c r="K266" s="41"/>
      <c r="L266" s="41"/>
      <c r="M266" s="41"/>
    </row>
    <row r="267" spans="7:13" x14ac:dyDescent="0.35">
      <c r="G267" s="41"/>
      <c r="H267" s="41"/>
      <c r="I267" s="41"/>
      <c r="J267" s="41"/>
      <c r="K267" s="41"/>
      <c r="L267" s="41"/>
      <c r="M267" s="41"/>
    </row>
    <row r="268" spans="7:13" x14ac:dyDescent="0.35">
      <c r="G268" s="41"/>
      <c r="H268" s="41"/>
      <c r="I268" s="41"/>
      <c r="J268" s="41"/>
      <c r="K268" s="41"/>
      <c r="L268" s="41"/>
      <c r="M268" s="41"/>
    </row>
    <row r="269" spans="7:13" x14ac:dyDescent="0.35">
      <c r="G269" s="41"/>
      <c r="H269" s="41"/>
      <c r="I269" s="41"/>
      <c r="J269" s="41"/>
      <c r="K269" s="41"/>
      <c r="L269" s="41"/>
      <c r="M269" s="41"/>
    </row>
    <row r="270" spans="7:13" x14ac:dyDescent="0.35">
      <c r="G270" s="41"/>
      <c r="H270" s="41"/>
      <c r="I270" s="41"/>
      <c r="J270" s="41"/>
      <c r="K270" s="41"/>
      <c r="L270" s="41"/>
      <c r="M270" s="41"/>
    </row>
    <row r="271" spans="7:13" x14ac:dyDescent="0.35">
      <c r="G271" s="41"/>
      <c r="H271" s="41"/>
      <c r="I271" s="41"/>
      <c r="J271" s="41"/>
      <c r="K271" s="41"/>
      <c r="L271" s="41"/>
      <c r="M271" s="41"/>
    </row>
    <row r="272" spans="7:13" x14ac:dyDescent="0.35">
      <c r="G272" s="41"/>
      <c r="H272" s="41"/>
      <c r="I272" s="41"/>
      <c r="J272" s="41"/>
      <c r="K272" s="41"/>
      <c r="L272" s="41"/>
      <c r="M272" s="41"/>
    </row>
    <row r="273" spans="7:13" x14ac:dyDescent="0.35">
      <c r="G273" s="41"/>
      <c r="H273" s="41"/>
      <c r="I273" s="41"/>
      <c r="J273" s="41"/>
      <c r="K273" s="41"/>
      <c r="L273" s="41"/>
      <c r="M273" s="41"/>
    </row>
    <row r="274" spans="7:13" x14ac:dyDescent="0.35">
      <c r="G274" s="41"/>
      <c r="H274" s="41"/>
      <c r="I274" s="41"/>
      <c r="J274" s="41"/>
      <c r="K274" s="41"/>
      <c r="L274" s="41"/>
      <c r="M274" s="41"/>
    </row>
    <row r="275" spans="7:13" x14ac:dyDescent="0.35">
      <c r="G275" s="41"/>
      <c r="H275" s="41"/>
      <c r="I275" s="41"/>
      <c r="J275" s="41"/>
      <c r="K275" s="41"/>
      <c r="L275" s="41"/>
      <c r="M275" s="41"/>
    </row>
    <row r="276" spans="7:13" x14ac:dyDescent="0.35">
      <c r="G276" s="41"/>
      <c r="H276" s="41"/>
      <c r="I276" s="41"/>
      <c r="J276" s="41"/>
      <c r="K276" s="41"/>
      <c r="L276" s="41"/>
      <c r="M276" s="41"/>
    </row>
    <row r="277" spans="7:13" x14ac:dyDescent="0.35">
      <c r="G277" s="41"/>
      <c r="H277" s="41"/>
      <c r="I277" s="41"/>
      <c r="J277" s="41"/>
      <c r="K277" s="41"/>
      <c r="L277" s="41"/>
      <c r="M277" s="41"/>
    </row>
    <row r="278" spans="7:13" x14ac:dyDescent="0.35">
      <c r="G278" s="41"/>
      <c r="H278" s="41"/>
      <c r="I278" s="41"/>
      <c r="J278" s="41"/>
      <c r="K278" s="41"/>
      <c r="L278" s="41"/>
      <c r="M278" s="41"/>
    </row>
    <row r="279" spans="7:13" x14ac:dyDescent="0.35">
      <c r="G279" s="41"/>
      <c r="H279" s="41"/>
      <c r="I279" s="41"/>
      <c r="J279" s="41"/>
      <c r="K279" s="41"/>
      <c r="L279" s="41"/>
      <c r="M279" s="41"/>
    </row>
    <row r="280" spans="7:13" x14ac:dyDescent="0.35">
      <c r="G280" s="41"/>
      <c r="H280" s="41"/>
      <c r="I280" s="41"/>
      <c r="J280" s="41"/>
      <c r="K280" s="41"/>
      <c r="L280" s="41"/>
      <c r="M280" s="41"/>
    </row>
    <row r="281" spans="7:13" x14ac:dyDescent="0.35">
      <c r="G281" s="41"/>
      <c r="H281" s="41"/>
      <c r="I281" s="41"/>
      <c r="J281" s="41"/>
      <c r="K281" s="41"/>
      <c r="L281" s="41"/>
      <c r="M281" s="41"/>
    </row>
    <row r="282" spans="7:13" x14ac:dyDescent="0.35">
      <c r="G282" s="41"/>
      <c r="H282" s="41"/>
      <c r="I282" s="41"/>
      <c r="J282" s="41"/>
      <c r="K282" s="41"/>
      <c r="L282" s="41"/>
      <c r="M282" s="41"/>
    </row>
    <row r="283" spans="7:13" x14ac:dyDescent="0.35">
      <c r="G283" s="41"/>
      <c r="H283" s="41"/>
      <c r="I283" s="41"/>
      <c r="J283" s="41"/>
      <c r="K283" s="41"/>
      <c r="L283" s="41"/>
      <c r="M283" s="41"/>
    </row>
    <row r="284" spans="7:13" x14ac:dyDescent="0.35">
      <c r="G284" s="41"/>
      <c r="H284" s="41"/>
      <c r="I284" s="41"/>
      <c r="J284" s="41"/>
      <c r="K284" s="41"/>
      <c r="L284" s="41"/>
      <c r="M284" s="41"/>
    </row>
    <row r="285" spans="7:13" x14ac:dyDescent="0.35">
      <c r="G285" s="41"/>
      <c r="H285" s="41"/>
      <c r="I285" s="41"/>
      <c r="J285" s="41"/>
      <c r="K285" s="41"/>
      <c r="L285" s="41"/>
      <c r="M285" s="41"/>
    </row>
    <row r="286" spans="7:13" x14ac:dyDescent="0.35">
      <c r="G286" s="41"/>
      <c r="H286" s="41"/>
      <c r="I286" s="41"/>
      <c r="J286" s="41"/>
      <c r="K286" s="41"/>
      <c r="L286" s="41"/>
      <c r="M286" s="41"/>
    </row>
    <row r="287" spans="7:13" x14ac:dyDescent="0.35">
      <c r="G287" s="41"/>
      <c r="H287" s="41"/>
      <c r="I287" s="41"/>
      <c r="J287" s="41"/>
      <c r="K287" s="41"/>
      <c r="L287" s="41"/>
      <c r="M287" s="41"/>
    </row>
    <row r="288" spans="7:13" x14ac:dyDescent="0.35">
      <c r="G288" s="41"/>
      <c r="H288" s="41"/>
      <c r="I288" s="41"/>
      <c r="J288" s="41"/>
      <c r="K288" s="41"/>
      <c r="L288" s="41"/>
      <c r="M288" s="41"/>
    </row>
    <row r="289" spans="7:13" x14ac:dyDescent="0.35">
      <c r="G289" s="41"/>
      <c r="H289" s="41"/>
      <c r="I289" s="41"/>
      <c r="J289" s="41"/>
      <c r="K289" s="41"/>
      <c r="L289" s="41"/>
      <c r="M289" s="41"/>
    </row>
    <row r="290" spans="7:13" x14ac:dyDescent="0.35">
      <c r="G290" s="41"/>
      <c r="H290" s="41"/>
      <c r="I290" s="41"/>
      <c r="J290" s="41"/>
      <c r="K290" s="41"/>
      <c r="L290" s="41"/>
      <c r="M290" s="41"/>
    </row>
    <row r="291" spans="7:13" x14ac:dyDescent="0.35">
      <c r="G291" s="41"/>
      <c r="H291" s="41"/>
      <c r="I291" s="41"/>
      <c r="J291" s="41"/>
      <c r="K291" s="41"/>
      <c r="L291" s="41"/>
      <c r="M291" s="41"/>
    </row>
    <row r="292" spans="7:13" x14ac:dyDescent="0.35">
      <c r="G292" s="41"/>
      <c r="H292" s="41"/>
      <c r="I292" s="41"/>
      <c r="J292" s="41"/>
      <c r="K292" s="41"/>
      <c r="L292" s="41"/>
      <c r="M292" s="41"/>
    </row>
    <row r="293" spans="7:13" x14ac:dyDescent="0.35">
      <c r="G293" s="41"/>
      <c r="H293" s="41"/>
      <c r="I293" s="41"/>
      <c r="J293" s="41"/>
      <c r="K293" s="41"/>
      <c r="L293" s="41"/>
      <c r="M293" s="41"/>
    </row>
    <row r="294" spans="7:13" x14ac:dyDescent="0.35">
      <c r="G294" s="41"/>
      <c r="H294" s="41"/>
      <c r="I294" s="41"/>
      <c r="J294" s="41"/>
      <c r="K294" s="41"/>
      <c r="L294" s="41"/>
      <c r="M294" s="41"/>
    </row>
    <row r="295" spans="7:13" x14ac:dyDescent="0.35">
      <c r="G295" s="41"/>
      <c r="H295" s="41"/>
      <c r="I295" s="41"/>
      <c r="J295" s="41"/>
      <c r="K295" s="41"/>
      <c r="L295" s="41"/>
      <c r="M295" s="41"/>
    </row>
    <row r="296" spans="7:13" x14ac:dyDescent="0.35">
      <c r="G296" s="41"/>
      <c r="H296" s="41"/>
      <c r="I296" s="41"/>
      <c r="J296" s="41"/>
      <c r="K296" s="41"/>
      <c r="L296" s="41"/>
      <c r="M296" s="41"/>
    </row>
    <row r="297" spans="7:13" x14ac:dyDescent="0.35">
      <c r="G297" s="41"/>
      <c r="H297" s="41"/>
      <c r="I297" s="41"/>
      <c r="J297" s="41"/>
      <c r="K297" s="41"/>
      <c r="L297" s="41"/>
      <c r="M297" s="41"/>
    </row>
    <row r="298" spans="7:13" x14ac:dyDescent="0.35">
      <c r="G298" s="41"/>
      <c r="H298" s="41"/>
      <c r="I298" s="41"/>
      <c r="J298" s="41"/>
      <c r="K298" s="41"/>
      <c r="L298" s="41"/>
      <c r="M298" s="41"/>
    </row>
    <row r="299" spans="7:13" x14ac:dyDescent="0.35">
      <c r="G299" s="41"/>
      <c r="H299" s="41"/>
      <c r="I299" s="41"/>
      <c r="J299" s="41"/>
      <c r="K299" s="41"/>
      <c r="L299" s="41"/>
      <c r="M299" s="41"/>
    </row>
    <row r="300" spans="7:13" x14ac:dyDescent="0.35">
      <c r="G300" s="41"/>
      <c r="H300" s="41"/>
      <c r="I300" s="41"/>
      <c r="J300" s="41"/>
      <c r="K300" s="41"/>
      <c r="L300" s="41"/>
      <c r="M300" s="41"/>
    </row>
    <row r="301" spans="7:13" x14ac:dyDescent="0.35">
      <c r="G301" s="41"/>
      <c r="H301" s="41"/>
      <c r="I301" s="41"/>
      <c r="J301" s="41"/>
      <c r="K301" s="41"/>
      <c r="L301" s="41"/>
      <c r="M301" s="41"/>
    </row>
    <row r="302" spans="7:13" x14ac:dyDescent="0.35">
      <c r="G302" s="41"/>
      <c r="H302" s="41"/>
      <c r="I302" s="41"/>
      <c r="J302" s="41"/>
      <c r="K302" s="41"/>
      <c r="L302" s="41"/>
      <c r="M302" s="41"/>
    </row>
    <row r="303" spans="7:13" x14ac:dyDescent="0.35">
      <c r="G303" s="41"/>
      <c r="H303" s="41"/>
      <c r="I303" s="41"/>
      <c r="J303" s="41"/>
      <c r="K303" s="41"/>
      <c r="L303" s="41"/>
      <c r="M303" s="41"/>
    </row>
    <row r="304" spans="7:13" x14ac:dyDescent="0.35">
      <c r="G304" s="41"/>
      <c r="H304" s="41"/>
      <c r="I304" s="41"/>
      <c r="J304" s="41"/>
      <c r="K304" s="41"/>
      <c r="L304" s="41"/>
      <c r="M304" s="41"/>
    </row>
    <row r="305" spans="7:13" x14ac:dyDescent="0.35">
      <c r="G305" s="41"/>
      <c r="H305" s="41"/>
      <c r="I305" s="41"/>
      <c r="J305" s="41"/>
      <c r="K305" s="41"/>
      <c r="L305" s="41"/>
      <c r="M305" s="41"/>
    </row>
    <row r="306" spans="7:13" x14ac:dyDescent="0.35">
      <c r="G306" s="41"/>
      <c r="H306" s="41"/>
      <c r="I306" s="41"/>
      <c r="J306" s="41"/>
      <c r="K306" s="41"/>
      <c r="L306" s="41"/>
      <c r="M306" s="41"/>
    </row>
    <row r="307" spans="7:13" x14ac:dyDescent="0.35">
      <c r="G307" s="41"/>
      <c r="H307" s="41"/>
      <c r="I307" s="41"/>
      <c r="J307" s="41"/>
      <c r="K307" s="41"/>
      <c r="L307" s="41"/>
      <c r="M307" s="41"/>
    </row>
    <row r="308" spans="7:13" x14ac:dyDescent="0.35">
      <c r="G308" s="41"/>
      <c r="H308" s="41"/>
      <c r="I308" s="41"/>
      <c r="J308" s="41"/>
      <c r="K308" s="41"/>
      <c r="L308" s="41"/>
      <c r="M308" s="41"/>
    </row>
    <row r="309" spans="7:13" x14ac:dyDescent="0.35">
      <c r="G309" s="41"/>
      <c r="H309" s="41"/>
      <c r="I309" s="41"/>
      <c r="J309" s="41"/>
      <c r="K309" s="41"/>
      <c r="L309" s="41"/>
      <c r="M309" s="41"/>
    </row>
    <row r="310" spans="7:13" x14ac:dyDescent="0.35">
      <c r="G310" s="41"/>
      <c r="H310" s="41"/>
      <c r="I310" s="41"/>
      <c r="J310" s="41"/>
      <c r="K310" s="41"/>
      <c r="L310" s="41"/>
      <c r="M310" s="41"/>
    </row>
    <row r="311" spans="7:13" x14ac:dyDescent="0.35">
      <c r="G311" s="41"/>
      <c r="H311" s="41"/>
      <c r="I311" s="41"/>
      <c r="J311" s="41"/>
      <c r="K311" s="41"/>
      <c r="L311" s="41"/>
      <c r="M311" s="41"/>
    </row>
    <row r="312" spans="7:13" x14ac:dyDescent="0.35">
      <c r="G312" s="41"/>
      <c r="H312" s="41"/>
      <c r="I312" s="41"/>
      <c r="J312" s="41"/>
      <c r="K312" s="41"/>
      <c r="L312" s="41"/>
      <c r="M312" s="41"/>
    </row>
    <row r="313" spans="7:13" x14ac:dyDescent="0.35">
      <c r="G313" s="41"/>
      <c r="H313" s="41"/>
      <c r="I313" s="41"/>
      <c r="J313" s="41"/>
      <c r="K313" s="41"/>
      <c r="L313" s="41"/>
      <c r="M313" s="41"/>
    </row>
    <row r="314" spans="7:13" x14ac:dyDescent="0.35">
      <c r="G314" s="41"/>
      <c r="H314" s="41"/>
      <c r="I314" s="41"/>
      <c r="J314" s="41"/>
      <c r="K314" s="41"/>
      <c r="L314" s="41"/>
      <c r="M314" s="41"/>
    </row>
    <row r="315" spans="7:13" x14ac:dyDescent="0.35">
      <c r="G315" s="41"/>
      <c r="H315" s="41"/>
      <c r="I315" s="41"/>
      <c r="J315" s="41"/>
      <c r="K315" s="41"/>
      <c r="L315" s="41"/>
      <c r="M315" s="41"/>
    </row>
    <row r="316" spans="7:13" x14ac:dyDescent="0.35">
      <c r="G316" s="41"/>
      <c r="H316" s="41"/>
      <c r="I316" s="41"/>
      <c r="J316" s="41"/>
      <c r="K316" s="41"/>
      <c r="L316" s="41"/>
      <c r="M316" s="41"/>
    </row>
    <row r="317" spans="7:13" x14ac:dyDescent="0.35">
      <c r="G317" s="41"/>
      <c r="H317" s="41"/>
      <c r="I317" s="41"/>
      <c r="J317" s="41"/>
      <c r="K317" s="41"/>
      <c r="L317" s="41"/>
      <c r="M317" s="41"/>
    </row>
    <row r="318" spans="7:13" x14ac:dyDescent="0.35">
      <c r="G318" s="41"/>
      <c r="H318" s="41"/>
      <c r="I318" s="41"/>
      <c r="J318" s="41"/>
      <c r="K318" s="41"/>
      <c r="L318" s="41"/>
      <c r="M318" s="41"/>
    </row>
    <row r="319" spans="7:13" x14ac:dyDescent="0.35">
      <c r="G319" s="41"/>
      <c r="H319" s="41"/>
      <c r="I319" s="41"/>
      <c r="J319" s="41"/>
      <c r="K319" s="41"/>
      <c r="L319" s="41"/>
      <c r="M319" s="41"/>
    </row>
    <row r="320" spans="7:13" x14ac:dyDescent="0.35">
      <c r="G320" s="41"/>
      <c r="H320" s="41"/>
      <c r="I320" s="41"/>
      <c r="J320" s="41"/>
      <c r="K320" s="41"/>
      <c r="L320" s="41"/>
      <c r="M320" s="41"/>
    </row>
    <row r="321" spans="7:13" x14ac:dyDescent="0.35">
      <c r="G321" s="41"/>
      <c r="H321" s="41"/>
      <c r="I321" s="41"/>
      <c r="J321" s="41"/>
      <c r="K321" s="41"/>
      <c r="L321" s="41"/>
      <c r="M321" s="41"/>
    </row>
    <row r="322" spans="7:13" x14ac:dyDescent="0.35">
      <c r="G322" s="41"/>
      <c r="H322" s="41"/>
      <c r="I322" s="41"/>
      <c r="J322" s="41"/>
      <c r="K322" s="41"/>
      <c r="L322" s="41"/>
      <c r="M322" s="41"/>
    </row>
    <row r="323" spans="7:13" x14ac:dyDescent="0.35">
      <c r="G323" s="41"/>
      <c r="H323" s="41"/>
      <c r="I323" s="41"/>
      <c r="J323" s="41"/>
      <c r="K323" s="41"/>
      <c r="L323" s="41"/>
      <c r="M323" s="41"/>
    </row>
    <row r="324" spans="7:13" x14ac:dyDescent="0.35">
      <c r="G324" s="41"/>
      <c r="H324" s="41"/>
      <c r="I324" s="41"/>
      <c r="J324" s="41"/>
      <c r="K324" s="41"/>
      <c r="L324" s="41"/>
      <c r="M324" s="41"/>
    </row>
    <row r="325" spans="7:13" x14ac:dyDescent="0.35">
      <c r="G325" s="41"/>
      <c r="H325" s="41"/>
      <c r="I325" s="41"/>
      <c r="J325" s="41"/>
      <c r="K325" s="41"/>
      <c r="L325" s="41"/>
      <c r="M325" s="41"/>
    </row>
    <row r="326" spans="7:13" x14ac:dyDescent="0.35">
      <c r="G326" s="41"/>
      <c r="H326" s="41"/>
      <c r="I326" s="41"/>
      <c r="J326" s="41"/>
      <c r="K326" s="41"/>
      <c r="L326" s="41"/>
      <c r="M326" s="41"/>
    </row>
    <row r="327" spans="7:13" x14ac:dyDescent="0.35">
      <c r="G327" s="41"/>
      <c r="H327" s="41"/>
      <c r="I327" s="41"/>
      <c r="J327" s="41"/>
      <c r="K327" s="41"/>
      <c r="L327" s="41"/>
      <c r="M327" s="41"/>
    </row>
    <row r="328" spans="7:13" x14ac:dyDescent="0.35">
      <c r="G328" s="41"/>
      <c r="H328" s="41"/>
      <c r="I328" s="41"/>
      <c r="J328" s="41"/>
      <c r="K328" s="41"/>
      <c r="L328" s="41"/>
      <c r="M328" s="41"/>
    </row>
    <row r="329" spans="7:13" x14ac:dyDescent="0.35">
      <c r="G329" s="41"/>
      <c r="I329" s="41"/>
      <c r="J329" s="41"/>
      <c r="K329" s="41"/>
      <c r="L329" s="41"/>
      <c r="M329" s="41"/>
    </row>
    <row r="330" spans="7:13" x14ac:dyDescent="0.35">
      <c r="G330" s="41"/>
      <c r="I330" s="41"/>
      <c r="J330" s="41"/>
      <c r="K330" s="41"/>
      <c r="L330" s="41"/>
      <c r="M330" s="41"/>
    </row>
    <row r="331" spans="7:13" x14ac:dyDescent="0.35">
      <c r="G331" s="41"/>
      <c r="I331" s="41"/>
      <c r="J331" s="41"/>
      <c r="K331" s="41"/>
      <c r="L331" s="41"/>
      <c r="M331" s="41"/>
    </row>
    <row r="332" spans="7:13" x14ac:dyDescent="0.35">
      <c r="G332" s="41"/>
      <c r="I332" s="41"/>
      <c r="J332" s="41"/>
      <c r="K332" s="41"/>
      <c r="L332" s="41"/>
      <c r="M332" s="41"/>
    </row>
    <row r="333" spans="7:13" x14ac:dyDescent="0.35">
      <c r="G333" s="41"/>
      <c r="I333" s="41"/>
      <c r="J333" s="41"/>
      <c r="K333" s="41"/>
      <c r="L333" s="41"/>
      <c r="M333" s="41"/>
    </row>
    <row r="334" spans="7:13" x14ac:dyDescent="0.35">
      <c r="G334" s="41"/>
      <c r="I334" s="41"/>
      <c r="J334" s="41"/>
      <c r="K334" s="41"/>
      <c r="L334" s="41"/>
      <c r="M334" s="41"/>
    </row>
    <row r="335" spans="7:13" x14ac:dyDescent="0.35">
      <c r="M335" s="41"/>
    </row>
    <row r="336" spans="7:13" x14ac:dyDescent="0.35">
      <c r="M336" s="41"/>
    </row>
    <row r="337" spans="13:13" x14ac:dyDescent="0.35">
      <c r="M337" s="41"/>
    </row>
    <row r="338" spans="13:13" x14ac:dyDescent="0.35">
      <c r="M338" s="41"/>
    </row>
    <row r="339" spans="13:13" x14ac:dyDescent="0.35">
      <c r="M339" s="41"/>
    </row>
    <row r="340" spans="13:13" x14ac:dyDescent="0.35">
      <c r="M340" s="41"/>
    </row>
    <row r="341" spans="13:13" x14ac:dyDescent="0.35">
      <c r="M341" s="41"/>
    </row>
    <row r="342" spans="13:13" x14ac:dyDescent="0.35">
      <c r="M342" s="41"/>
    </row>
    <row r="343" spans="13:13" x14ac:dyDescent="0.35">
      <c r="M343" s="41"/>
    </row>
    <row r="344" spans="13:13" x14ac:dyDescent="0.35">
      <c r="M344" s="41"/>
    </row>
    <row r="345" spans="13:13" x14ac:dyDescent="0.35">
      <c r="M345" s="41"/>
    </row>
    <row r="346" spans="13:13" x14ac:dyDescent="0.35">
      <c r="M346" s="41"/>
    </row>
    <row r="347" spans="13:13" x14ac:dyDescent="0.35">
      <c r="M347" s="41"/>
    </row>
    <row r="348" spans="13:13" x14ac:dyDescent="0.35">
      <c r="M348" s="41"/>
    </row>
    <row r="349" spans="13:13" x14ac:dyDescent="0.35">
      <c r="M349" s="41"/>
    </row>
    <row r="350" spans="13:13" x14ac:dyDescent="0.35">
      <c r="M350" s="41"/>
    </row>
  </sheetData>
  <phoneticPr fontId="1" type="noConversion"/>
  <conditionalFormatting sqref="J9:J35 I2:I8">
    <cfRule type="colorScale" priority="6">
      <colorScale>
        <cfvo type="min"/>
        <cfvo type="max"/>
        <color theme="0"/>
        <color rgb="FFC00000"/>
      </colorScale>
    </cfRule>
  </conditionalFormatting>
  <conditionalFormatting sqref="K9:K35 J2:J8">
    <cfRule type="colorScale" priority="5">
      <colorScale>
        <cfvo type="min"/>
        <cfvo type="max"/>
        <color theme="0"/>
        <color rgb="FFC00000"/>
      </colorScale>
    </cfRule>
  </conditionalFormatting>
  <conditionalFormatting sqref="L9:L35 K2:K8">
    <cfRule type="colorScale" priority="63">
      <colorScale>
        <cfvo type="min"/>
        <cfvo type="max"/>
        <color theme="0"/>
        <color rgb="FFC00000"/>
      </colorScale>
    </cfRule>
  </conditionalFormatting>
  <conditionalFormatting sqref="I9:I49 H2:H8">
    <cfRule type="colorScale" priority="2">
      <colorScale>
        <cfvo type="min"/>
        <cfvo type="max"/>
        <color theme="0"/>
        <color rgb="FFC00000"/>
      </colorScale>
    </cfRule>
  </conditionalFormatting>
  <conditionalFormatting sqref="H9:H35 G2:G8">
    <cfRule type="colorScale" priority="1">
      <colorScale>
        <cfvo type="min"/>
        <cfvo type="max"/>
        <color theme="0"/>
        <color rgb="FFC00000"/>
      </colorScale>
    </cfRule>
  </conditionalFormatting>
  <conditionalFormatting sqref="G9:G45">
    <cfRule type="colorScale" priority="77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C18E-9AAF-47B8-BE3E-BB2EABA3403F}">
  <sheetPr codeName="Sheet5"/>
  <dimension ref="A1:D58"/>
  <sheetViews>
    <sheetView workbookViewId="0">
      <selection activeCell="B26" sqref="B26"/>
    </sheetView>
  </sheetViews>
  <sheetFormatPr defaultRowHeight="14.5" x14ac:dyDescent="0.35"/>
  <cols>
    <col min="2" max="2" width="36.7265625" bestFit="1" customWidth="1"/>
  </cols>
  <sheetData>
    <row r="1" spans="1:4" x14ac:dyDescent="0.35">
      <c r="A1" t="s">
        <v>483</v>
      </c>
      <c r="B1" t="s">
        <v>426</v>
      </c>
      <c r="C1" t="s">
        <v>484</v>
      </c>
      <c r="D1" t="s">
        <v>17</v>
      </c>
    </row>
    <row r="2" spans="1:4" x14ac:dyDescent="0.35">
      <c r="A2" t="s">
        <v>393</v>
      </c>
    </row>
    <row r="3" spans="1:4" x14ac:dyDescent="0.35">
      <c r="A3" t="s">
        <v>394</v>
      </c>
      <c r="B3" t="s">
        <v>395</v>
      </c>
      <c r="C3" t="s">
        <v>396</v>
      </c>
      <c r="D3">
        <v>12.62</v>
      </c>
    </row>
    <row r="4" spans="1:4" x14ac:dyDescent="0.35">
      <c r="A4" t="s">
        <v>397</v>
      </c>
      <c r="B4" t="s">
        <v>398</v>
      </c>
      <c r="C4" t="s">
        <v>396</v>
      </c>
      <c r="D4">
        <v>15.78</v>
      </c>
    </row>
    <row r="5" spans="1:4" x14ac:dyDescent="0.35">
      <c r="A5" t="s">
        <v>399</v>
      </c>
    </row>
    <row r="6" spans="1:4" x14ac:dyDescent="0.35">
      <c r="A6" t="s">
        <v>400</v>
      </c>
      <c r="B6" t="s">
        <v>401</v>
      </c>
      <c r="C6" t="s">
        <v>396</v>
      </c>
      <c r="D6">
        <v>300.3</v>
      </c>
    </row>
    <row r="7" spans="1:4" x14ac:dyDescent="0.35">
      <c r="A7" t="s">
        <v>402</v>
      </c>
      <c r="B7" t="s">
        <v>403</v>
      </c>
      <c r="C7" t="s">
        <v>396</v>
      </c>
      <c r="D7">
        <v>584.78</v>
      </c>
    </row>
    <row r="8" spans="1:4" x14ac:dyDescent="0.35">
      <c r="A8" t="s">
        <v>404</v>
      </c>
      <c r="B8" t="s">
        <v>405</v>
      </c>
      <c r="C8" t="s">
        <v>396</v>
      </c>
      <c r="D8">
        <v>363.66</v>
      </c>
    </row>
    <row r="9" spans="1:4" x14ac:dyDescent="0.35">
      <c r="A9" t="s">
        <v>406</v>
      </c>
      <c r="B9" t="s">
        <v>407</v>
      </c>
      <c r="C9" t="s">
        <v>396</v>
      </c>
      <c r="D9">
        <v>770.74</v>
      </c>
    </row>
    <row r="10" spans="1:4" x14ac:dyDescent="0.35">
      <c r="A10" t="s">
        <v>408</v>
      </c>
      <c r="B10" t="s">
        <v>409</v>
      </c>
      <c r="C10" t="s">
        <v>396</v>
      </c>
      <c r="D10">
        <v>4.47</v>
      </c>
    </row>
    <row r="11" spans="1:4" x14ac:dyDescent="0.35">
      <c r="A11" t="s">
        <v>410</v>
      </c>
    </row>
    <row r="12" spans="1:4" x14ac:dyDescent="0.35">
      <c r="A12" t="s">
        <v>411</v>
      </c>
      <c r="B12" t="s">
        <v>412</v>
      </c>
      <c r="C12" t="s">
        <v>396</v>
      </c>
      <c r="D12">
        <v>4.3099999999999996</v>
      </c>
    </row>
    <row r="13" spans="1:4" x14ac:dyDescent="0.35">
      <c r="A13" t="s">
        <v>413</v>
      </c>
      <c r="B13" t="s">
        <v>414</v>
      </c>
      <c r="C13" t="s">
        <v>396</v>
      </c>
      <c r="D13">
        <v>4.5199999999999996</v>
      </c>
    </row>
    <row r="14" spans="1:4" x14ac:dyDescent="0.35">
      <c r="A14" t="s">
        <v>415</v>
      </c>
      <c r="B14" t="s">
        <v>416</v>
      </c>
      <c r="C14" t="s">
        <v>396</v>
      </c>
      <c r="D14">
        <v>0.76</v>
      </c>
    </row>
    <row r="15" spans="1:4" x14ac:dyDescent="0.35">
      <c r="A15" t="s">
        <v>417</v>
      </c>
      <c r="B15" t="s">
        <v>418</v>
      </c>
      <c r="C15" t="s">
        <v>396</v>
      </c>
      <c r="D15">
        <v>1.43</v>
      </c>
    </row>
    <row r="16" spans="1:4" x14ac:dyDescent="0.35">
      <c r="A16" t="s">
        <v>419</v>
      </c>
      <c r="B16" t="s">
        <v>420</v>
      </c>
      <c r="C16" t="s">
        <v>396</v>
      </c>
      <c r="D16">
        <v>1.05</v>
      </c>
    </row>
    <row r="17" spans="1:4" x14ac:dyDescent="0.35">
      <c r="A17" t="s">
        <v>421</v>
      </c>
      <c r="B17" t="s">
        <v>422</v>
      </c>
      <c r="C17" t="s">
        <v>396</v>
      </c>
      <c r="D17">
        <v>2.36</v>
      </c>
    </row>
    <row r="18" spans="1:4" x14ac:dyDescent="0.35">
      <c r="A18" t="s">
        <v>423</v>
      </c>
      <c r="B18" t="s">
        <v>424</v>
      </c>
      <c r="C18" t="s">
        <v>396</v>
      </c>
      <c r="D18">
        <v>1.1399999999999999</v>
      </c>
    </row>
    <row r="19" spans="1:4" x14ac:dyDescent="0.35">
      <c r="A19" t="s">
        <v>425</v>
      </c>
      <c r="B19" t="s">
        <v>426</v>
      </c>
    </row>
    <row r="20" spans="1:4" x14ac:dyDescent="0.35">
      <c r="A20" t="s">
        <v>427</v>
      </c>
    </row>
    <row r="21" spans="1:4" x14ac:dyDescent="0.35">
      <c r="A21" t="s">
        <v>428</v>
      </c>
      <c r="B21" t="s">
        <v>429</v>
      </c>
      <c r="C21" t="s">
        <v>396</v>
      </c>
      <c r="D21">
        <v>5.84</v>
      </c>
    </row>
    <row r="22" spans="1:4" x14ac:dyDescent="0.35">
      <c r="A22" t="s">
        <v>430</v>
      </c>
      <c r="B22" t="s">
        <v>426</v>
      </c>
      <c r="D22" t="s">
        <v>17</v>
      </c>
    </row>
    <row r="23" spans="1:4" x14ac:dyDescent="0.35">
      <c r="A23" t="s">
        <v>431</v>
      </c>
    </row>
    <row r="24" spans="1:4" x14ac:dyDescent="0.35">
      <c r="A24" t="s">
        <v>432</v>
      </c>
      <c r="B24" t="s">
        <v>433</v>
      </c>
      <c r="C24" t="s">
        <v>396</v>
      </c>
      <c r="D24">
        <v>368.2</v>
      </c>
    </row>
    <row r="25" spans="1:4" x14ac:dyDescent="0.35">
      <c r="A25" t="s">
        <v>434</v>
      </c>
      <c r="B25" t="s">
        <v>433</v>
      </c>
      <c r="C25" t="s">
        <v>396</v>
      </c>
      <c r="D25">
        <v>683.8</v>
      </c>
    </row>
    <row r="26" spans="1:4" x14ac:dyDescent="0.35">
      <c r="A26" t="s">
        <v>435</v>
      </c>
      <c r="D26">
        <v>0</v>
      </c>
    </row>
    <row r="27" spans="1:4" x14ac:dyDescent="0.35">
      <c r="A27" t="s">
        <v>436</v>
      </c>
      <c r="B27" t="s">
        <v>437</v>
      </c>
      <c r="C27" t="s">
        <v>396</v>
      </c>
      <c r="D27">
        <v>73.64</v>
      </c>
    </row>
    <row r="28" spans="1:4" x14ac:dyDescent="0.35">
      <c r="A28" t="s">
        <v>438</v>
      </c>
      <c r="B28" t="s">
        <v>437</v>
      </c>
      <c r="C28" t="s">
        <v>396</v>
      </c>
      <c r="D28">
        <v>84.16</v>
      </c>
    </row>
    <row r="29" spans="1:4" x14ac:dyDescent="0.35">
      <c r="A29" t="s">
        <v>439</v>
      </c>
      <c r="B29" t="s">
        <v>426</v>
      </c>
      <c r="D29" t="s">
        <v>17</v>
      </c>
    </row>
    <row r="30" spans="1:4" x14ac:dyDescent="0.35">
      <c r="A30" t="s">
        <v>393</v>
      </c>
      <c r="D30">
        <v>0</v>
      </c>
    </row>
    <row r="31" spans="1:4" x14ac:dyDescent="0.35">
      <c r="A31" t="s">
        <v>440</v>
      </c>
      <c r="B31" t="s">
        <v>441</v>
      </c>
      <c r="C31" t="s">
        <v>396</v>
      </c>
      <c r="D31">
        <v>12.624000000000001</v>
      </c>
    </row>
    <row r="32" spans="1:4" x14ac:dyDescent="0.35">
      <c r="A32" t="s">
        <v>442</v>
      </c>
      <c r="B32" t="s">
        <v>441</v>
      </c>
      <c r="C32" t="s">
        <v>396</v>
      </c>
      <c r="D32">
        <v>3.1560000000000001</v>
      </c>
    </row>
    <row r="33" spans="1:4" x14ac:dyDescent="0.35">
      <c r="A33" t="s">
        <v>443</v>
      </c>
      <c r="B33" t="s">
        <v>444</v>
      </c>
      <c r="C33" t="s">
        <v>396</v>
      </c>
      <c r="D33">
        <v>5.26</v>
      </c>
    </row>
    <row r="34" spans="1:4" x14ac:dyDescent="0.35">
      <c r="A34" t="s">
        <v>445</v>
      </c>
      <c r="D34">
        <v>0</v>
      </c>
    </row>
    <row r="35" spans="1:4" x14ac:dyDescent="0.35">
      <c r="A35" t="s">
        <v>446</v>
      </c>
      <c r="B35" t="s">
        <v>447</v>
      </c>
      <c r="C35" t="s">
        <v>396</v>
      </c>
      <c r="D35">
        <v>36.82</v>
      </c>
    </row>
    <row r="36" spans="1:4" x14ac:dyDescent="0.35">
      <c r="A36" t="s">
        <v>448</v>
      </c>
      <c r="D36">
        <v>0</v>
      </c>
    </row>
    <row r="37" spans="1:4" x14ac:dyDescent="0.35">
      <c r="A37" t="s">
        <v>449</v>
      </c>
      <c r="B37" t="s">
        <v>450</v>
      </c>
      <c r="C37" t="s">
        <v>396</v>
      </c>
      <c r="D37">
        <v>4.5236000000000001</v>
      </c>
    </row>
    <row r="38" spans="1:4" x14ac:dyDescent="0.35">
      <c r="A38" t="s">
        <v>451</v>
      </c>
      <c r="B38" t="s">
        <v>452</v>
      </c>
      <c r="C38" t="s">
        <v>396</v>
      </c>
      <c r="D38">
        <v>0.75744</v>
      </c>
    </row>
    <row r="39" spans="1:4" x14ac:dyDescent="0.35">
      <c r="A39" t="s">
        <v>453</v>
      </c>
      <c r="B39" t="s">
        <v>418</v>
      </c>
      <c r="C39" t="s">
        <v>396</v>
      </c>
      <c r="D39">
        <v>1.4202000000000001</v>
      </c>
    </row>
    <row r="40" spans="1:4" x14ac:dyDescent="0.35">
      <c r="A40" t="s">
        <v>454</v>
      </c>
      <c r="B40" t="s">
        <v>420</v>
      </c>
      <c r="C40" t="s">
        <v>396</v>
      </c>
      <c r="D40">
        <v>1.052</v>
      </c>
    </row>
    <row r="41" spans="1:4" x14ac:dyDescent="0.35">
      <c r="A41" t="s">
        <v>455</v>
      </c>
      <c r="B41" t="s">
        <v>422</v>
      </c>
      <c r="C41" t="s">
        <v>396</v>
      </c>
      <c r="D41">
        <v>2.3564800000000004</v>
      </c>
    </row>
    <row r="42" spans="1:4" x14ac:dyDescent="0.35">
      <c r="A42" t="s">
        <v>456</v>
      </c>
      <c r="D42">
        <v>0</v>
      </c>
    </row>
    <row r="43" spans="1:4" x14ac:dyDescent="0.35">
      <c r="A43" t="s">
        <v>457</v>
      </c>
      <c r="B43" t="s">
        <v>458</v>
      </c>
      <c r="C43" t="s">
        <v>396</v>
      </c>
      <c r="D43">
        <v>3.5136799999999999</v>
      </c>
    </row>
    <row r="44" spans="1:4" x14ac:dyDescent="0.35">
      <c r="A44" t="s">
        <v>459</v>
      </c>
      <c r="B44" t="s">
        <v>409</v>
      </c>
      <c r="C44" t="s">
        <v>396</v>
      </c>
      <c r="D44">
        <v>15.78</v>
      </c>
    </row>
    <row r="45" spans="1:4" x14ac:dyDescent="0.35">
      <c r="A45" t="s">
        <v>411</v>
      </c>
      <c r="B45" t="s">
        <v>412</v>
      </c>
      <c r="C45" t="s">
        <v>396</v>
      </c>
      <c r="D45">
        <v>4.2606000000000002</v>
      </c>
    </row>
    <row r="46" spans="1:4" x14ac:dyDescent="0.35">
      <c r="A46" t="s">
        <v>460</v>
      </c>
      <c r="B46" t="s">
        <v>461</v>
      </c>
      <c r="C46" t="s">
        <v>396</v>
      </c>
      <c r="D46">
        <v>0.68379999999999996</v>
      </c>
    </row>
    <row r="47" spans="1:4" x14ac:dyDescent="0.35">
      <c r="A47" t="s">
        <v>462</v>
      </c>
      <c r="B47" t="s">
        <v>463</v>
      </c>
      <c r="C47" t="s">
        <v>396</v>
      </c>
      <c r="D47">
        <v>0.55756000000000006</v>
      </c>
    </row>
    <row r="48" spans="1:4" x14ac:dyDescent="0.35">
      <c r="A48" t="s">
        <v>464</v>
      </c>
      <c r="D48">
        <v>0</v>
      </c>
    </row>
    <row r="49" spans="1:4" x14ac:dyDescent="0.35">
      <c r="A49" t="s">
        <v>465</v>
      </c>
      <c r="B49" t="s">
        <v>466</v>
      </c>
      <c r="C49" t="s">
        <v>396</v>
      </c>
      <c r="D49">
        <v>0.75744</v>
      </c>
    </row>
    <row r="50" spans="1:4" x14ac:dyDescent="0.35">
      <c r="A50" t="s">
        <v>467</v>
      </c>
      <c r="B50" t="s">
        <v>409</v>
      </c>
      <c r="C50" t="s">
        <v>396</v>
      </c>
      <c r="D50">
        <v>3.96604</v>
      </c>
    </row>
    <row r="51" spans="1:4" x14ac:dyDescent="0.35">
      <c r="A51" t="s">
        <v>468</v>
      </c>
      <c r="D51">
        <v>0</v>
      </c>
    </row>
    <row r="52" spans="1:4" x14ac:dyDescent="0.35">
      <c r="A52" t="s">
        <v>469</v>
      </c>
      <c r="B52" t="s">
        <v>470</v>
      </c>
      <c r="C52" t="s">
        <v>471</v>
      </c>
      <c r="D52">
        <v>0</v>
      </c>
    </row>
    <row r="53" spans="1:4" x14ac:dyDescent="0.35">
      <c r="A53" t="s">
        <v>472</v>
      </c>
      <c r="B53" t="s">
        <v>473</v>
      </c>
      <c r="C53" t="s">
        <v>396</v>
      </c>
      <c r="D53">
        <v>44.183999999999997</v>
      </c>
    </row>
    <row r="54" spans="1:4" x14ac:dyDescent="0.35">
      <c r="A54" t="s">
        <v>474</v>
      </c>
      <c r="B54" t="s">
        <v>475</v>
      </c>
      <c r="C54" t="s">
        <v>471</v>
      </c>
      <c r="D54">
        <v>0</v>
      </c>
    </row>
    <row r="55" spans="1:4" x14ac:dyDescent="0.35">
      <c r="A55" t="s">
        <v>476</v>
      </c>
      <c r="D55">
        <v>0</v>
      </c>
    </row>
    <row r="56" spans="1:4" x14ac:dyDescent="0.35">
      <c r="A56" t="s">
        <v>477</v>
      </c>
      <c r="B56" t="s">
        <v>478</v>
      </c>
      <c r="C56" t="s">
        <v>396</v>
      </c>
      <c r="D56">
        <v>0.73639999999999994</v>
      </c>
    </row>
    <row r="57" spans="1:4" x14ac:dyDescent="0.35">
      <c r="A57" t="s">
        <v>479</v>
      </c>
      <c r="B57" t="s">
        <v>480</v>
      </c>
      <c r="C57" t="s">
        <v>396</v>
      </c>
      <c r="D57">
        <v>1.9356800000000001</v>
      </c>
    </row>
    <row r="58" spans="1:4" x14ac:dyDescent="0.35">
      <c r="A58" t="s">
        <v>481</v>
      </c>
      <c r="B58" t="s">
        <v>482</v>
      </c>
      <c r="C58" t="s">
        <v>396</v>
      </c>
      <c r="D58">
        <v>4.2606000000000002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381E-8FE8-4AF0-8FEB-C44D5A96C21B}">
  <sheetPr codeName="Sheet6"/>
  <dimension ref="A1:I263"/>
  <sheetViews>
    <sheetView workbookViewId="0">
      <selection activeCell="G15" sqref="G15"/>
    </sheetView>
  </sheetViews>
  <sheetFormatPr defaultRowHeight="14.5" x14ac:dyDescent="0.35"/>
  <sheetData>
    <row r="1" spans="1:9" x14ac:dyDescent="0.35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</row>
    <row r="2" spans="1:9" x14ac:dyDescent="0.35">
      <c r="A2" t="s">
        <v>100</v>
      </c>
      <c r="B2">
        <v>15</v>
      </c>
      <c r="C2">
        <v>75</v>
      </c>
      <c r="D2">
        <v>0.51</v>
      </c>
      <c r="E2">
        <v>0.37790000000000001</v>
      </c>
      <c r="F2">
        <v>0.33439999999999998</v>
      </c>
      <c r="G2">
        <v>0.3004</v>
      </c>
      <c r="H2">
        <v>0.27850000000000003</v>
      </c>
      <c r="I2">
        <v>0.26779999999999998</v>
      </c>
    </row>
    <row r="3" spans="1:9" x14ac:dyDescent="0.35">
      <c r="A3" t="s">
        <v>101</v>
      </c>
      <c r="B3">
        <v>20</v>
      </c>
      <c r="C3">
        <v>75</v>
      </c>
      <c r="D3">
        <v>1.1127</v>
      </c>
      <c r="E3">
        <v>0.73609999999999998</v>
      </c>
      <c r="F3">
        <v>0.61270000000000002</v>
      </c>
      <c r="G3">
        <v>0.4738</v>
      </c>
      <c r="H3">
        <v>0.43140000000000001</v>
      </c>
      <c r="I3">
        <v>0.41060000000000002</v>
      </c>
    </row>
    <row r="4" spans="1:9" x14ac:dyDescent="0.35">
      <c r="A4" t="s">
        <v>102</v>
      </c>
      <c r="B4">
        <v>30</v>
      </c>
      <c r="C4">
        <v>90</v>
      </c>
      <c r="D4">
        <v>1.8635999999999999</v>
      </c>
      <c r="E4">
        <v>1.3433999999999999</v>
      </c>
      <c r="F4">
        <v>1.1917</v>
      </c>
      <c r="G4">
        <v>1.1077999999999999</v>
      </c>
      <c r="H4">
        <v>1.0529999999999999</v>
      </c>
      <c r="I4">
        <v>1.0407999999999999</v>
      </c>
    </row>
    <row r="5" spans="1:9" x14ac:dyDescent="0.35">
      <c r="A5" t="s">
        <v>103</v>
      </c>
      <c r="B5">
        <v>30</v>
      </c>
      <c r="C5">
        <v>90</v>
      </c>
      <c r="D5">
        <v>2.3439000000000001</v>
      </c>
      <c r="E5">
        <v>1.9187000000000001</v>
      </c>
      <c r="F5">
        <v>1.5662</v>
      </c>
      <c r="G5">
        <v>1.4825999999999999</v>
      </c>
      <c r="H5">
        <v>1.4563999999999999</v>
      </c>
      <c r="I5">
        <v>1.4439</v>
      </c>
    </row>
    <row r="6" spans="1:9" x14ac:dyDescent="0.35">
      <c r="A6" t="s">
        <v>104</v>
      </c>
      <c r="B6">
        <v>30</v>
      </c>
      <c r="C6">
        <v>90</v>
      </c>
      <c r="D6">
        <v>0.75270000000000004</v>
      </c>
      <c r="E6">
        <v>0.45319999999999999</v>
      </c>
      <c r="F6">
        <v>0.3553</v>
      </c>
      <c r="G6">
        <v>0.31740000000000002</v>
      </c>
      <c r="H6">
        <v>0.26550000000000001</v>
      </c>
      <c r="I6">
        <v>0.24</v>
      </c>
    </row>
    <row r="7" spans="1:9" x14ac:dyDescent="0.35">
      <c r="A7" t="s">
        <v>105</v>
      </c>
      <c r="B7">
        <v>20</v>
      </c>
      <c r="C7">
        <v>75</v>
      </c>
      <c r="D7">
        <v>0.76990000000000003</v>
      </c>
      <c r="E7">
        <v>0.50519999999999998</v>
      </c>
      <c r="F7">
        <v>0.41820000000000002</v>
      </c>
      <c r="G7">
        <v>0.38490000000000002</v>
      </c>
      <c r="H7">
        <v>0.33900000000000002</v>
      </c>
      <c r="I7">
        <v>0.31640000000000001</v>
      </c>
    </row>
    <row r="8" spans="1:9" x14ac:dyDescent="0.35">
      <c r="A8" t="s">
        <v>106</v>
      </c>
      <c r="B8">
        <v>30</v>
      </c>
      <c r="C8">
        <v>90</v>
      </c>
      <c r="D8">
        <v>2.0777000000000001</v>
      </c>
      <c r="E8">
        <v>1.3306</v>
      </c>
      <c r="F8">
        <v>1.1113999999999999</v>
      </c>
      <c r="G8">
        <v>1.0770999999999999</v>
      </c>
      <c r="H8">
        <v>1.0067999999999999</v>
      </c>
      <c r="I8">
        <v>0.99609999999999999</v>
      </c>
    </row>
    <row r="9" spans="1:9" x14ac:dyDescent="0.35">
      <c r="A9" t="s">
        <v>107</v>
      </c>
      <c r="B9">
        <v>30</v>
      </c>
      <c r="C9">
        <v>90</v>
      </c>
      <c r="D9">
        <v>1.0587</v>
      </c>
      <c r="E9">
        <v>0.70730000000000004</v>
      </c>
      <c r="F9">
        <v>0.59219999999999995</v>
      </c>
      <c r="G9">
        <v>0.55059999999999998</v>
      </c>
      <c r="H9">
        <v>0.48909999999999998</v>
      </c>
      <c r="I9">
        <v>0.4587</v>
      </c>
    </row>
    <row r="10" spans="1:9" x14ac:dyDescent="0.35">
      <c r="A10" t="s">
        <v>108</v>
      </c>
      <c r="B10">
        <v>30</v>
      </c>
      <c r="C10">
        <v>90</v>
      </c>
      <c r="D10">
        <v>1.5377000000000001</v>
      </c>
      <c r="E10">
        <v>1.0681</v>
      </c>
      <c r="F10">
        <v>0.8569</v>
      </c>
      <c r="G10">
        <v>0.71709999999999996</v>
      </c>
      <c r="H10">
        <v>0.61639999999999995</v>
      </c>
      <c r="I10">
        <v>0.60389999999999999</v>
      </c>
    </row>
    <row r="11" spans="1:9" x14ac:dyDescent="0.35">
      <c r="A11" t="s">
        <v>109</v>
      </c>
      <c r="B11">
        <v>30</v>
      </c>
      <c r="C11">
        <v>90</v>
      </c>
      <c r="D11">
        <v>1.8925000000000001</v>
      </c>
      <c r="E11">
        <v>1.5003</v>
      </c>
      <c r="F11">
        <v>1.3433999999999999</v>
      </c>
      <c r="G11">
        <v>1.2267999999999999</v>
      </c>
      <c r="H11">
        <v>1.1408</v>
      </c>
      <c r="I11">
        <v>1.1291</v>
      </c>
    </row>
    <row r="12" spans="1:9" x14ac:dyDescent="0.35">
      <c r="A12" t="s">
        <v>110</v>
      </c>
      <c r="B12">
        <v>30</v>
      </c>
      <c r="C12">
        <v>90</v>
      </c>
      <c r="D12">
        <v>0.87350000000000005</v>
      </c>
      <c r="E12">
        <v>0.49919999999999998</v>
      </c>
      <c r="F12">
        <v>0.37690000000000001</v>
      </c>
      <c r="G12">
        <v>0.3327</v>
      </c>
      <c r="H12">
        <v>0.26700000000000002</v>
      </c>
      <c r="I12">
        <v>0.23480000000000001</v>
      </c>
    </row>
    <row r="13" spans="1:9" x14ac:dyDescent="0.35">
      <c r="A13" t="s">
        <v>111</v>
      </c>
      <c r="B13">
        <v>30</v>
      </c>
      <c r="C13">
        <v>90</v>
      </c>
      <c r="D13">
        <v>1.8161</v>
      </c>
      <c r="E13">
        <v>1.2805</v>
      </c>
      <c r="F13">
        <v>1.1054999999999999</v>
      </c>
      <c r="G13">
        <v>1.0421</v>
      </c>
      <c r="H13">
        <v>0.94830000000000003</v>
      </c>
      <c r="I13">
        <v>0.90210000000000001</v>
      </c>
    </row>
    <row r="14" spans="1:9" x14ac:dyDescent="0.35">
      <c r="A14" t="s">
        <v>112</v>
      </c>
      <c r="B14">
        <v>30</v>
      </c>
      <c r="C14">
        <v>90</v>
      </c>
      <c r="D14">
        <v>1.1857</v>
      </c>
      <c r="E14">
        <v>0.78080000000000005</v>
      </c>
      <c r="F14">
        <v>0.64859999999999995</v>
      </c>
      <c r="G14">
        <v>0.60050000000000003</v>
      </c>
      <c r="H14">
        <v>0.52959999999999996</v>
      </c>
      <c r="I14">
        <v>0.49480000000000002</v>
      </c>
    </row>
    <row r="15" spans="1:9" x14ac:dyDescent="0.35">
      <c r="A15" t="s">
        <v>113</v>
      </c>
      <c r="B15">
        <v>20</v>
      </c>
      <c r="C15">
        <v>75</v>
      </c>
      <c r="D15">
        <v>0.81089999999999995</v>
      </c>
      <c r="E15">
        <v>0.56830000000000003</v>
      </c>
      <c r="F15">
        <v>0.48859999999999998</v>
      </c>
      <c r="G15">
        <v>0.4582</v>
      </c>
      <c r="H15">
        <v>0.4158</v>
      </c>
      <c r="I15">
        <v>0.39510000000000001</v>
      </c>
    </row>
    <row r="16" spans="1:9" x14ac:dyDescent="0.35">
      <c r="A16" t="s">
        <v>114</v>
      </c>
      <c r="B16">
        <v>30</v>
      </c>
      <c r="C16">
        <v>90</v>
      </c>
      <c r="D16">
        <v>1.0711999999999999</v>
      </c>
      <c r="E16">
        <v>0.72209999999999996</v>
      </c>
      <c r="F16">
        <v>0.61639999999999995</v>
      </c>
      <c r="G16">
        <v>0.57430000000000003</v>
      </c>
      <c r="H16">
        <v>0.51449999999999996</v>
      </c>
      <c r="I16">
        <v>0.48520000000000002</v>
      </c>
    </row>
    <row r="17" spans="1:9" x14ac:dyDescent="0.35">
      <c r="A17" t="s">
        <v>115</v>
      </c>
      <c r="B17">
        <v>30</v>
      </c>
      <c r="C17">
        <v>90</v>
      </c>
      <c r="D17">
        <v>2.2538</v>
      </c>
      <c r="E17">
        <v>1.4965999999999999</v>
      </c>
      <c r="F17">
        <v>1.1665000000000001</v>
      </c>
      <c r="G17">
        <v>1.0660000000000001</v>
      </c>
      <c r="H17">
        <v>0.9738</v>
      </c>
      <c r="I17">
        <v>0.96160000000000001</v>
      </c>
    </row>
    <row r="18" spans="1:9" x14ac:dyDescent="0.35">
      <c r="A18" t="s">
        <v>116</v>
      </c>
      <c r="B18">
        <v>30</v>
      </c>
      <c r="C18">
        <v>90</v>
      </c>
      <c r="D18">
        <v>1.0087999999999999</v>
      </c>
      <c r="E18">
        <v>0.63219999999999998</v>
      </c>
      <c r="F18">
        <v>0.50880000000000003</v>
      </c>
      <c r="G18">
        <v>0.4642</v>
      </c>
      <c r="H18">
        <v>0.3982</v>
      </c>
      <c r="I18">
        <v>0.36570000000000003</v>
      </c>
    </row>
    <row r="19" spans="1:9" x14ac:dyDescent="0.35">
      <c r="A19" t="s">
        <v>117</v>
      </c>
      <c r="B19">
        <v>30</v>
      </c>
      <c r="C19">
        <v>90</v>
      </c>
      <c r="D19">
        <v>1.319</v>
      </c>
      <c r="E19">
        <v>0.92679999999999996</v>
      </c>
      <c r="F19">
        <v>0.55769999999999997</v>
      </c>
      <c r="G19">
        <v>0.49690000000000001</v>
      </c>
      <c r="H19">
        <v>0.4405</v>
      </c>
      <c r="I19">
        <v>0.42859999999999998</v>
      </c>
    </row>
    <row r="20" spans="1:9" x14ac:dyDescent="0.35">
      <c r="A20" t="s">
        <v>118</v>
      </c>
      <c r="B20">
        <v>30</v>
      </c>
      <c r="C20">
        <v>90</v>
      </c>
      <c r="D20">
        <v>0.84650000000000003</v>
      </c>
      <c r="E20">
        <v>0.62029999999999996</v>
      </c>
      <c r="F20">
        <v>0.50570000000000004</v>
      </c>
      <c r="G20">
        <v>0.46339999999999998</v>
      </c>
      <c r="H20">
        <v>0.36909999999999998</v>
      </c>
      <c r="I20">
        <v>0.3574</v>
      </c>
    </row>
    <row r="21" spans="1:9" x14ac:dyDescent="0.35">
      <c r="A21" t="s">
        <v>119</v>
      </c>
      <c r="B21">
        <v>30</v>
      </c>
      <c r="C21">
        <v>90</v>
      </c>
      <c r="D21">
        <v>1.6592</v>
      </c>
      <c r="E21">
        <v>1.0150999999999999</v>
      </c>
      <c r="F21">
        <v>0.8044</v>
      </c>
      <c r="G21">
        <v>0.72809999999999997</v>
      </c>
      <c r="H21">
        <v>0.61529999999999996</v>
      </c>
      <c r="I21">
        <v>0.5595</v>
      </c>
    </row>
    <row r="22" spans="1:9" x14ac:dyDescent="0.35">
      <c r="A22" t="s">
        <v>120</v>
      </c>
      <c r="B22">
        <v>30</v>
      </c>
      <c r="C22">
        <v>90</v>
      </c>
      <c r="D22">
        <v>1.4109</v>
      </c>
      <c r="E22">
        <v>1.0654999999999999</v>
      </c>
      <c r="F22">
        <v>0.61950000000000005</v>
      </c>
      <c r="G22">
        <v>0.51170000000000004</v>
      </c>
      <c r="H22">
        <v>0.45579999999999998</v>
      </c>
      <c r="I22">
        <v>0.44390000000000002</v>
      </c>
    </row>
    <row r="23" spans="1:9" x14ac:dyDescent="0.35">
      <c r="A23" t="s">
        <v>121</v>
      </c>
      <c r="B23">
        <v>30</v>
      </c>
      <c r="C23">
        <v>90</v>
      </c>
      <c r="D23">
        <v>1.4577</v>
      </c>
      <c r="E23">
        <v>1.0290999999999999</v>
      </c>
      <c r="F23">
        <v>0.91249999999999998</v>
      </c>
      <c r="G23">
        <v>0.84050000000000002</v>
      </c>
      <c r="H23">
        <v>0.80600000000000005</v>
      </c>
      <c r="I23">
        <v>0.79090000000000005</v>
      </c>
    </row>
    <row r="24" spans="1:9" x14ac:dyDescent="0.35">
      <c r="A24" t="s">
        <v>122</v>
      </c>
      <c r="B24">
        <v>30</v>
      </c>
      <c r="C24">
        <v>90</v>
      </c>
      <c r="D24">
        <v>1.2332000000000001</v>
      </c>
      <c r="E24">
        <v>0.75170000000000003</v>
      </c>
      <c r="F24">
        <v>0.59430000000000005</v>
      </c>
      <c r="G24">
        <v>0.53739999999999999</v>
      </c>
      <c r="H24">
        <v>0.45300000000000001</v>
      </c>
      <c r="I24">
        <v>0.41120000000000001</v>
      </c>
    </row>
    <row r="25" spans="1:9" x14ac:dyDescent="0.35">
      <c r="A25" t="s">
        <v>123</v>
      </c>
      <c r="B25">
        <v>20</v>
      </c>
      <c r="C25">
        <v>75</v>
      </c>
      <c r="D25">
        <v>0.84470000000000001</v>
      </c>
      <c r="E25">
        <v>0.60209999999999997</v>
      </c>
      <c r="F25">
        <v>0.52229999999999999</v>
      </c>
      <c r="G25">
        <v>0.4919</v>
      </c>
      <c r="H25">
        <v>0.4496</v>
      </c>
      <c r="I25">
        <v>0.42880000000000001</v>
      </c>
    </row>
    <row r="26" spans="1:9" x14ac:dyDescent="0.35">
      <c r="A26" t="s">
        <v>124</v>
      </c>
      <c r="B26">
        <v>30</v>
      </c>
      <c r="C26">
        <v>90</v>
      </c>
      <c r="D26">
        <v>1.4951000000000001</v>
      </c>
      <c r="E26">
        <v>1.1415999999999999</v>
      </c>
      <c r="F26">
        <v>0.97819999999999996</v>
      </c>
      <c r="G26">
        <v>0.78569999999999995</v>
      </c>
      <c r="H26">
        <v>0.71950000000000003</v>
      </c>
      <c r="I26">
        <v>0.70679999999999998</v>
      </c>
    </row>
    <row r="27" spans="1:9" x14ac:dyDescent="0.35">
      <c r="A27" t="s">
        <v>125</v>
      </c>
      <c r="B27">
        <v>20</v>
      </c>
      <c r="C27">
        <v>75</v>
      </c>
      <c r="D27">
        <v>1.4080999999999999</v>
      </c>
      <c r="E27">
        <v>0.87060000000000004</v>
      </c>
      <c r="F27">
        <v>0.70130000000000003</v>
      </c>
      <c r="G27">
        <v>0.49769999999999998</v>
      </c>
      <c r="H27">
        <v>0.44290000000000002</v>
      </c>
      <c r="I27">
        <v>0.4158</v>
      </c>
    </row>
    <row r="28" spans="1:9" x14ac:dyDescent="0.35">
      <c r="A28" t="s">
        <v>126</v>
      </c>
      <c r="B28">
        <v>30</v>
      </c>
      <c r="C28">
        <v>90</v>
      </c>
      <c r="D28">
        <v>1.0812999999999999</v>
      </c>
      <c r="E28">
        <v>0.70699999999999996</v>
      </c>
      <c r="F28">
        <v>0.5847</v>
      </c>
      <c r="G28">
        <v>0.54049999999999998</v>
      </c>
      <c r="H28">
        <v>0.4748</v>
      </c>
      <c r="I28">
        <v>0.44259999999999999</v>
      </c>
    </row>
    <row r="29" spans="1:9" x14ac:dyDescent="0.35">
      <c r="A29" t="s">
        <v>127</v>
      </c>
      <c r="B29">
        <v>30</v>
      </c>
      <c r="C29">
        <v>90</v>
      </c>
      <c r="D29">
        <v>2.5234000000000001</v>
      </c>
      <c r="E29">
        <v>1.8525</v>
      </c>
      <c r="F29">
        <v>1.3776999999999999</v>
      </c>
      <c r="G29">
        <v>1.2208000000000001</v>
      </c>
      <c r="H29">
        <v>1.1512</v>
      </c>
      <c r="I29">
        <v>1.1384000000000001</v>
      </c>
    </row>
    <row r="30" spans="1:9" x14ac:dyDescent="0.35">
      <c r="A30" t="s">
        <v>128</v>
      </c>
      <c r="B30">
        <v>30</v>
      </c>
      <c r="C30">
        <v>90</v>
      </c>
      <c r="D30">
        <v>2.2023000000000001</v>
      </c>
      <c r="E30">
        <v>1.8576999999999999</v>
      </c>
      <c r="F30">
        <v>1.7618</v>
      </c>
      <c r="G30">
        <v>1.7057</v>
      </c>
      <c r="H30">
        <v>1.6748000000000001</v>
      </c>
      <c r="I30">
        <v>1.6608000000000001</v>
      </c>
    </row>
    <row r="31" spans="1:9" x14ac:dyDescent="0.35">
      <c r="A31" t="s">
        <v>129</v>
      </c>
      <c r="B31">
        <v>30</v>
      </c>
      <c r="C31">
        <v>90</v>
      </c>
      <c r="D31">
        <v>2.0527000000000002</v>
      </c>
      <c r="E31">
        <v>1.6983999999999999</v>
      </c>
      <c r="F31">
        <v>1.2917000000000001</v>
      </c>
      <c r="G31">
        <v>1.1312</v>
      </c>
      <c r="H31">
        <v>1.1000000000000001</v>
      </c>
      <c r="I31">
        <v>1.0860000000000001</v>
      </c>
    </row>
    <row r="32" spans="1:9" x14ac:dyDescent="0.35">
      <c r="A32" t="s">
        <v>130</v>
      </c>
      <c r="B32">
        <v>30</v>
      </c>
      <c r="C32">
        <v>90</v>
      </c>
      <c r="D32">
        <v>1.8152999999999999</v>
      </c>
      <c r="E32">
        <v>1.6171</v>
      </c>
      <c r="F32">
        <v>1.4748000000000001</v>
      </c>
      <c r="G32">
        <v>1.28</v>
      </c>
      <c r="H32">
        <v>1.0750999999999999</v>
      </c>
      <c r="I32">
        <v>1.0633999999999999</v>
      </c>
    </row>
    <row r="33" spans="1:9" x14ac:dyDescent="0.35">
      <c r="A33" t="s">
        <v>131</v>
      </c>
      <c r="B33">
        <v>15</v>
      </c>
      <c r="C33">
        <v>75</v>
      </c>
      <c r="D33">
        <v>0.60809999999999997</v>
      </c>
      <c r="E33">
        <v>0.42099999999999999</v>
      </c>
      <c r="F33">
        <v>0.35980000000000001</v>
      </c>
      <c r="G33">
        <v>0.33539999999999998</v>
      </c>
      <c r="H33">
        <v>0.30309999999999998</v>
      </c>
      <c r="I33">
        <v>0.28710000000000002</v>
      </c>
    </row>
    <row r="34" spans="1:9" x14ac:dyDescent="0.35">
      <c r="A34" t="s">
        <v>132</v>
      </c>
      <c r="B34">
        <v>30</v>
      </c>
      <c r="C34">
        <v>90</v>
      </c>
      <c r="D34">
        <v>1.7797000000000001</v>
      </c>
      <c r="E34">
        <v>1.1153</v>
      </c>
      <c r="F34">
        <v>0.88080000000000003</v>
      </c>
      <c r="G34">
        <v>0.74080000000000001</v>
      </c>
      <c r="H34">
        <v>0.67479999999999996</v>
      </c>
      <c r="I34">
        <v>0.66259999999999997</v>
      </c>
    </row>
    <row r="35" spans="1:9" x14ac:dyDescent="0.35">
      <c r="A35" t="s">
        <v>133</v>
      </c>
      <c r="B35">
        <v>30</v>
      </c>
      <c r="C35">
        <v>90</v>
      </c>
      <c r="D35">
        <v>3.0426000000000002</v>
      </c>
      <c r="E35">
        <v>2.5007999999999999</v>
      </c>
      <c r="F35">
        <v>2.3631000000000002</v>
      </c>
      <c r="G35">
        <v>2.2898999999999998</v>
      </c>
      <c r="H35">
        <v>2.2400000000000002</v>
      </c>
      <c r="I35">
        <v>2.2277999999999998</v>
      </c>
    </row>
    <row r="36" spans="1:9" x14ac:dyDescent="0.35">
      <c r="A36" t="s">
        <v>134</v>
      </c>
      <c r="B36">
        <v>20</v>
      </c>
      <c r="C36">
        <v>75</v>
      </c>
      <c r="D36">
        <v>1.6473</v>
      </c>
      <c r="E36">
        <v>1.4047000000000001</v>
      </c>
      <c r="F36">
        <v>1.3249</v>
      </c>
      <c r="G36">
        <v>1.2945</v>
      </c>
      <c r="H36">
        <v>1.2522</v>
      </c>
      <c r="I36">
        <v>1.2314000000000001</v>
      </c>
    </row>
    <row r="37" spans="1:9" x14ac:dyDescent="0.35">
      <c r="A37" t="s">
        <v>135</v>
      </c>
      <c r="B37">
        <v>30</v>
      </c>
      <c r="C37">
        <v>90</v>
      </c>
      <c r="D37">
        <v>1.4181999999999999</v>
      </c>
      <c r="E37">
        <v>1.0973999999999999</v>
      </c>
      <c r="F37">
        <v>0.98960000000000004</v>
      </c>
      <c r="G37">
        <v>0.9052</v>
      </c>
      <c r="H37">
        <v>0.97350000000000003</v>
      </c>
      <c r="I37">
        <v>0.96160000000000001</v>
      </c>
    </row>
    <row r="38" spans="1:9" x14ac:dyDescent="0.35">
      <c r="A38" t="s">
        <v>136</v>
      </c>
      <c r="B38">
        <v>30</v>
      </c>
      <c r="C38">
        <v>90</v>
      </c>
      <c r="D38">
        <v>1.0821000000000001</v>
      </c>
      <c r="E38">
        <v>0.64680000000000004</v>
      </c>
      <c r="F38">
        <v>0.50470000000000004</v>
      </c>
      <c r="G38">
        <v>0.45300000000000001</v>
      </c>
      <c r="H38">
        <v>0.37659999999999999</v>
      </c>
      <c r="I38">
        <v>0.3392</v>
      </c>
    </row>
    <row r="39" spans="1:9" x14ac:dyDescent="0.35">
      <c r="A39" t="s">
        <v>137</v>
      </c>
      <c r="B39">
        <v>30</v>
      </c>
      <c r="C39">
        <v>90</v>
      </c>
      <c r="D39">
        <v>1.4577</v>
      </c>
      <c r="E39">
        <v>1.0290999999999999</v>
      </c>
      <c r="F39">
        <v>0.91249999999999998</v>
      </c>
      <c r="G39">
        <v>0.84050000000000002</v>
      </c>
      <c r="H39">
        <v>0.80600000000000005</v>
      </c>
      <c r="I39">
        <v>0.79090000000000005</v>
      </c>
    </row>
    <row r="40" spans="1:9" x14ac:dyDescent="0.35">
      <c r="A40" t="s">
        <v>138</v>
      </c>
      <c r="B40">
        <v>30</v>
      </c>
      <c r="C40">
        <v>90</v>
      </c>
      <c r="D40">
        <v>1.8794999999999999</v>
      </c>
      <c r="E40">
        <v>1.5281</v>
      </c>
      <c r="F40">
        <v>1.413</v>
      </c>
      <c r="G40">
        <v>1.3714</v>
      </c>
      <c r="H40">
        <v>1.3099000000000001</v>
      </c>
      <c r="I40">
        <v>1.2795000000000001</v>
      </c>
    </row>
    <row r="41" spans="1:9" x14ac:dyDescent="0.35">
      <c r="A41" t="s">
        <v>139</v>
      </c>
      <c r="B41">
        <v>30</v>
      </c>
      <c r="C41">
        <v>90</v>
      </c>
      <c r="D41">
        <v>1.2927</v>
      </c>
      <c r="E41">
        <v>1.0262</v>
      </c>
      <c r="F41">
        <v>0.89639999999999997</v>
      </c>
      <c r="G41">
        <v>0.80830000000000002</v>
      </c>
      <c r="H41">
        <v>0.77449999999999997</v>
      </c>
      <c r="I41">
        <v>0.76229999999999998</v>
      </c>
    </row>
    <row r="42" spans="1:9" x14ac:dyDescent="0.35">
      <c r="A42" t="s">
        <v>140</v>
      </c>
      <c r="B42">
        <v>30</v>
      </c>
      <c r="C42">
        <v>90</v>
      </c>
      <c r="D42">
        <v>1.4548000000000001</v>
      </c>
      <c r="E42">
        <v>1.1861999999999999</v>
      </c>
      <c r="F42">
        <v>1.0696000000000001</v>
      </c>
      <c r="G42">
        <v>1.0205</v>
      </c>
      <c r="H42">
        <v>0.97660000000000002</v>
      </c>
      <c r="I42">
        <v>0.96489999999999998</v>
      </c>
    </row>
    <row r="43" spans="1:9" x14ac:dyDescent="0.35">
      <c r="A43" t="s">
        <v>141</v>
      </c>
      <c r="B43">
        <v>20</v>
      </c>
      <c r="C43">
        <v>75</v>
      </c>
      <c r="D43">
        <v>0.79169999999999996</v>
      </c>
      <c r="E43">
        <v>0.49220000000000003</v>
      </c>
      <c r="F43">
        <v>0.39429999999999998</v>
      </c>
      <c r="G43">
        <v>0.35639999999999999</v>
      </c>
      <c r="H43">
        <v>0.3044</v>
      </c>
      <c r="I43">
        <v>0.27900000000000003</v>
      </c>
    </row>
    <row r="44" spans="1:9" x14ac:dyDescent="0.35">
      <c r="A44" t="s">
        <v>142</v>
      </c>
      <c r="B44">
        <v>30</v>
      </c>
      <c r="C44">
        <v>90</v>
      </c>
      <c r="D44">
        <v>2.3247</v>
      </c>
      <c r="E44">
        <v>1.8771</v>
      </c>
      <c r="F44">
        <v>1.6595</v>
      </c>
      <c r="G44">
        <v>1.4509000000000001</v>
      </c>
      <c r="H44">
        <v>1.3104</v>
      </c>
      <c r="I44">
        <v>1.2982</v>
      </c>
    </row>
    <row r="45" spans="1:9" x14ac:dyDescent="0.35">
      <c r="A45" t="s">
        <v>143</v>
      </c>
      <c r="B45">
        <v>30</v>
      </c>
      <c r="C45">
        <v>90</v>
      </c>
      <c r="D45">
        <v>1.6560999999999999</v>
      </c>
      <c r="E45">
        <v>1.3047</v>
      </c>
      <c r="F45">
        <v>1.1896</v>
      </c>
      <c r="G45">
        <v>1.1480999999999999</v>
      </c>
      <c r="H45">
        <v>1.0865</v>
      </c>
      <c r="I45">
        <v>1.0561</v>
      </c>
    </row>
    <row r="46" spans="1:9" x14ac:dyDescent="0.35">
      <c r="A46" t="s">
        <v>144</v>
      </c>
      <c r="B46">
        <v>30</v>
      </c>
      <c r="C46">
        <v>90</v>
      </c>
      <c r="D46">
        <v>2.6145</v>
      </c>
      <c r="E46">
        <v>2.1943000000000001</v>
      </c>
      <c r="F46">
        <v>2.0901000000000001</v>
      </c>
      <c r="G46">
        <v>2.0308999999999999</v>
      </c>
      <c r="H46">
        <v>1.9965999999999999</v>
      </c>
      <c r="I46">
        <v>1.9842</v>
      </c>
    </row>
    <row r="47" spans="1:9" x14ac:dyDescent="0.35">
      <c r="A47" t="s">
        <v>145</v>
      </c>
      <c r="B47">
        <v>30</v>
      </c>
      <c r="C47">
        <v>90</v>
      </c>
      <c r="D47">
        <v>2.7875000000000001</v>
      </c>
      <c r="E47">
        <v>2.1579000000000002</v>
      </c>
      <c r="F47">
        <v>2.0331999999999999</v>
      </c>
      <c r="G47">
        <v>1.5984</v>
      </c>
      <c r="H47">
        <v>1.5660000000000001</v>
      </c>
      <c r="I47">
        <v>1.5504</v>
      </c>
    </row>
    <row r="48" spans="1:9" x14ac:dyDescent="0.35">
      <c r="A48" t="s">
        <v>146</v>
      </c>
      <c r="B48">
        <v>30</v>
      </c>
      <c r="C48">
        <v>90</v>
      </c>
      <c r="D48">
        <v>1.7073</v>
      </c>
      <c r="E48">
        <v>1.2938000000000001</v>
      </c>
      <c r="F48">
        <v>1.1187</v>
      </c>
      <c r="G48">
        <v>1.0761000000000001</v>
      </c>
      <c r="H48">
        <v>1.0543</v>
      </c>
      <c r="I48">
        <v>0.98050000000000004</v>
      </c>
    </row>
    <row r="49" spans="1:9" x14ac:dyDescent="0.35">
      <c r="A49" t="s">
        <v>147</v>
      </c>
      <c r="B49">
        <v>30</v>
      </c>
      <c r="C49">
        <v>90</v>
      </c>
      <c r="D49">
        <v>1.8635999999999999</v>
      </c>
      <c r="E49">
        <v>1.3433999999999999</v>
      </c>
      <c r="F49">
        <v>1.1917</v>
      </c>
      <c r="G49">
        <v>1.1077999999999999</v>
      </c>
      <c r="H49">
        <v>1.0529999999999999</v>
      </c>
      <c r="I49">
        <v>1.0407999999999999</v>
      </c>
    </row>
    <row r="50" spans="1:9" x14ac:dyDescent="0.35">
      <c r="A50" t="s">
        <v>148</v>
      </c>
      <c r="B50">
        <v>30</v>
      </c>
      <c r="C50">
        <v>90</v>
      </c>
      <c r="D50">
        <v>3.4491000000000001</v>
      </c>
      <c r="E50">
        <v>2.6469999999999998</v>
      </c>
      <c r="F50">
        <v>2.2681</v>
      </c>
      <c r="G50">
        <v>1.8179000000000001</v>
      </c>
      <c r="H50">
        <v>1.7805</v>
      </c>
      <c r="I50">
        <v>1.7683</v>
      </c>
    </row>
    <row r="51" spans="1:9" x14ac:dyDescent="0.35">
      <c r="A51" t="s">
        <v>149</v>
      </c>
      <c r="B51">
        <v>30</v>
      </c>
      <c r="C51">
        <v>90</v>
      </c>
      <c r="D51">
        <v>2.0905999999999998</v>
      </c>
      <c r="E51">
        <v>1.0025999999999999</v>
      </c>
      <c r="F51">
        <v>0.69769999999999999</v>
      </c>
      <c r="G51">
        <v>0.63949999999999996</v>
      </c>
      <c r="H51">
        <v>0.59219999999999995</v>
      </c>
      <c r="I51">
        <v>0.58160000000000001</v>
      </c>
    </row>
    <row r="52" spans="1:9" x14ac:dyDescent="0.35">
      <c r="A52" t="s">
        <v>150</v>
      </c>
      <c r="B52">
        <v>30</v>
      </c>
      <c r="C52">
        <v>90</v>
      </c>
      <c r="D52">
        <v>1.6634</v>
      </c>
      <c r="E52">
        <v>1.4649000000000001</v>
      </c>
      <c r="F52">
        <v>1.3226</v>
      </c>
      <c r="G52">
        <v>1.1834</v>
      </c>
      <c r="H52">
        <v>1.02</v>
      </c>
      <c r="I52">
        <v>1.0083</v>
      </c>
    </row>
    <row r="53" spans="1:9" x14ac:dyDescent="0.35">
      <c r="A53" t="s">
        <v>151</v>
      </c>
      <c r="B53">
        <v>30</v>
      </c>
      <c r="C53">
        <v>90</v>
      </c>
      <c r="D53">
        <v>0.84079999999999999</v>
      </c>
      <c r="E53">
        <v>0.5696</v>
      </c>
      <c r="F53">
        <v>0.50960000000000005</v>
      </c>
      <c r="G53">
        <v>0.4662</v>
      </c>
      <c r="H53">
        <v>0.43740000000000001</v>
      </c>
      <c r="I53">
        <v>0.42570000000000002</v>
      </c>
    </row>
    <row r="54" spans="1:9" x14ac:dyDescent="0.35">
      <c r="A54" t="s">
        <v>152</v>
      </c>
      <c r="B54">
        <v>30</v>
      </c>
      <c r="C54">
        <v>90</v>
      </c>
      <c r="D54">
        <v>1.4587000000000001</v>
      </c>
      <c r="E54">
        <v>0.91920000000000002</v>
      </c>
      <c r="F54">
        <v>0.78649999999999998</v>
      </c>
      <c r="G54">
        <v>0.6966</v>
      </c>
      <c r="H54">
        <v>0.64729999999999999</v>
      </c>
      <c r="I54">
        <v>0.6351</v>
      </c>
    </row>
    <row r="55" spans="1:9" x14ac:dyDescent="0.35">
      <c r="A55" t="s">
        <v>153</v>
      </c>
      <c r="B55">
        <v>30</v>
      </c>
      <c r="C55">
        <v>90</v>
      </c>
      <c r="D55">
        <v>2.2761</v>
      </c>
      <c r="E55">
        <v>1.9810000000000001</v>
      </c>
      <c r="F55">
        <v>1.8101</v>
      </c>
      <c r="G55">
        <v>1.7344999999999999</v>
      </c>
      <c r="H55">
        <v>1.6465000000000001</v>
      </c>
      <c r="I55">
        <v>1.6343000000000001</v>
      </c>
    </row>
    <row r="56" spans="1:9" x14ac:dyDescent="0.35">
      <c r="A56" t="s">
        <v>154</v>
      </c>
      <c r="B56">
        <v>30</v>
      </c>
      <c r="C56">
        <v>90</v>
      </c>
      <c r="D56">
        <v>2.0527000000000002</v>
      </c>
      <c r="E56">
        <v>1.6983999999999999</v>
      </c>
      <c r="F56">
        <v>1.2917000000000001</v>
      </c>
      <c r="G56">
        <v>1.1312</v>
      </c>
      <c r="H56">
        <v>1.1000000000000001</v>
      </c>
      <c r="I56">
        <v>1.0860000000000001</v>
      </c>
    </row>
    <row r="57" spans="1:9" x14ac:dyDescent="0.35">
      <c r="A57" t="s">
        <v>155</v>
      </c>
      <c r="B57">
        <v>30</v>
      </c>
      <c r="C57">
        <v>90</v>
      </c>
      <c r="D57">
        <v>2.4622999999999999</v>
      </c>
      <c r="E57">
        <v>1.9751000000000001</v>
      </c>
      <c r="F57">
        <v>1.8621000000000001</v>
      </c>
      <c r="G57">
        <v>1.8104</v>
      </c>
      <c r="H57">
        <v>1.7607999999999999</v>
      </c>
      <c r="I57">
        <v>1.7491000000000001</v>
      </c>
    </row>
    <row r="58" spans="1:9" x14ac:dyDescent="0.35">
      <c r="A58" t="s">
        <v>156</v>
      </c>
      <c r="B58">
        <v>30</v>
      </c>
      <c r="C58">
        <v>90</v>
      </c>
      <c r="D58">
        <v>1.5368999999999999</v>
      </c>
      <c r="E58">
        <v>0.85840000000000005</v>
      </c>
      <c r="F58">
        <v>0.67349999999999999</v>
      </c>
      <c r="G58">
        <v>0.56940000000000002</v>
      </c>
      <c r="H58">
        <v>0.49819999999999998</v>
      </c>
      <c r="I58">
        <v>0.48599999999999999</v>
      </c>
    </row>
    <row r="59" spans="1:9" x14ac:dyDescent="0.35">
      <c r="A59" t="s">
        <v>157</v>
      </c>
      <c r="B59">
        <v>30</v>
      </c>
      <c r="C59">
        <v>90</v>
      </c>
      <c r="D59">
        <v>1.7869999999999999</v>
      </c>
      <c r="E59">
        <v>1.3652</v>
      </c>
      <c r="F59">
        <v>1.0862000000000001</v>
      </c>
      <c r="G59">
        <v>0.91010000000000002</v>
      </c>
      <c r="H59">
        <v>0.76990000000000003</v>
      </c>
      <c r="I59">
        <v>0.75739999999999996</v>
      </c>
    </row>
    <row r="60" spans="1:9" x14ac:dyDescent="0.35">
      <c r="A60" t="s">
        <v>158</v>
      </c>
      <c r="B60">
        <v>30</v>
      </c>
      <c r="C60">
        <v>90</v>
      </c>
      <c r="D60">
        <v>1.22</v>
      </c>
      <c r="E60">
        <v>1.0081</v>
      </c>
      <c r="F60">
        <v>0.92100000000000004</v>
      </c>
      <c r="G60">
        <v>0.87870000000000004</v>
      </c>
      <c r="H60">
        <v>0.71919999999999995</v>
      </c>
      <c r="I60">
        <v>0.70750000000000002</v>
      </c>
    </row>
    <row r="61" spans="1:9" x14ac:dyDescent="0.35">
      <c r="A61" t="s">
        <v>159</v>
      </c>
      <c r="B61">
        <v>30</v>
      </c>
      <c r="C61">
        <v>90</v>
      </c>
      <c r="D61">
        <v>2.2774000000000001</v>
      </c>
      <c r="E61">
        <v>1.7675000000000001</v>
      </c>
      <c r="F61">
        <v>1.181</v>
      </c>
      <c r="G61">
        <v>0.99870000000000003</v>
      </c>
      <c r="H61">
        <v>0.92749999999999999</v>
      </c>
      <c r="I61">
        <v>0.9153</v>
      </c>
    </row>
    <row r="62" spans="1:9" x14ac:dyDescent="0.35">
      <c r="A62" t="s">
        <v>160</v>
      </c>
      <c r="B62">
        <v>30</v>
      </c>
      <c r="C62">
        <v>90</v>
      </c>
      <c r="D62">
        <v>0.95479999999999998</v>
      </c>
      <c r="E62">
        <v>0.60340000000000005</v>
      </c>
      <c r="F62">
        <v>0.48830000000000001</v>
      </c>
      <c r="G62">
        <v>0.44679999999999997</v>
      </c>
      <c r="H62">
        <v>0.38519999999999999</v>
      </c>
      <c r="I62">
        <v>0.3548</v>
      </c>
    </row>
    <row r="63" spans="1:9" x14ac:dyDescent="0.35">
      <c r="A63" t="s">
        <v>161</v>
      </c>
      <c r="B63">
        <v>30</v>
      </c>
      <c r="C63">
        <v>90</v>
      </c>
      <c r="D63">
        <v>2.8797000000000001</v>
      </c>
      <c r="E63">
        <v>1.6868000000000001</v>
      </c>
      <c r="F63">
        <v>1.5147999999999999</v>
      </c>
      <c r="G63">
        <v>1.4379</v>
      </c>
      <c r="H63">
        <v>1.4020999999999999</v>
      </c>
      <c r="I63">
        <v>1.3868</v>
      </c>
    </row>
    <row r="64" spans="1:9" x14ac:dyDescent="0.35">
      <c r="A64" t="s">
        <v>162</v>
      </c>
      <c r="B64">
        <v>30</v>
      </c>
      <c r="C64">
        <v>90</v>
      </c>
      <c r="D64">
        <v>1.5322</v>
      </c>
      <c r="E64">
        <v>0.76880000000000004</v>
      </c>
      <c r="F64">
        <v>0.66210000000000002</v>
      </c>
      <c r="G64">
        <v>0.56779999999999997</v>
      </c>
      <c r="H64">
        <v>0.501</v>
      </c>
      <c r="I64">
        <v>0.48880000000000001</v>
      </c>
    </row>
    <row r="65" spans="1:9" x14ac:dyDescent="0.35">
      <c r="A65" t="s">
        <v>163</v>
      </c>
      <c r="B65">
        <v>30</v>
      </c>
      <c r="C65">
        <v>90</v>
      </c>
      <c r="D65">
        <v>1.0122</v>
      </c>
      <c r="E65">
        <v>0.77270000000000005</v>
      </c>
      <c r="F65">
        <v>0.67900000000000005</v>
      </c>
      <c r="G65">
        <v>0.6018</v>
      </c>
      <c r="H65">
        <v>0.41060000000000002</v>
      </c>
      <c r="I65">
        <v>0.39900000000000002</v>
      </c>
    </row>
    <row r="66" spans="1:9" x14ac:dyDescent="0.35">
      <c r="A66" t="s">
        <v>164</v>
      </c>
      <c r="B66">
        <v>30</v>
      </c>
      <c r="C66">
        <v>90</v>
      </c>
      <c r="D66">
        <v>2.4622999999999999</v>
      </c>
      <c r="E66">
        <v>1.9751000000000001</v>
      </c>
      <c r="F66">
        <v>1.8621000000000001</v>
      </c>
      <c r="G66">
        <v>1.8104</v>
      </c>
      <c r="H66">
        <v>1.7607999999999999</v>
      </c>
      <c r="I66">
        <v>1.7491000000000001</v>
      </c>
    </row>
    <row r="67" spans="1:9" x14ac:dyDescent="0.35">
      <c r="A67" t="s">
        <v>165</v>
      </c>
      <c r="B67">
        <v>30</v>
      </c>
      <c r="C67">
        <v>90</v>
      </c>
      <c r="D67">
        <v>1.0168999999999999</v>
      </c>
      <c r="E67">
        <v>0.6119</v>
      </c>
      <c r="F67">
        <v>0.47970000000000002</v>
      </c>
      <c r="G67">
        <v>0.43169999999999997</v>
      </c>
      <c r="H67">
        <v>0.36080000000000001</v>
      </c>
      <c r="I67">
        <v>0.32600000000000001</v>
      </c>
    </row>
    <row r="68" spans="1:9" x14ac:dyDescent="0.35">
      <c r="A68" t="s">
        <v>166</v>
      </c>
      <c r="B68">
        <v>30</v>
      </c>
      <c r="C68">
        <v>90</v>
      </c>
      <c r="D68">
        <v>1.2347999999999999</v>
      </c>
      <c r="E68">
        <v>0.85819999999999996</v>
      </c>
      <c r="F68">
        <v>0.73480000000000001</v>
      </c>
      <c r="G68">
        <v>0.69010000000000005</v>
      </c>
      <c r="H68">
        <v>0.62419999999999998</v>
      </c>
      <c r="I68">
        <v>0.5917</v>
      </c>
    </row>
    <row r="69" spans="1:9" x14ac:dyDescent="0.35">
      <c r="A69" t="s">
        <v>167</v>
      </c>
      <c r="B69">
        <v>30</v>
      </c>
      <c r="C69">
        <v>90</v>
      </c>
      <c r="D69">
        <v>1.587</v>
      </c>
      <c r="E69">
        <v>1.4625999999999999</v>
      </c>
      <c r="F69">
        <v>1.4218</v>
      </c>
      <c r="G69">
        <v>1.407</v>
      </c>
      <c r="H69">
        <v>1.3852</v>
      </c>
      <c r="I69">
        <v>1.3745000000000001</v>
      </c>
    </row>
    <row r="70" spans="1:9" x14ac:dyDescent="0.35">
      <c r="A70" t="s">
        <v>168</v>
      </c>
      <c r="B70">
        <v>30</v>
      </c>
      <c r="C70">
        <v>90</v>
      </c>
      <c r="D70">
        <v>2.3986999999999998</v>
      </c>
      <c r="E70">
        <v>1.7522</v>
      </c>
      <c r="F70">
        <v>1.5758000000000001</v>
      </c>
      <c r="G70">
        <v>1.5278</v>
      </c>
      <c r="H70">
        <v>1.4682999999999999</v>
      </c>
      <c r="I70">
        <v>1.4577</v>
      </c>
    </row>
    <row r="71" spans="1:9" x14ac:dyDescent="0.35">
      <c r="A71" t="s">
        <v>169</v>
      </c>
      <c r="B71">
        <v>30</v>
      </c>
      <c r="C71">
        <v>90</v>
      </c>
      <c r="D71">
        <v>1.5087999999999999</v>
      </c>
      <c r="E71">
        <v>1.3698999999999999</v>
      </c>
      <c r="F71">
        <v>1.1060000000000001</v>
      </c>
      <c r="G71">
        <v>0.90600000000000003</v>
      </c>
      <c r="H71">
        <v>0.79610000000000003</v>
      </c>
      <c r="I71">
        <v>0.78549999999999998</v>
      </c>
    </row>
    <row r="72" spans="1:9" x14ac:dyDescent="0.35">
      <c r="A72" t="s">
        <v>170</v>
      </c>
      <c r="B72">
        <v>30</v>
      </c>
      <c r="C72">
        <v>90</v>
      </c>
      <c r="D72">
        <v>1.4577</v>
      </c>
      <c r="E72">
        <v>1.0290999999999999</v>
      </c>
      <c r="F72">
        <v>0.91249999999999998</v>
      </c>
      <c r="G72">
        <v>0.84050000000000002</v>
      </c>
      <c r="H72">
        <v>0.80600000000000005</v>
      </c>
      <c r="I72">
        <v>0.79090000000000005</v>
      </c>
    </row>
    <row r="73" spans="1:9" x14ac:dyDescent="0.35">
      <c r="A73" t="s">
        <v>171</v>
      </c>
      <c r="B73">
        <v>30</v>
      </c>
      <c r="C73">
        <v>90</v>
      </c>
      <c r="D73">
        <v>3.0426000000000002</v>
      </c>
      <c r="E73">
        <v>2.5007999999999999</v>
      </c>
      <c r="F73">
        <v>2.3631000000000002</v>
      </c>
      <c r="G73">
        <v>2.2898999999999998</v>
      </c>
      <c r="H73">
        <v>2.2400000000000002</v>
      </c>
      <c r="I73">
        <v>2.2277999999999998</v>
      </c>
    </row>
    <row r="74" spans="1:9" x14ac:dyDescent="0.35">
      <c r="A74" t="s">
        <v>172</v>
      </c>
      <c r="B74">
        <v>30</v>
      </c>
      <c r="C74">
        <v>90</v>
      </c>
      <c r="D74">
        <v>1.4577</v>
      </c>
      <c r="E74">
        <v>1.0290999999999999</v>
      </c>
      <c r="F74">
        <v>0.91249999999999998</v>
      </c>
      <c r="G74">
        <v>0.84050000000000002</v>
      </c>
      <c r="H74">
        <v>0.80600000000000005</v>
      </c>
      <c r="I74">
        <v>0.79090000000000005</v>
      </c>
    </row>
    <row r="75" spans="1:9" x14ac:dyDescent="0.35">
      <c r="A75" t="s">
        <v>173</v>
      </c>
      <c r="B75">
        <v>30</v>
      </c>
      <c r="C75">
        <v>90</v>
      </c>
      <c r="D75">
        <v>1.4577</v>
      </c>
      <c r="E75">
        <v>1.0290999999999999</v>
      </c>
      <c r="F75">
        <v>0.91249999999999998</v>
      </c>
      <c r="G75">
        <v>0.84050000000000002</v>
      </c>
      <c r="H75">
        <v>0.80600000000000005</v>
      </c>
      <c r="I75">
        <v>0.79090000000000005</v>
      </c>
    </row>
    <row r="76" spans="1:9" x14ac:dyDescent="0.35">
      <c r="A76" t="s">
        <v>174</v>
      </c>
      <c r="B76">
        <v>30</v>
      </c>
      <c r="C76">
        <v>90</v>
      </c>
      <c r="D76">
        <v>1.0501</v>
      </c>
      <c r="E76">
        <v>0.71789999999999998</v>
      </c>
      <c r="F76">
        <v>0.63380000000000003</v>
      </c>
      <c r="G76">
        <v>0.56440000000000001</v>
      </c>
      <c r="H76">
        <v>0.50080000000000002</v>
      </c>
      <c r="I76">
        <v>0.48909999999999998</v>
      </c>
    </row>
    <row r="77" spans="1:9" x14ac:dyDescent="0.35">
      <c r="A77" t="s">
        <v>175</v>
      </c>
      <c r="B77">
        <v>30</v>
      </c>
      <c r="C77">
        <v>90</v>
      </c>
      <c r="D77">
        <v>1.1256999999999999</v>
      </c>
      <c r="E77">
        <v>0.74909999999999999</v>
      </c>
      <c r="F77">
        <v>0.62570000000000003</v>
      </c>
      <c r="G77">
        <v>0.58099999999999996</v>
      </c>
      <c r="H77">
        <v>0.5151</v>
      </c>
      <c r="I77">
        <v>0.48259999999999997</v>
      </c>
    </row>
    <row r="78" spans="1:9" x14ac:dyDescent="0.35">
      <c r="A78" t="s">
        <v>176</v>
      </c>
      <c r="B78">
        <v>20</v>
      </c>
      <c r="C78">
        <v>75</v>
      </c>
      <c r="D78">
        <v>0.80049999999999999</v>
      </c>
      <c r="E78">
        <v>0.55789999999999995</v>
      </c>
      <c r="F78">
        <v>0.47820000000000001</v>
      </c>
      <c r="G78">
        <v>0.44779999999999998</v>
      </c>
      <c r="H78">
        <v>0.40550000000000003</v>
      </c>
      <c r="I78">
        <v>0.38469999999999999</v>
      </c>
    </row>
    <row r="79" spans="1:9" x14ac:dyDescent="0.35">
      <c r="A79" t="s">
        <v>177</v>
      </c>
      <c r="B79">
        <v>30</v>
      </c>
      <c r="C79">
        <v>90</v>
      </c>
      <c r="D79">
        <v>1.8794999999999999</v>
      </c>
      <c r="E79">
        <v>1.5281</v>
      </c>
      <c r="F79">
        <v>1.413</v>
      </c>
      <c r="G79">
        <v>1.3714</v>
      </c>
      <c r="H79">
        <v>1.3099000000000001</v>
      </c>
      <c r="I79">
        <v>1.2795000000000001</v>
      </c>
    </row>
    <row r="80" spans="1:9" x14ac:dyDescent="0.35">
      <c r="A80" t="s">
        <v>178</v>
      </c>
      <c r="B80">
        <v>30</v>
      </c>
      <c r="C80">
        <v>90</v>
      </c>
      <c r="D80">
        <v>3.1709000000000001</v>
      </c>
      <c r="E80">
        <v>2.6482999999999999</v>
      </c>
      <c r="F80">
        <v>2.3317000000000001</v>
      </c>
      <c r="G80">
        <v>1.9016</v>
      </c>
      <c r="H80">
        <v>1.7332000000000001</v>
      </c>
      <c r="I80">
        <v>1.7210000000000001</v>
      </c>
    </row>
    <row r="81" spans="1:9" x14ac:dyDescent="0.35">
      <c r="A81" t="s">
        <v>179</v>
      </c>
      <c r="B81">
        <v>30</v>
      </c>
      <c r="C81">
        <v>90</v>
      </c>
      <c r="D81">
        <v>1.1309</v>
      </c>
      <c r="E81">
        <v>0.75429999999999997</v>
      </c>
      <c r="F81">
        <v>0.63090000000000002</v>
      </c>
      <c r="G81">
        <v>0.58620000000000005</v>
      </c>
      <c r="H81">
        <v>0.52029999999999998</v>
      </c>
      <c r="I81">
        <v>0.48780000000000001</v>
      </c>
    </row>
    <row r="82" spans="1:9" x14ac:dyDescent="0.35">
      <c r="A82" t="s">
        <v>180</v>
      </c>
      <c r="B82">
        <v>30</v>
      </c>
      <c r="C82">
        <v>90</v>
      </c>
      <c r="D82">
        <v>2.3725000000000001</v>
      </c>
      <c r="E82">
        <v>1.8460000000000001</v>
      </c>
      <c r="F82">
        <v>1.4924999999999999</v>
      </c>
      <c r="G82">
        <v>1.3725000000000001</v>
      </c>
      <c r="H82">
        <v>1.3104</v>
      </c>
      <c r="I82">
        <v>1.2982</v>
      </c>
    </row>
    <row r="83" spans="1:9" x14ac:dyDescent="0.35">
      <c r="A83" t="s">
        <v>181</v>
      </c>
      <c r="B83">
        <v>30</v>
      </c>
      <c r="C83">
        <v>90</v>
      </c>
      <c r="D83">
        <v>2.8431000000000002</v>
      </c>
      <c r="E83">
        <v>2.1417999999999999</v>
      </c>
      <c r="F83">
        <v>1.7487999999999999</v>
      </c>
      <c r="G83">
        <v>1.7094</v>
      </c>
      <c r="H83">
        <v>1.6829000000000001</v>
      </c>
      <c r="I83">
        <v>1.6706000000000001</v>
      </c>
    </row>
    <row r="84" spans="1:9" x14ac:dyDescent="0.35">
      <c r="A84" t="s">
        <v>182</v>
      </c>
      <c r="B84">
        <v>30</v>
      </c>
      <c r="C84">
        <v>90</v>
      </c>
      <c r="D84">
        <v>4.2454999999999998</v>
      </c>
      <c r="E84">
        <v>2.4883000000000002</v>
      </c>
      <c r="F84">
        <v>2.3732000000000002</v>
      </c>
      <c r="G84">
        <v>2.3029000000000002</v>
      </c>
      <c r="H84">
        <v>2.2686000000000002</v>
      </c>
      <c r="I84">
        <v>2.2538</v>
      </c>
    </row>
    <row r="85" spans="1:9" x14ac:dyDescent="0.35">
      <c r="A85" t="s">
        <v>183</v>
      </c>
      <c r="B85">
        <v>30</v>
      </c>
      <c r="C85">
        <v>90</v>
      </c>
      <c r="D85">
        <v>1.0812999999999999</v>
      </c>
      <c r="E85">
        <v>0.70699999999999996</v>
      </c>
      <c r="F85">
        <v>0.5847</v>
      </c>
      <c r="G85">
        <v>0.54049999999999998</v>
      </c>
      <c r="H85">
        <v>0.4748</v>
      </c>
      <c r="I85">
        <v>0.44259999999999999</v>
      </c>
    </row>
    <row r="86" spans="1:9" x14ac:dyDescent="0.35">
      <c r="A86" t="s">
        <v>184</v>
      </c>
      <c r="B86">
        <v>30</v>
      </c>
      <c r="C86">
        <v>90</v>
      </c>
      <c r="D86">
        <v>0.97219999999999995</v>
      </c>
      <c r="E86">
        <v>0.59789999999999999</v>
      </c>
      <c r="F86">
        <v>0.47560000000000002</v>
      </c>
      <c r="G86">
        <v>0.43140000000000001</v>
      </c>
      <c r="H86">
        <v>0.36570000000000003</v>
      </c>
      <c r="I86">
        <v>0.33350000000000002</v>
      </c>
    </row>
    <row r="87" spans="1:9" x14ac:dyDescent="0.35">
      <c r="A87" t="s">
        <v>185</v>
      </c>
      <c r="B87">
        <v>30</v>
      </c>
      <c r="C87">
        <v>90</v>
      </c>
      <c r="D87">
        <v>1.1813</v>
      </c>
      <c r="E87">
        <v>0.92420000000000002</v>
      </c>
      <c r="F87">
        <v>0.67949999999999999</v>
      </c>
      <c r="G87">
        <v>0.61250000000000004</v>
      </c>
      <c r="H87">
        <v>0.56910000000000005</v>
      </c>
      <c r="I87">
        <v>0.55659999999999998</v>
      </c>
    </row>
    <row r="88" spans="1:9" x14ac:dyDescent="0.35">
      <c r="A88" t="s">
        <v>186</v>
      </c>
      <c r="B88">
        <v>30</v>
      </c>
      <c r="C88">
        <v>90</v>
      </c>
      <c r="D88">
        <v>1.0587</v>
      </c>
      <c r="E88">
        <v>0.70730000000000004</v>
      </c>
      <c r="F88">
        <v>0.59219999999999995</v>
      </c>
      <c r="G88">
        <v>0.55059999999999998</v>
      </c>
      <c r="H88">
        <v>0.48909999999999998</v>
      </c>
      <c r="I88">
        <v>0.4587</v>
      </c>
    </row>
    <row r="89" spans="1:9" x14ac:dyDescent="0.35">
      <c r="A89" t="s">
        <v>187</v>
      </c>
      <c r="B89">
        <v>30</v>
      </c>
      <c r="C89">
        <v>90</v>
      </c>
      <c r="D89">
        <v>1.8635999999999999</v>
      </c>
      <c r="E89">
        <v>1.3433999999999999</v>
      </c>
      <c r="F89">
        <v>1.1917</v>
      </c>
      <c r="G89">
        <v>1.1077999999999999</v>
      </c>
      <c r="H89">
        <v>1.0529999999999999</v>
      </c>
      <c r="I89">
        <v>1.0407999999999999</v>
      </c>
    </row>
    <row r="90" spans="1:9" x14ac:dyDescent="0.35">
      <c r="A90" t="s">
        <v>188</v>
      </c>
      <c r="B90">
        <v>20</v>
      </c>
      <c r="C90">
        <v>75</v>
      </c>
      <c r="D90">
        <v>0.90490000000000004</v>
      </c>
      <c r="E90">
        <v>0.64029999999999998</v>
      </c>
      <c r="F90">
        <v>0.55320000000000003</v>
      </c>
      <c r="G90">
        <v>0.52</v>
      </c>
      <c r="H90">
        <v>0.47399999999999998</v>
      </c>
      <c r="I90">
        <v>0.45140000000000002</v>
      </c>
    </row>
    <row r="91" spans="1:9" x14ac:dyDescent="0.35">
      <c r="A91" t="s">
        <v>189</v>
      </c>
      <c r="B91">
        <v>30</v>
      </c>
      <c r="C91">
        <v>90</v>
      </c>
      <c r="D91">
        <v>2.2955999999999999</v>
      </c>
      <c r="E91">
        <v>1.8242</v>
      </c>
      <c r="F91">
        <v>1.6</v>
      </c>
      <c r="G91">
        <v>1.5221</v>
      </c>
      <c r="H91">
        <v>1.4956</v>
      </c>
      <c r="I91">
        <v>1.4834000000000001</v>
      </c>
    </row>
    <row r="92" spans="1:9" x14ac:dyDescent="0.35">
      <c r="A92" t="s">
        <v>190</v>
      </c>
      <c r="B92">
        <v>30</v>
      </c>
      <c r="C92">
        <v>90</v>
      </c>
      <c r="D92">
        <v>1.6927000000000001</v>
      </c>
      <c r="E92">
        <v>1.2514000000000001</v>
      </c>
      <c r="F92">
        <v>1.0587</v>
      </c>
      <c r="G92">
        <v>1.0096000000000001</v>
      </c>
      <c r="H92">
        <v>0.9839</v>
      </c>
      <c r="I92">
        <v>0.97189999999999999</v>
      </c>
    </row>
    <row r="93" spans="1:9" x14ac:dyDescent="0.35">
      <c r="A93" t="s">
        <v>191</v>
      </c>
      <c r="B93">
        <v>30</v>
      </c>
      <c r="C93">
        <v>90</v>
      </c>
      <c r="D93">
        <v>1.633</v>
      </c>
      <c r="E93">
        <v>1.2442</v>
      </c>
      <c r="F93">
        <v>1.1203000000000001</v>
      </c>
      <c r="G93">
        <v>0.97770000000000001</v>
      </c>
      <c r="H93">
        <v>0.93010000000000004</v>
      </c>
      <c r="I93">
        <v>0.91710000000000003</v>
      </c>
    </row>
    <row r="94" spans="1:9" x14ac:dyDescent="0.35">
      <c r="A94" t="s">
        <v>192</v>
      </c>
      <c r="B94">
        <v>30</v>
      </c>
      <c r="C94">
        <v>90</v>
      </c>
      <c r="D94">
        <v>1.4774</v>
      </c>
      <c r="E94">
        <v>1.1449</v>
      </c>
      <c r="F94">
        <v>0.99170000000000003</v>
      </c>
      <c r="G94">
        <v>0.87270000000000003</v>
      </c>
      <c r="H94">
        <v>0.80549999999999999</v>
      </c>
      <c r="I94">
        <v>0.79300000000000004</v>
      </c>
    </row>
    <row r="95" spans="1:9" x14ac:dyDescent="0.35">
      <c r="A95" t="s">
        <v>193</v>
      </c>
      <c r="B95">
        <v>30</v>
      </c>
      <c r="C95">
        <v>90</v>
      </c>
      <c r="D95">
        <v>2.5594999999999999</v>
      </c>
      <c r="E95">
        <v>1.7862</v>
      </c>
      <c r="F95">
        <v>1.3093999999999999</v>
      </c>
      <c r="G95">
        <v>0.86939999999999995</v>
      </c>
      <c r="H95">
        <v>0.83789999999999998</v>
      </c>
      <c r="I95">
        <v>0.82569999999999999</v>
      </c>
    </row>
    <row r="96" spans="1:9" x14ac:dyDescent="0.35">
      <c r="A96" t="s">
        <v>194</v>
      </c>
      <c r="B96">
        <v>30</v>
      </c>
      <c r="C96">
        <v>90</v>
      </c>
      <c r="D96">
        <v>0.92049999999999998</v>
      </c>
      <c r="E96">
        <v>0.54390000000000005</v>
      </c>
      <c r="F96">
        <v>0.42049999999999998</v>
      </c>
      <c r="G96">
        <v>0.37580000000000002</v>
      </c>
      <c r="H96">
        <v>0.30990000000000001</v>
      </c>
      <c r="I96">
        <v>0.27739999999999998</v>
      </c>
    </row>
    <row r="97" spans="1:9" x14ac:dyDescent="0.35">
      <c r="A97" t="s">
        <v>195</v>
      </c>
      <c r="B97">
        <v>30</v>
      </c>
      <c r="C97">
        <v>90</v>
      </c>
      <c r="D97">
        <v>0.95689999999999997</v>
      </c>
      <c r="E97">
        <v>0.58030000000000004</v>
      </c>
      <c r="F97">
        <v>0.45689999999999997</v>
      </c>
      <c r="G97">
        <v>0.41220000000000001</v>
      </c>
      <c r="H97">
        <v>0.34620000000000001</v>
      </c>
      <c r="I97">
        <v>0.31380000000000002</v>
      </c>
    </row>
    <row r="98" spans="1:9" x14ac:dyDescent="0.35">
      <c r="A98" t="s">
        <v>196</v>
      </c>
      <c r="B98">
        <v>30</v>
      </c>
      <c r="C98">
        <v>90</v>
      </c>
      <c r="D98">
        <v>0.99919999999999998</v>
      </c>
      <c r="E98">
        <v>0.65529999999999999</v>
      </c>
      <c r="F98">
        <v>0.57869999999999999</v>
      </c>
      <c r="G98">
        <v>0.51739999999999997</v>
      </c>
      <c r="H98">
        <v>0.48159999999999997</v>
      </c>
      <c r="I98">
        <v>0.46989999999999998</v>
      </c>
    </row>
    <row r="99" spans="1:9" x14ac:dyDescent="0.35">
      <c r="A99" t="s">
        <v>197</v>
      </c>
      <c r="B99">
        <v>30</v>
      </c>
      <c r="C99">
        <v>90</v>
      </c>
      <c r="D99">
        <v>1.3725000000000001</v>
      </c>
      <c r="E99">
        <v>1.1187</v>
      </c>
      <c r="F99">
        <v>1.0042</v>
      </c>
      <c r="G99">
        <v>0.83709999999999996</v>
      </c>
      <c r="H99">
        <v>0.5353</v>
      </c>
      <c r="I99">
        <v>0.52359999999999995</v>
      </c>
    </row>
    <row r="100" spans="1:9" x14ac:dyDescent="0.35">
      <c r="A100" t="s">
        <v>198</v>
      </c>
      <c r="B100">
        <v>30</v>
      </c>
      <c r="C100">
        <v>90</v>
      </c>
      <c r="D100">
        <v>1.5416000000000001</v>
      </c>
      <c r="E100">
        <v>0.91559999999999997</v>
      </c>
      <c r="F100">
        <v>0.71140000000000003</v>
      </c>
      <c r="G100">
        <v>0.6371</v>
      </c>
      <c r="H100">
        <v>0.52749999999999997</v>
      </c>
      <c r="I100">
        <v>0.47349999999999998</v>
      </c>
    </row>
    <row r="101" spans="1:9" x14ac:dyDescent="0.35">
      <c r="A101" t="s">
        <v>199</v>
      </c>
      <c r="B101">
        <v>30</v>
      </c>
      <c r="C101">
        <v>90</v>
      </c>
      <c r="D101">
        <v>1.4360999999999999</v>
      </c>
      <c r="E101">
        <v>0.97319999999999995</v>
      </c>
      <c r="F101">
        <v>0.76549999999999996</v>
      </c>
      <c r="G101">
        <v>0.62809999999999999</v>
      </c>
      <c r="H101">
        <v>0.52880000000000005</v>
      </c>
      <c r="I101">
        <v>0.51639999999999997</v>
      </c>
    </row>
    <row r="102" spans="1:9" x14ac:dyDescent="0.35">
      <c r="A102" t="s">
        <v>200</v>
      </c>
      <c r="B102">
        <v>30</v>
      </c>
      <c r="C102">
        <v>90</v>
      </c>
      <c r="D102">
        <v>1.381</v>
      </c>
      <c r="E102">
        <v>1.099</v>
      </c>
      <c r="F102">
        <v>0.86260000000000003</v>
      </c>
      <c r="G102">
        <v>0.79120000000000001</v>
      </c>
      <c r="H102">
        <v>0.72729999999999995</v>
      </c>
      <c r="I102">
        <v>0.71509999999999996</v>
      </c>
    </row>
    <row r="103" spans="1:9" x14ac:dyDescent="0.35">
      <c r="A103" t="s">
        <v>201</v>
      </c>
      <c r="B103">
        <v>30</v>
      </c>
      <c r="C103">
        <v>90</v>
      </c>
      <c r="D103">
        <v>2.9609999999999999</v>
      </c>
      <c r="E103">
        <v>2.6634000000000002</v>
      </c>
      <c r="F103">
        <v>2.5792000000000002</v>
      </c>
      <c r="G103">
        <v>2.5318999999999998</v>
      </c>
      <c r="H103">
        <v>2.5028999999999999</v>
      </c>
      <c r="I103">
        <v>2.4895999999999998</v>
      </c>
    </row>
    <row r="104" spans="1:9" x14ac:dyDescent="0.35">
      <c r="A104" t="s">
        <v>202</v>
      </c>
      <c r="B104">
        <v>30</v>
      </c>
      <c r="C104">
        <v>90</v>
      </c>
      <c r="D104">
        <v>1.5228999999999999</v>
      </c>
      <c r="E104">
        <v>1.2821</v>
      </c>
      <c r="F104">
        <v>0.96079999999999999</v>
      </c>
      <c r="G104">
        <v>0.75739999999999996</v>
      </c>
      <c r="H104">
        <v>0.73119999999999996</v>
      </c>
      <c r="I104">
        <v>0.71899999999999997</v>
      </c>
    </row>
    <row r="105" spans="1:9" x14ac:dyDescent="0.35">
      <c r="A105" t="s">
        <v>203</v>
      </c>
      <c r="B105">
        <v>30</v>
      </c>
      <c r="C105">
        <v>90</v>
      </c>
      <c r="D105">
        <v>2.2761</v>
      </c>
      <c r="E105">
        <v>1.9810000000000001</v>
      </c>
      <c r="F105">
        <v>1.8101</v>
      </c>
      <c r="G105">
        <v>1.7344999999999999</v>
      </c>
      <c r="H105">
        <v>1.6465000000000001</v>
      </c>
      <c r="I105">
        <v>1.6343000000000001</v>
      </c>
    </row>
    <row r="106" spans="1:9" x14ac:dyDescent="0.35">
      <c r="A106" t="s">
        <v>204</v>
      </c>
      <c r="B106">
        <v>30</v>
      </c>
      <c r="C106">
        <v>90</v>
      </c>
      <c r="D106">
        <v>2.2774000000000001</v>
      </c>
      <c r="E106">
        <v>1.7675000000000001</v>
      </c>
      <c r="F106">
        <v>1.181</v>
      </c>
      <c r="G106">
        <v>0.99870000000000003</v>
      </c>
      <c r="H106">
        <v>0.92749999999999999</v>
      </c>
      <c r="I106">
        <v>0.9153</v>
      </c>
    </row>
    <row r="107" spans="1:9" x14ac:dyDescent="0.35">
      <c r="A107" t="s">
        <v>205</v>
      </c>
      <c r="B107">
        <v>30</v>
      </c>
      <c r="C107">
        <v>90</v>
      </c>
      <c r="D107">
        <v>1.1694</v>
      </c>
      <c r="E107">
        <v>0.70289999999999997</v>
      </c>
      <c r="F107">
        <v>0.55059999999999998</v>
      </c>
      <c r="G107">
        <v>0.49530000000000002</v>
      </c>
      <c r="H107">
        <v>0.4138</v>
      </c>
      <c r="I107">
        <v>0.37319999999999998</v>
      </c>
    </row>
    <row r="108" spans="1:9" x14ac:dyDescent="0.35">
      <c r="A108" t="s">
        <v>206</v>
      </c>
      <c r="B108">
        <v>30</v>
      </c>
      <c r="C108">
        <v>90</v>
      </c>
      <c r="D108">
        <v>1.1644000000000001</v>
      </c>
      <c r="E108">
        <v>0.93710000000000004</v>
      </c>
      <c r="F108">
        <v>0.87380000000000002</v>
      </c>
      <c r="G108">
        <v>0.84909999999999997</v>
      </c>
      <c r="H108">
        <v>0.81820000000000004</v>
      </c>
      <c r="I108">
        <v>0.8075</v>
      </c>
    </row>
    <row r="109" spans="1:9" x14ac:dyDescent="0.35">
      <c r="A109" t="s">
        <v>207</v>
      </c>
      <c r="B109">
        <v>30</v>
      </c>
      <c r="C109">
        <v>90</v>
      </c>
      <c r="D109">
        <v>1.4577</v>
      </c>
      <c r="E109">
        <v>1.0290999999999999</v>
      </c>
      <c r="F109">
        <v>0.91249999999999998</v>
      </c>
      <c r="G109">
        <v>0.84050000000000002</v>
      </c>
      <c r="H109">
        <v>0.80600000000000005</v>
      </c>
      <c r="I109">
        <v>0.79090000000000005</v>
      </c>
    </row>
    <row r="110" spans="1:9" x14ac:dyDescent="0.35">
      <c r="A110" t="s">
        <v>208</v>
      </c>
      <c r="B110">
        <v>30</v>
      </c>
      <c r="C110">
        <v>90</v>
      </c>
      <c r="D110">
        <v>1.3817999999999999</v>
      </c>
      <c r="E110">
        <v>1.1475</v>
      </c>
      <c r="F110">
        <v>0.88390000000000002</v>
      </c>
      <c r="G110">
        <v>0.75739999999999996</v>
      </c>
      <c r="H110">
        <v>0.73119999999999996</v>
      </c>
      <c r="I110">
        <v>0.71899999999999997</v>
      </c>
    </row>
    <row r="111" spans="1:9" x14ac:dyDescent="0.35">
      <c r="A111" t="s">
        <v>209</v>
      </c>
      <c r="B111">
        <v>30</v>
      </c>
      <c r="C111">
        <v>90</v>
      </c>
      <c r="D111">
        <v>1.3545</v>
      </c>
      <c r="E111">
        <v>1.0129999999999999</v>
      </c>
      <c r="F111">
        <v>0.90129999999999999</v>
      </c>
      <c r="G111">
        <v>0.86080000000000001</v>
      </c>
      <c r="H111">
        <v>0.80079999999999996</v>
      </c>
      <c r="I111">
        <v>0.77139999999999997</v>
      </c>
    </row>
    <row r="112" spans="1:9" x14ac:dyDescent="0.35">
      <c r="A112" t="s">
        <v>210</v>
      </c>
      <c r="B112">
        <v>30</v>
      </c>
      <c r="C112">
        <v>90</v>
      </c>
      <c r="D112">
        <v>2.2639</v>
      </c>
      <c r="E112">
        <v>1.8722000000000001</v>
      </c>
      <c r="F112">
        <v>1.8018000000000001</v>
      </c>
      <c r="G112">
        <v>1.6906000000000001</v>
      </c>
      <c r="H112">
        <v>1.6638999999999999</v>
      </c>
      <c r="I112">
        <v>1.6514</v>
      </c>
    </row>
    <row r="113" spans="1:9" x14ac:dyDescent="0.35">
      <c r="A113" t="s">
        <v>211</v>
      </c>
      <c r="B113">
        <v>30</v>
      </c>
      <c r="C113">
        <v>90</v>
      </c>
      <c r="D113">
        <v>1.6700999999999999</v>
      </c>
      <c r="E113">
        <v>1.4083000000000001</v>
      </c>
      <c r="F113">
        <v>1.2397</v>
      </c>
      <c r="G113">
        <v>1.153</v>
      </c>
      <c r="H113">
        <v>1.0430999999999999</v>
      </c>
      <c r="I113">
        <v>1.0325</v>
      </c>
    </row>
    <row r="114" spans="1:9" x14ac:dyDescent="0.35">
      <c r="A114" t="s">
        <v>212</v>
      </c>
      <c r="B114">
        <v>30</v>
      </c>
      <c r="C114">
        <v>90</v>
      </c>
      <c r="D114">
        <v>1.6888000000000001</v>
      </c>
      <c r="E114">
        <v>1.3621000000000001</v>
      </c>
      <c r="F114">
        <v>1.2609999999999999</v>
      </c>
      <c r="G114">
        <v>1.214</v>
      </c>
      <c r="H114">
        <v>1.1778999999999999</v>
      </c>
      <c r="I114">
        <v>1.1657</v>
      </c>
    </row>
    <row r="115" spans="1:9" x14ac:dyDescent="0.35">
      <c r="A115" t="s">
        <v>213</v>
      </c>
      <c r="B115">
        <v>30</v>
      </c>
      <c r="C115">
        <v>90</v>
      </c>
      <c r="D115">
        <v>1.6355999999999999</v>
      </c>
      <c r="E115">
        <v>1.1657</v>
      </c>
      <c r="F115">
        <v>0.93640000000000001</v>
      </c>
      <c r="G115">
        <v>0.80100000000000005</v>
      </c>
      <c r="H115">
        <v>0.71819999999999995</v>
      </c>
      <c r="I115">
        <v>0.70569999999999999</v>
      </c>
    </row>
    <row r="116" spans="1:9" x14ac:dyDescent="0.35">
      <c r="A116" t="s">
        <v>214</v>
      </c>
      <c r="B116">
        <v>30</v>
      </c>
      <c r="C116">
        <v>90</v>
      </c>
      <c r="D116">
        <v>1.6560999999999999</v>
      </c>
      <c r="E116">
        <v>1.3047</v>
      </c>
      <c r="F116">
        <v>1.1896</v>
      </c>
      <c r="G116">
        <v>1.1480999999999999</v>
      </c>
      <c r="H116">
        <v>1.0865</v>
      </c>
      <c r="I116">
        <v>1.0561</v>
      </c>
    </row>
    <row r="117" spans="1:9" x14ac:dyDescent="0.35">
      <c r="A117" t="s">
        <v>215</v>
      </c>
      <c r="B117">
        <v>30</v>
      </c>
      <c r="C117">
        <v>90</v>
      </c>
      <c r="D117">
        <v>3.3065000000000002</v>
      </c>
      <c r="E117">
        <v>2.9916999999999998</v>
      </c>
      <c r="F117">
        <v>2.9034</v>
      </c>
      <c r="G117">
        <v>2.8527</v>
      </c>
      <c r="H117">
        <v>2.8231000000000002</v>
      </c>
      <c r="I117">
        <v>2.8096000000000001</v>
      </c>
    </row>
    <row r="118" spans="1:9" x14ac:dyDescent="0.35">
      <c r="A118" t="s">
        <v>216</v>
      </c>
      <c r="B118">
        <v>30</v>
      </c>
      <c r="C118">
        <v>90</v>
      </c>
      <c r="D118">
        <v>2.3835999999999999</v>
      </c>
      <c r="E118">
        <v>1.8623000000000001</v>
      </c>
      <c r="F118">
        <v>1.7031000000000001</v>
      </c>
      <c r="G118">
        <v>1.6475</v>
      </c>
      <c r="H118">
        <v>1.621</v>
      </c>
      <c r="I118">
        <v>1.6088</v>
      </c>
    </row>
    <row r="119" spans="1:9" x14ac:dyDescent="0.35">
      <c r="A119" t="s">
        <v>217</v>
      </c>
      <c r="B119">
        <v>30</v>
      </c>
      <c r="C119">
        <v>90</v>
      </c>
      <c r="D119">
        <v>2.9003000000000001</v>
      </c>
      <c r="E119">
        <v>2.2054999999999998</v>
      </c>
      <c r="F119">
        <v>2.0951</v>
      </c>
      <c r="G119">
        <v>2.0447000000000002</v>
      </c>
      <c r="H119">
        <v>2.0091000000000001</v>
      </c>
      <c r="I119">
        <v>1.9968999999999999</v>
      </c>
    </row>
    <row r="120" spans="1:9" x14ac:dyDescent="0.35">
      <c r="A120" t="s">
        <v>218</v>
      </c>
      <c r="B120">
        <v>30</v>
      </c>
      <c r="C120">
        <v>90</v>
      </c>
      <c r="D120">
        <v>2.8054999999999999</v>
      </c>
      <c r="E120">
        <v>2.1179000000000001</v>
      </c>
      <c r="F120">
        <v>1.7332000000000001</v>
      </c>
      <c r="G120">
        <v>1.6948000000000001</v>
      </c>
      <c r="H120">
        <v>1.6682999999999999</v>
      </c>
      <c r="I120">
        <v>1.6560999999999999</v>
      </c>
    </row>
    <row r="121" spans="1:9" x14ac:dyDescent="0.35">
      <c r="A121" t="s">
        <v>219</v>
      </c>
      <c r="B121">
        <v>30</v>
      </c>
      <c r="C121">
        <v>90</v>
      </c>
      <c r="D121">
        <v>2.5426000000000002</v>
      </c>
      <c r="E121">
        <v>1.6873</v>
      </c>
      <c r="F121">
        <v>1.5439000000000001</v>
      </c>
      <c r="G121">
        <v>1.5239</v>
      </c>
      <c r="H121">
        <v>1.4075</v>
      </c>
      <c r="I121">
        <v>1.3969</v>
      </c>
    </row>
    <row r="122" spans="1:9" x14ac:dyDescent="0.35">
      <c r="A122" t="s">
        <v>220</v>
      </c>
      <c r="B122">
        <v>30</v>
      </c>
      <c r="C122">
        <v>90</v>
      </c>
      <c r="D122">
        <v>0.87350000000000005</v>
      </c>
      <c r="E122">
        <v>0.49919999999999998</v>
      </c>
      <c r="F122">
        <v>0.37690000000000001</v>
      </c>
      <c r="G122">
        <v>0.3327</v>
      </c>
      <c r="H122">
        <v>0.26700000000000002</v>
      </c>
      <c r="I122">
        <v>0.23480000000000001</v>
      </c>
    </row>
    <row r="123" spans="1:9" x14ac:dyDescent="0.35">
      <c r="A123" t="s">
        <v>221</v>
      </c>
      <c r="B123">
        <v>30</v>
      </c>
      <c r="C123">
        <v>90</v>
      </c>
      <c r="D123">
        <v>1.0501</v>
      </c>
      <c r="E123">
        <v>0.71789999999999998</v>
      </c>
      <c r="F123">
        <v>0.63380000000000003</v>
      </c>
      <c r="G123">
        <v>0.56440000000000001</v>
      </c>
      <c r="H123">
        <v>0.50080000000000002</v>
      </c>
      <c r="I123">
        <v>0.48909999999999998</v>
      </c>
    </row>
    <row r="124" spans="1:9" x14ac:dyDescent="0.35">
      <c r="A124" t="s">
        <v>222</v>
      </c>
      <c r="B124">
        <v>30</v>
      </c>
      <c r="C124">
        <v>90</v>
      </c>
      <c r="D124">
        <v>2.2538</v>
      </c>
      <c r="E124">
        <v>1.4965999999999999</v>
      </c>
      <c r="F124">
        <v>1.1665000000000001</v>
      </c>
      <c r="G124">
        <v>1.0660000000000001</v>
      </c>
      <c r="H124">
        <v>0.9738</v>
      </c>
      <c r="I124">
        <v>0.96160000000000001</v>
      </c>
    </row>
    <row r="125" spans="1:9" x14ac:dyDescent="0.35">
      <c r="A125" t="s">
        <v>223</v>
      </c>
      <c r="B125">
        <v>30</v>
      </c>
      <c r="C125">
        <v>90</v>
      </c>
      <c r="D125">
        <v>1.0994999999999999</v>
      </c>
      <c r="E125">
        <v>0.72519999999999996</v>
      </c>
      <c r="F125">
        <v>0.60289999999999999</v>
      </c>
      <c r="G125">
        <v>0.55869999999999997</v>
      </c>
      <c r="H125">
        <v>0.49299999999999999</v>
      </c>
      <c r="I125">
        <v>0.46079999999999999</v>
      </c>
    </row>
    <row r="126" spans="1:9" x14ac:dyDescent="0.35">
      <c r="A126" t="s">
        <v>224</v>
      </c>
      <c r="B126">
        <v>30</v>
      </c>
      <c r="C126">
        <v>90</v>
      </c>
      <c r="D126">
        <v>2.9538000000000002</v>
      </c>
      <c r="E126">
        <v>2.5251999999999999</v>
      </c>
      <c r="F126">
        <v>2.4085999999999999</v>
      </c>
      <c r="G126">
        <v>2.3365999999999998</v>
      </c>
      <c r="H126">
        <v>2.3020999999999998</v>
      </c>
      <c r="I126">
        <v>2.2869999999999999</v>
      </c>
    </row>
    <row r="127" spans="1:9" x14ac:dyDescent="0.35">
      <c r="A127" t="s">
        <v>225</v>
      </c>
      <c r="B127">
        <v>30</v>
      </c>
      <c r="C127">
        <v>90</v>
      </c>
      <c r="D127">
        <v>1.36</v>
      </c>
      <c r="E127">
        <v>0.92469999999999997</v>
      </c>
      <c r="F127">
        <v>0.78259999999999996</v>
      </c>
      <c r="G127">
        <v>0.73089999999999999</v>
      </c>
      <c r="H127">
        <v>0.65449999999999997</v>
      </c>
      <c r="I127">
        <v>0.61709999999999998</v>
      </c>
    </row>
    <row r="128" spans="1:9" x14ac:dyDescent="0.35">
      <c r="A128" t="s">
        <v>226</v>
      </c>
      <c r="B128">
        <v>30</v>
      </c>
      <c r="C128">
        <v>90</v>
      </c>
      <c r="D128">
        <v>2.7246999999999999</v>
      </c>
      <c r="E128">
        <v>2.2667999999999999</v>
      </c>
      <c r="F128">
        <v>1.7138</v>
      </c>
      <c r="G128">
        <v>1.5584</v>
      </c>
      <c r="H128">
        <v>1.4517</v>
      </c>
      <c r="I128">
        <v>1.4395</v>
      </c>
    </row>
    <row r="129" spans="1:9" x14ac:dyDescent="0.35">
      <c r="A129" t="s">
        <v>227</v>
      </c>
      <c r="B129">
        <v>30</v>
      </c>
      <c r="C129">
        <v>90</v>
      </c>
      <c r="D129">
        <v>2.8803000000000001</v>
      </c>
      <c r="E129">
        <v>2.5823</v>
      </c>
      <c r="F129">
        <v>2.4982000000000002</v>
      </c>
      <c r="G129">
        <v>2.4508999999999999</v>
      </c>
      <c r="H129">
        <v>2.4218000000000002</v>
      </c>
      <c r="I129">
        <v>2.4087999999999998</v>
      </c>
    </row>
    <row r="130" spans="1:9" x14ac:dyDescent="0.35">
      <c r="A130" t="s">
        <v>228</v>
      </c>
      <c r="B130">
        <v>30</v>
      </c>
      <c r="C130">
        <v>90</v>
      </c>
      <c r="D130">
        <v>1.2351000000000001</v>
      </c>
      <c r="E130">
        <v>0.9748</v>
      </c>
      <c r="F130">
        <v>0.82830000000000004</v>
      </c>
      <c r="G130">
        <v>0.64829999999999999</v>
      </c>
      <c r="H130">
        <v>0.62129999999999996</v>
      </c>
      <c r="I130">
        <v>0.6099</v>
      </c>
    </row>
    <row r="131" spans="1:9" x14ac:dyDescent="0.35">
      <c r="A131" t="s">
        <v>229</v>
      </c>
      <c r="B131">
        <v>30</v>
      </c>
      <c r="C131">
        <v>90</v>
      </c>
      <c r="D131">
        <v>1.0769</v>
      </c>
      <c r="E131">
        <v>0.72550000000000003</v>
      </c>
      <c r="F131">
        <v>0.61040000000000005</v>
      </c>
      <c r="G131">
        <v>0.56879999999999997</v>
      </c>
      <c r="H131">
        <v>0.50729999999999997</v>
      </c>
      <c r="I131">
        <v>0.47689999999999999</v>
      </c>
    </row>
    <row r="132" spans="1:9" x14ac:dyDescent="0.35">
      <c r="A132" t="s">
        <v>230</v>
      </c>
      <c r="B132">
        <v>30</v>
      </c>
      <c r="C132">
        <v>90</v>
      </c>
      <c r="D132">
        <v>1.4577</v>
      </c>
      <c r="E132">
        <v>1.0290999999999999</v>
      </c>
      <c r="F132">
        <v>0.91249999999999998</v>
      </c>
      <c r="G132">
        <v>0.84050000000000002</v>
      </c>
      <c r="H132">
        <v>0.80600000000000005</v>
      </c>
      <c r="I132">
        <v>0.79090000000000005</v>
      </c>
    </row>
    <row r="133" spans="1:9" x14ac:dyDescent="0.35">
      <c r="A133" t="s">
        <v>231</v>
      </c>
      <c r="B133">
        <v>30</v>
      </c>
      <c r="C133">
        <v>90</v>
      </c>
      <c r="D133">
        <v>2.7252000000000001</v>
      </c>
      <c r="E133">
        <v>2.3012999999999999</v>
      </c>
      <c r="F133">
        <v>2.1855000000000002</v>
      </c>
      <c r="G133">
        <v>2.1145</v>
      </c>
      <c r="H133">
        <v>2.0802999999999998</v>
      </c>
      <c r="I133">
        <v>2.0651999999999999</v>
      </c>
    </row>
    <row r="134" spans="1:9" x14ac:dyDescent="0.35">
      <c r="A134" t="s">
        <v>232</v>
      </c>
      <c r="B134">
        <v>30</v>
      </c>
      <c r="C134">
        <v>90</v>
      </c>
      <c r="D134">
        <v>1.3925000000000001</v>
      </c>
      <c r="E134">
        <v>1.0257000000000001</v>
      </c>
      <c r="F134">
        <v>0.8327</v>
      </c>
      <c r="G134">
        <v>0.74680000000000002</v>
      </c>
      <c r="H134">
        <v>0.7208</v>
      </c>
      <c r="I134">
        <v>0.70860000000000001</v>
      </c>
    </row>
    <row r="135" spans="1:9" x14ac:dyDescent="0.35">
      <c r="A135" t="s">
        <v>233</v>
      </c>
      <c r="B135">
        <v>30</v>
      </c>
      <c r="C135">
        <v>90</v>
      </c>
      <c r="D135">
        <v>1.1581999999999999</v>
      </c>
      <c r="E135">
        <v>0.90700000000000003</v>
      </c>
      <c r="F135">
        <v>0.80549999999999999</v>
      </c>
      <c r="G135">
        <v>0.76</v>
      </c>
      <c r="H135">
        <v>0.72960000000000003</v>
      </c>
      <c r="I135">
        <v>0.71740000000000004</v>
      </c>
    </row>
    <row r="136" spans="1:9" x14ac:dyDescent="0.35">
      <c r="A136" t="s">
        <v>234</v>
      </c>
      <c r="B136">
        <v>30</v>
      </c>
      <c r="C136">
        <v>90</v>
      </c>
      <c r="D136">
        <v>1.3065</v>
      </c>
      <c r="E136">
        <v>0.72989999999999999</v>
      </c>
      <c r="F136">
        <v>0.54159999999999997</v>
      </c>
      <c r="G136">
        <v>0.47320000000000001</v>
      </c>
      <c r="H136">
        <v>0.37219999999999998</v>
      </c>
      <c r="I136">
        <v>0.32229999999999998</v>
      </c>
    </row>
    <row r="137" spans="1:9" x14ac:dyDescent="0.35">
      <c r="A137" t="s">
        <v>235</v>
      </c>
      <c r="B137">
        <v>30</v>
      </c>
      <c r="C137">
        <v>90</v>
      </c>
      <c r="D137">
        <v>3.4491000000000001</v>
      </c>
      <c r="E137">
        <v>2.6469999999999998</v>
      </c>
      <c r="F137">
        <v>2.2681</v>
      </c>
      <c r="G137">
        <v>1.8179000000000001</v>
      </c>
      <c r="H137">
        <v>1.7805</v>
      </c>
      <c r="I137">
        <v>1.7683</v>
      </c>
    </row>
    <row r="138" spans="1:9" x14ac:dyDescent="0.35">
      <c r="A138" t="s">
        <v>236</v>
      </c>
      <c r="B138">
        <v>30</v>
      </c>
      <c r="C138">
        <v>90</v>
      </c>
      <c r="D138">
        <v>3.5482999999999998</v>
      </c>
      <c r="E138">
        <v>2.6255000000000002</v>
      </c>
      <c r="F138">
        <v>2.0327000000000002</v>
      </c>
      <c r="G138">
        <v>1.3452</v>
      </c>
      <c r="H138">
        <v>1.2964</v>
      </c>
      <c r="I138">
        <v>1.2842</v>
      </c>
    </row>
    <row r="139" spans="1:9" x14ac:dyDescent="0.35">
      <c r="A139" t="s">
        <v>237</v>
      </c>
      <c r="B139">
        <v>20</v>
      </c>
      <c r="C139">
        <v>75</v>
      </c>
      <c r="D139">
        <v>1.4426000000000001</v>
      </c>
      <c r="E139">
        <v>1.1778999999999999</v>
      </c>
      <c r="F139">
        <v>1.0909</v>
      </c>
      <c r="G139">
        <v>1.0577000000000001</v>
      </c>
      <c r="H139">
        <v>1.0117</v>
      </c>
      <c r="I139">
        <v>0.98909999999999998</v>
      </c>
    </row>
    <row r="140" spans="1:9" x14ac:dyDescent="0.35">
      <c r="A140" t="s">
        <v>238</v>
      </c>
      <c r="B140">
        <v>30</v>
      </c>
      <c r="C140">
        <v>90</v>
      </c>
      <c r="D140">
        <v>1.1256999999999999</v>
      </c>
      <c r="E140">
        <v>0.74909999999999999</v>
      </c>
      <c r="F140">
        <v>0.62570000000000003</v>
      </c>
      <c r="G140">
        <v>0.58099999999999996</v>
      </c>
      <c r="H140">
        <v>0.5151</v>
      </c>
      <c r="I140">
        <v>0.48259999999999997</v>
      </c>
    </row>
    <row r="141" spans="1:9" x14ac:dyDescent="0.35">
      <c r="A141" t="s">
        <v>239</v>
      </c>
      <c r="B141">
        <v>30</v>
      </c>
      <c r="C141">
        <v>90</v>
      </c>
      <c r="D141">
        <v>5.3444000000000003</v>
      </c>
      <c r="E141">
        <v>2.0945</v>
      </c>
      <c r="F141">
        <v>1.3859999999999999</v>
      </c>
      <c r="G141">
        <v>1.2770999999999999</v>
      </c>
      <c r="H141">
        <v>1.2553000000000001</v>
      </c>
      <c r="I141">
        <v>1.2446999999999999</v>
      </c>
    </row>
    <row r="142" spans="1:9" x14ac:dyDescent="0.35">
      <c r="A142" t="s">
        <v>240</v>
      </c>
      <c r="B142">
        <v>30</v>
      </c>
      <c r="C142">
        <v>90</v>
      </c>
      <c r="D142">
        <v>1.4951000000000001</v>
      </c>
      <c r="E142">
        <v>1.1327</v>
      </c>
      <c r="F142">
        <v>0.91710000000000003</v>
      </c>
      <c r="G142">
        <v>0.76880000000000004</v>
      </c>
      <c r="H142">
        <v>0.72050000000000003</v>
      </c>
      <c r="I142">
        <v>0.70809999999999995</v>
      </c>
    </row>
    <row r="143" spans="1:9" x14ac:dyDescent="0.35">
      <c r="A143" t="s">
        <v>241</v>
      </c>
      <c r="B143">
        <v>30</v>
      </c>
      <c r="C143">
        <v>90</v>
      </c>
      <c r="D143">
        <v>2.4716999999999998</v>
      </c>
      <c r="E143">
        <v>1.5397000000000001</v>
      </c>
      <c r="F143">
        <v>1.2756000000000001</v>
      </c>
      <c r="G143">
        <v>1.1312</v>
      </c>
      <c r="H143">
        <v>1.0612999999999999</v>
      </c>
      <c r="I143">
        <v>1.0490999999999999</v>
      </c>
    </row>
    <row r="144" spans="1:9" x14ac:dyDescent="0.35">
      <c r="A144" t="s">
        <v>242</v>
      </c>
      <c r="B144">
        <v>30</v>
      </c>
      <c r="C144">
        <v>90</v>
      </c>
      <c r="D144">
        <v>1.7101</v>
      </c>
      <c r="E144">
        <v>1.3334999999999999</v>
      </c>
      <c r="F144">
        <v>1.2101</v>
      </c>
      <c r="G144">
        <v>1.1655</v>
      </c>
      <c r="H144">
        <v>1.0994999999999999</v>
      </c>
      <c r="I144">
        <v>1.0669999999999999</v>
      </c>
    </row>
    <row r="145" spans="1:9" x14ac:dyDescent="0.35">
      <c r="A145" t="s">
        <v>243</v>
      </c>
      <c r="B145">
        <v>30</v>
      </c>
      <c r="C145">
        <v>90</v>
      </c>
      <c r="D145">
        <v>2.2761</v>
      </c>
      <c r="E145">
        <v>1.9810000000000001</v>
      </c>
      <c r="F145">
        <v>1.8101</v>
      </c>
      <c r="G145">
        <v>1.7344999999999999</v>
      </c>
      <c r="H145">
        <v>1.6465000000000001</v>
      </c>
      <c r="I145">
        <v>1.6343000000000001</v>
      </c>
    </row>
    <row r="146" spans="1:9" x14ac:dyDescent="0.35">
      <c r="A146" t="s">
        <v>244</v>
      </c>
      <c r="B146">
        <v>30</v>
      </c>
      <c r="C146">
        <v>90</v>
      </c>
      <c r="D146">
        <v>1.8925000000000001</v>
      </c>
      <c r="E146">
        <v>1.5003</v>
      </c>
      <c r="F146">
        <v>1.3433999999999999</v>
      </c>
      <c r="G146">
        <v>1.2267999999999999</v>
      </c>
      <c r="H146">
        <v>1.1408</v>
      </c>
      <c r="I146">
        <v>1.1291</v>
      </c>
    </row>
    <row r="147" spans="1:9" x14ac:dyDescent="0.35">
      <c r="A147" t="s">
        <v>245</v>
      </c>
      <c r="B147">
        <v>30</v>
      </c>
      <c r="C147">
        <v>90</v>
      </c>
      <c r="D147">
        <v>1.9335</v>
      </c>
      <c r="E147">
        <v>1.5569</v>
      </c>
      <c r="F147">
        <v>1.4335</v>
      </c>
      <c r="G147">
        <v>1.3888</v>
      </c>
      <c r="H147">
        <v>1.3229</v>
      </c>
      <c r="I147">
        <v>1.2904</v>
      </c>
    </row>
    <row r="148" spans="1:9" x14ac:dyDescent="0.35">
      <c r="A148" t="s">
        <v>246</v>
      </c>
      <c r="B148">
        <v>20</v>
      </c>
      <c r="C148">
        <v>75</v>
      </c>
      <c r="D148">
        <v>1.0994999999999999</v>
      </c>
      <c r="E148">
        <v>0.72519999999999996</v>
      </c>
      <c r="F148">
        <v>0.60289999999999999</v>
      </c>
      <c r="G148">
        <v>0.55869999999999997</v>
      </c>
      <c r="H148">
        <v>0.49299999999999999</v>
      </c>
      <c r="I148">
        <v>0.46079999999999999</v>
      </c>
    </row>
    <row r="149" spans="1:9" x14ac:dyDescent="0.35">
      <c r="A149" t="s">
        <v>247</v>
      </c>
      <c r="B149">
        <v>30</v>
      </c>
      <c r="C149">
        <v>90</v>
      </c>
      <c r="D149">
        <v>1.1644000000000001</v>
      </c>
      <c r="E149">
        <v>0.93710000000000004</v>
      </c>
      <c r="F149">
        <v>0.87380000000000002</v>
      </c>
      <c r="G149">
        <v>0.84909999999999997</v>
      </c>
      <c r="H149">
        <v>0.81820000000000004</v>
      </c>
      <c r="I149">
        <v>0.8075</v>
      </c>
    </row>
    <row r="150" spans="1:9" x14ac:dyDescent="0.35">
      <c r="A150" t="s">
        <v>248</v>
      </c>
      <c r="B150">
        <v>30</v>
      </c>
      <c r="C150">
        <v>90</v>
      </c>
      <c r="D150">
        <v>2.5792000000000002</v>
      </c>
      <c r="E150">
        <v>1.841</v>
      </c>
      <c r="F150">
        <v>1.7568999999999999</v>
      </c>
      <c r="G150">
        <v>1.7096</v>
      </c>
      <c r="H150">
        <v>1.6805000000000001</v>
      </c>
      <c r="I150">
        <v>1.6673</v>
      </c>
    </row>
    <row r="151" spans="1:9" x14ac:dyDescent="0.35">
      <c r="A151" t="s">
        <v>249</v>
      </c>
      <c r="B151">
        <v>20</v>
      </c>
      <c r="C151">
        <v>75</v>
      </c>
      <c r="D151">
        <v>1.2989999999999999</v>
      </c>
      <c r="E151">
        <v>0.76160000000000005</v>
      </c>
      <c r="F151">
        <v>0.59219999999999995</v>
      </c>
      <c r="G151">
        <v>0.3886</v>
      </c>
      <c r="H151">
        <v>0.33379999999999999</v>
      </c>
      <c r="I151">
        <v>0.30680000000000002</v>
      </c>
    </row>
    <row r="152" spans="1:9" x14ac:dyDescent="0.35">
      <c r="A152" t="s">
        <v>59</v>
      </c>
      <c r="B152">
        <v>15</v>
      </c>
      <c r="C152">
        <v>75</v>
      </c>
      <c r="D152">
        <v>0.42880000000000001</v>
      </c>
      <c r="E152">
        <v>0.28670000000000001</v>
      </c>
      <c r="F152">
        <v>0.24149999999999999</v>
      </c>
      <c r="G152">
        <v>0.22500000000000001</v>
      </c>
      <c r="H152">
        <v>0.20019999999999999</v>
      </c>
      <c r="I152">
        <v>0.18790000000000001</v>
      </c>
    </row>
    <row r="153" spans="1:9" x14ac:dyDescent="0.35">
      <c r="A153" t="s">
        <v>250</v>
      </c>
      <c r="B153">
        <v>30</v>
      </c>
      <c r="C153">
        <v>90</v>
      </c>
      <c r="D153">
        <v>0.95169999999999999</v>
      </c>
      <c r="E153">
        <v>0.58699999999999997</v>
      </c>
      <c r="F153">
        <v>0.46779999999999999</v>
      </c>
      <c r="G153">
        <v>0.42159999999999997</v>
      </c>
      <c r="H153">
        <v>0.3584</v>
      </c>
      <c r="I153">
        <v>0.32729999999999998</v>
      </c>
    </row>
    <row r="154" spans="1:9" x14ac:dyDescent="0.35">
      <c r="A154" t="s">
        <v>251</v>
      </c>
      <c r="B154">
        <v>30</v>
      </c>
      <c r="C154">
        <v>90</v>
      </c>
      <c r="D154">
        <v>2.1751</v>
      </c>
      <c r="E154">
        <v>1.7577</v>
      </c>
      <c r="F154">
        <v>1.6535</v>
      </c>
      <c r="G154">
        <v>1.5973999999999999</v>
      </c>
      <c r="H154">
        <v>1.5709</v>
      </c>
      <c r="I154">
        <v>1.5587</v>
      </c>
    </row>
    <row r="155" spans="1:9" x14ac:dyDescent="0.35">
      <c r="A155" t="s">
        <v>252</v>
      </c>
      <c r="B155">
        <v>30</v>
      </c>
      <c r="C155">
        <v>90</v>
      </c>
      <c r="D155">
        <v>1.4825999999999999</v>
      </c>
      <c r="E155">
        <v>1.2452000000000001</v>
      </c>
      <c r="F155">
        <v>1.0527</v>
      </c>
      <c r="G155">
        <v>1.0091000000000001</v>
      </c>
      <c r="H155">
        <v>0.9738</v>
      </c>
      <c r="I155">
        <v>0.96160000000000001</v>
      </c>
    </row>
    <row r="156" spans="1:9" x14ac:dyDescent="0.35">
      <c r="A156" t="s">
        <v>253</v>
      </c>
      <c r="B156">
        <v>30</v>
      </c>
      <c r="C156">
        <v>90</v>
      </c>
      <c r="D156">
        <v>1.0587</v>
      </c>
      <c r="E156">
        <v>0.70730000000000004</v>
      </c>
      <c r="F156">
        <v>0.59219999999999995</v>
      </c>
      <c r="G156">
        <v>0.55059999999999998</v>
      </c>
      <c r="H156">
        <v>0.48909999999999998</v>
      </c>
      <c r="I156">
        <v>0.4587</v>
      </c>
    </row>
    <row r="157" spans="1:9" x14ac:dyDescent="0.35">
      <c r="A157" t="s">
        <v>254</v>
      </c>
      <c r="B157">
        <v>30</v>
      </c>
      <c r="C157">
        <v>90</v>
      </c>
      <c r="D157">
        <v>1.4825999999999999</v>
      </c>
      <c r="E157">
        <v>1.2561</v>
      </c>
      <c r="F157">
        <v>1.0992</v>
      </c>
      <c r="G157">
        <v>1.0669999999999999</v>
      </c>
      <c r="H157">
        <v>1.0412999999999999</v>
      </c>
      <c r="I157">
        <v>1.0294000000000001</v>
      </c>
    </row>
    <row r="158" spans="1:9" x14ac:dyDescent="0.35">
      <c r="A158" t="s">
        <v>255</v>
      </c>
      <c r="B158">
        <v>30</v>
      </c>
      <c r="C158">
        <v>90</v>
      </c>
      <c r="D158">
        <v>2.3247</v>
      </c>
      <c r="E158">
        <v>1.8771</v>
      </c>
      <c r="F158">
        <v>1.6595</v>
      </c>
      <c r="G158">
        <v>1.4509000000000001</v>
      </c>
      <c r="H158">
        <v>1.3104</v>
      </c>
      <c r="I158">
        <v>1.2982</v>
      </c>
    </row>
    <row r="159" spans="1:9" x14ac:dyDescent="0.35">
      <c r="A159" t="s">
        <v>256</v>
      </c>
      <c r="B159">
        <v>30</v>
      </c>
      <c r="C159">
        <v>90</v>
      </c>
      <c r="D159">
        <v>3.6831</v>
      </c>
      <c r="E159">
        <v>2.5655000000000001</v>
      </c>
      <c r="F159">
        <v>2.2376999999999998</v>
      </c>
      <c r="G159">
        <v>1.7452000000000001</v>
      </c>
      <c r="H159">
        <v>1.7103999999999999</v>
      </c>
      <c r="I159">
        <v>1.6953</v>
      </c>
    </row>
    <row r="160" spans="1:9" x14ac:dyDescent="0.35">
      <c r="A160" t="s">
        <v>257</v>
      </c>
      <c r="B160">
        <v>30</v>
      </c>
      <c r="C160">
        <v>90</v>
      </c>
      <c r="D160">
        <v>1.6140000000000001</v>
      </c>
      <c r="E160">
        <v>1.1506000000000001</v>
      </c>
      <c r="F160">
        <v>0.92469999999999997</v>
      </c>
      <c r="G160">
        <v>0.79169999999999996</v>
      </c>
      <c r="H160">
        <v>0.71009999999999995</v>
      </c>
      <c r="I160">
        <v>0.69789999999999996</v>
      </c>
    </row>
    <row r="161" spans="1:9" x14ac:dyDescent="0.35">
      <c r="A161" t="s">
        <v>258</v>
      </c>
      <c r="B161">
        <v>30</v>
      </c>
      <c r="C161">
        <v>90</v>
      </c>
      <c r="D161">
        <v>0.88680000000000003</v>
      </c>
      <c r="E161">
        <v>0.62209999999999999</v>
      </c>
      <c r="F161">
        <v>0.53510000000000002</v>
      </c>
      <c r="G161">
        <v>0.50180000000000002</v>
      </c>
      <c r="H161">
        <v>0.45579999999999998</v>
      </c>
      <c r="I161">
        <v>0.43319999999999997</v>
      </c>
    </row>
    <row r="162" spans="1:9" x14ac:dyDescent="0.35">
      <c r="A162" t="s">
        <v>259</v>
      </c>
      <c r="B162">
        <v>30</v>
      </c>
      <c r="C162">
        <v>90</v>
      </c>
      <c r="D162">
        <v>0.64049999999999996</v>
      </c>
      <c r="E162">
        <v>0.34100000000000003</v>
      </c>
      <c r="F162">
        <v>0.24340000000000001</v>
      </c>
      <c r="G162">
        <v>0.20780000000000001</v>
      </c>
      <c r="H162">
        <v>0.15559999999999999</v>
      </c>
      <c r="I162">
        <v>0.12959999999999999</v>
      </c>
    </row>
    <row r="163" spans="1:9" x14ac:dyDescent="0.35">
      <c r="A163" t="s">
        <v>260</v>
      </c>
      <c r="B163">
        <v>30</v>
      </c>
      <c r="C163">
        <v>90</v>
      </c>
      <c r="D163">
        <v>1.1727000000000001</v>
      </c>
      <c r="E163">
        <v>0.76780000000000004</v>
      </c>
      <c r="F163">
        <v>0.63560000000000005</v>
      </c>
      <c r="G163">
        <v>0.58750000000000002</v>
      </c>
      <c r="H163">
        <v>0.51659999999999995</v>
      </c>
      <c r="I163">
        <v>0.48180000000000001</v>
      </c>
    </row>
    <row r="164" spans="1:9" x14ac:dyDescent="0.35">
      <c r="A164" t="s">
        <v>261</v>
      </c>
      <c r="B164">
        <v>30</v>
      </c>
      <c r="C164">
        <v>90</v>
      </c>
      <c r="D164">
        <v>2.2191999999999998</v>
      </c>
      <c r="E164">
        <v>1.2655000000000001</v>
      </c>
      <c r="F164">
        <v>1.0706</v>
      </c>
      <c r="G164">
        <v>0.95920000000000005</v>
      </c>
      <c r="H164">
        <v>0.89219999999999999</v>
      </c>
      <c r="I164">
        <v>0.88</v>
      </c>
    </row>
    <row r="165" spans="1:9" x14ac:dyDescent="0.35">
      <c r="A165" t="s">
        <v>262</v>
      </c>
      <c r="B165">
        <v>30</v>
      </c>
      <c r="C165">
        <v>90</v>
      </c>
      <c r="D165">
        <v>1.6357999999999999</v>
      </c>
      <c r="E165">
        <v>1.2073</v>
      </c>
      <c r="F165">
        <v>0.94599999999999995</v>
      </c>
      <c r="G165">
        <v>0.79300000000000004</v>
      </c>
      <c r="H165">
        <v>0.75009999999999999</v>
      </c>
      <c r="I165">
        <v>0.7379</v>
      </c>
    </row>
    <row r="166" spans="1:9" x14ac:dyDescent="0.35">
      <c r="A166" t="s">
        <v>263</v>
      </c>
      <c r="B166">
        <v>30</v>
      </c>
      <c r="C166">
        <v>90</v>
      </c>
      <c r="D166">
        <v>2.6377000000000002</v>
      </c>
      <c r="E166">
        <v>2.1958000000000002</v>
      </c>
      <c r="F166">
        <v>2.0764</v>
      </c>
      <c r="G166">
        <v>2.0291000000000001</v>
      </c>
      <c r="H166">
        <v>1.8909</v>
      </c>
      <c r="I166">
        <v>1.8792</v>
      </c>
    </row>
    <row r="167" spans="1:9" x14ac:dyDescent="0.35">
      <c r="A167" t="s">
        <v>264</v>
      </c>
      <c r="B167">
        <v>30</v>
      </c>
      <c r="C167">
        <v>90</v>
      </c>
      <c r="D167">
        <v>2.1151</v>
      </c>
      <c r="E167">
        <v>1.7696000000000001</v>
      </c>
      <c r="F167">
        <v>1.7192000000000001</v>
      </c>
      <c r="G167">
        <v>1.6571</v>
      </c>
      <c r="H167">
        <v>1.6119000000000001</v>
      </c>
      <c r="I167">
        <v>1.6012999999999999</v>
      </c>
    </row>
    <row r="168" spans="1:9" x14ac:dyDescent="0.35">
      <c r="A168" t="s">
        <v>265</v>
      </c>
      <c r="B168">
        <v>30</v>
      </c>
      <c r="C168">
        <v>90</v>
      </c>
      <c r="D168">
        <v>1.4712000000000001</v>
      </c>
      <c r="E168">
        <v>1.1273</v>
      </c>
      <c r="F168">
        <v>0.92730000000000001</v>
      </c>
      <c r="G168">
        <v>0.81559999999999999</v>
      </c>
      <c r="H168">
        <v>0.72130000000000005</v>
      </c>
      <c r="I168">
        <v>0.70940000000000003</v>
      </c>
    </row>
    <row r="169" spans="1:9" x14ac:dyDescent="0.35">
      <c r="A169" t="s">
        <v>266</v>
      </c>
      <c r="B169">
        <v>30</v>
      </c>
      <c r="C169">
        <v>90</v>
      </c>
      <c r="D169">
        <v>0.84389999999999998</v>
      </c>
      <c r="E169">
        <v>0.61770000000000003</v>
      </c>
      <c r="F169">
        <v>0.53090000000000004</v>
      </c>
      <c r="G169">
        <v>0.48830000000000001</v>
      </c>
      <c r="H169">
        <v>0.39429999999999998</v>
      </c>
      <c r="I169">
        <v>0.3826</v>
      </c>
    </row>
    <row r="170" spans="1:9" x14ac:dyDescent="0.35">
      <c r="A170" t="s">
        <v>267</v>
      </c>
      <c r="B170">
        <v>30</v>
      </c>
      <c r="C170">
        <v>90</v>
      </c>
      <c r="D170">
        <v>1.0587</v>
      </c>
      <c r="E170">
        <v>0.70730000000000004</v>
      </c>
      <c r="F170">
        <v>0.59219999999999995</v>
      </c>
      <c r="G170">
        <v>0.55059999999999998</v>
      </c>
      <c r="H170">
        <v>0.48909999999999998</v>
      </c>
      <c r="I170">
        <v>0.4587</v>
      </c>
    </row>
    <row r="171" spans="1:9" x14ac:dyDescent="0.35">
      <c r="A171" t="s">
        <v>268</v>
      </c>
      <c r="B171">
        <v>30</v>
      </c>
      <c r="C171">
        <v>90</v>
      </c>
      <c r="D171">
        <v>1.4178999999999999</v>
      </c>
      <c r="E171">
        <v>1.1116999999999999</v>
      </c>
      <c r="F171">
        <v>0.97089999999999999</v>
      </c>
      <c r="G171">
        <v>0.88100000000000001</v>
      </c>
      <c r="H171">
        <v>0.85250000000000004</v>
      </c>
      <c r="I171">
        <v>0.84030000000000005</v>
      </c>
    </row>
    <row r="172" spans="1:9" x14ac:dyDescent="0.35">
      <c r="A172" t="s">
        <v>269</v>
      </c>
      <c r="B172">
        <v>30</v>
      </c>
      <c r="C172">
        <v>90</v>
      </c>
      <c r="D172">
        <v>1.1919</v>
      </c>
      <c r="E172">
        <v>0.79949999999999999</v>
      </c>
      <c r="F172">
        <v>0.6512</v>
      </c>
      <c r="G172">
        <v>0.53449999999999998</v>
      </c>
      <c r="H172">
        <v>0.42680000000000001</v>
      </c>
      <c r="I172">
        <v>0.41449999999999998</v>
      </c>
    </row>
    <row r="173" spans="1:9" x14ac:dyDescent="0.35">
      <c r="A173" t="s">
        <v>270</v>
      </c>
      <c r="B173">
        <v>30</v>
      </c>
      <c r="C173">
        <v>90</v>
      </c>
      <c r="D173">
        <v>1.7483</v>
      </c>
      <c r="E173">
        <v>1.2766</v>
      </c>
      <c r="F173">
        <v>1.0039</v>
      </c>
      <c r="G173">
        <v>0.86519999999999997</v>
      </c>
      <c r="H173">
        <v>0.78469999999999995</v>
      </c>
      <c r="I173">
        <v>0.7722</v>
      </c>
    </row>
    <row r="174" spans="1:9" x14ac:dyDescent="0.35">
      <c r="A174" t="s">
        <v>271</v>
      </c>
      <c r="B174">
        <v>30</v>
      </c>
      <c r="C174">
        <v>90</v>
      </c>
      <c r="D174">
        <v>1.6357999999999999</v>
      </c>
      <c r="E174">
        <v>1.2073</v>
      </c>
      <c r="F174">
        <v>0.94599999999999995</v>
      </c>
      <c r="G174">
        <v>0.79300000000000004</v>
      </c>
      <c r="H174">
        <v>0.75009999999999999</v>
      </c>
      <c r="I174">
        <v>0.7379</v>
      </c>
    </row>
    <row r="175" spans="1:9" x14ac:dyDescent="0.35">
      <c r="A175" t="s">
        <v>272</v>
      </c>
      <c r="B175">
        <v>30</v>
      </c>
      <c r="C175">
        <v>90</v>
      </c>
      <c r="D175">
        <v>2.1751</v>
      </c>
      <c r="E175">
        <v>1.7577</v>
      </c>
      <c r="F175">
        <v>1.6535</v>
      </c>
      <c r="G175">
        <v>1.5973999999999999</v>
      </c>
      <c r="H175">
        <v>1.5709</v>
      </c>
      <c r="I175">
        <v>1.5587</v>
      </c>
    </row>
    <row r="176" spans="1:9" x14ac:dyDescent="0.35">
      <c r="A176" t="s">
        <v>273</v>
      </c>
      <c r="B176">
        <v>20</v>
      </c>
      <c r="C176">
        <v>75</v>
      </c>
      <c r="D176">
        <v>0.75529999999999997</v>
      </c>
      <c r="E176">
        <v>0.45579999999999998</v>
      </c>
      <c r="F176">
        <v>0.3579</v>
      </c>
      <c r="G176">
        <v>0.32</v>
      </c>
      <c r="H176">
        <v>0.2681</v>
      </c>
      <c r="I176">
        <v>0.24260000000000001</v>
      </c>
    </row>
    <row r="177" spans="1:9" x14ac:dyDescent="0.35">
      <c r="A177" t="s">
        <v>274</v>
      </c>
      <c r="B177">
        <v>30</v>
      </c>
      <c r="C177">
        <v>90</v>
      </c>
      <c r="D177">
        <v>3.0394999999999999</v>
      </c>
      <c r="E177">
        <v>2.5415999999999999</v>
      </c>
      <c r="F177">
        <v>2.3273000000000001</v>
      </c>
      <c r="G177">
        <v>1.7911999999999999</v>
      </c>
      <c r="H177">
        <v>1.7605</v>
      </c>
      <c r="I177">
        <v>1.7467999999999999</v>
      </c>
    </row>
    <row r="178" spans="1:9" x14ac:dyDescent="0.35">
      <c r="A178" t="s">
        <v>275</v>
      </c>
      <c r="B178">
        <v>30</v>
      </c>
      <c r="C178">
        <v>90</v>
      </c>
      <c r="D178">
        <v>2.8862000000000001</v>
      </c>
      <c r="E178">
        <v>2.5356000000000001</v>
      </c>
      <c r="F178">
        <v>2.6718999999999999</v>
      </c>
      <c r="G178">
        <v>2.2090999999999998</v>
      </c>
      <c r="H178">
        <v>2.0701000000000001</v>
      </c>
      <c r="I178">
        <v>2.0577000000000001</v>
      </c>
    </row>
    <row r="179" spans="1:9" x14ac:dyDescent="0.35">
      <c r="A179" t="s">
        <v>276</v>
      </c>
      <c r="B179">
        <v>30</v>
      </c>
      <c r="C179">
        <v>90</v>
      </c>
      <c r="D179">
        <v>2.8613</v>
      </c>
      <c r="E179">
        <v>2.2725</v>
      </c>
      <c r="F179">
        <v>2.1114000000000002</v>
      </c>
      <c r="G179">
        <v>2.0672999999999999</v>
      </c>
      <c r="H179">
        <v>2.0108999999999999</v>
      </c>
      <c r="I179">
        <v>2.0003000000000002</v>
      </c>
    </row>
    <row r="180" spans="1:9" x14ac:dyDescent="0.35">
      <c r="A180" t="s">
        <v>277</v>
      </c>
      <c r="B180">
        <v>30</v>
      </c>
      <c r="C180">
        <v>90</v>
      </c>
      <c r="D180">
        <v>2.1751</v>
      </c>
      <c r="E180">
        <v>1.7577</v>
      </c>
      <c r="F180">
        <v>1.6535</v>
      </c>
      <c r="G180">
        <v>1.5973999999999999</v>
      </c>
      <c r="H180">
        <v>1.5709</v>
      </c>
      <c r="I180">
        <v>1.5587</v>
      </c>
    </row>
    <row r="181" spans="1:9" x14ac:dyDescent="0.35">
      <c r="A181" t="s">
        <v>278</v>
      </c>
      <c r="B181">
        <v>30</v>
      </c>
      <c r="C181">
        <v>90</v>
      </c>
      <c r="D181">
        <v>0.91790000000000005</v>
      </c>
      <c r="E181">
        <v>0.5413</v>
      </c>
      <c r="F181">
        <v>0.41789999999999999</v>
      </c>
      <c r="G181">
        <v>0.37319999999999998</v>
      </c>
      <c r="H181">
        <v>0.30730000000000002</v>
      </c>
      <c r="I181">
        <v>0.27479999999999999</v>
      </c>
    </row>
    <row r="182" spans="1:9" x14ac:dyDescent="0.35">
      <c r="A182" t="s">
        <v>279</v>
      </c>
      <c r="B182">
        <v>20</v>
      </c>
      <c r="C182">
        <v>75</v>
      </c>
      <c r="D182">
        <v>0.71220000000000006</v>
      </c>
      <c r="E182">
        <v>0.46960000000000002</v>
      </c>
      <c r="F182">
        <v>0.38990000000000002</v>
      </c>
      <c r="G182">
        <v>0.35949999999999999</v>
      </c>
      <c r="H182">
        <v>0.31709999999999999</v>
      </c>
      <c r="I182">
        <v>0.2964</v>
      </c>
    </row>
    <row r="183" spans="1:9" x14ac:dyDescent="0.35">
      <c r="A183" t="s">
        <v>280</v>
      </c>
      <c r="B183">
        <v>30</v>
      </c>
      <c r="C183">
        <v>90</v>
      </c>
      <c r="D183">
        <v>1.7267999999999999</v>
      </c>
      <c r="E183">
        <v>1.4238999999999999</v>
      </c>
      <c r="F183">
        <v>1.2675000000000001</v>
      </c>
      <c r="G183">
        <v>1.1855</v>
      </c>
      <c r="H183">
        <v>1.1566000000000001</v>
      </c>
      <c r="I183">
        <v>1.1434</v>
      </c>
    </row>
    <row r="184" spans="1:9" x14ac:dyDescent="0.35">
      <c r="A184" t="s">
        <v>281</v>
      </c>
      <c r="B184">
        <v>30</v>
      </c>
      <c r="C184">
        <v>90</v>
      </c>
      <c r="D184">
        <v>1.6826000000000001</v>
      </c>
      <c r="E184">
        <v>1.3379000000000001</v>
      </c>
      <c r="F184">
        <v>1.2421</v>
      </c>
      <c r="G184">
        <v>1.1859999999999999</v>
      </c>
      <c r="H184">
        <v>1.1551</v>
      </c>
      <c r="I184">
        <v>1.141</v>
      </c>
    </row>
    <row r="185" spans="1:9" x14ac:dyDescent="0.35">
      <c r="A185" t="s">
        <v>282</v>
      </c>
      <c r="B185">
        <v>30</v>
      </c>
      <c r="C185">
        <v>90</v>
      </c>
      <c r="D185">
        <v>1.6093999999999999</v>
      </c>
      <c r="E185">
        <v>1.3621000000000001</v>
      </c>
      <c r="F185">
        <v>1.2229000000000001</v>
      </c>
      <c r="G185">
        <v>1.1060000000000001</v>
      </c>
      <c r="H185">
        <v>1.0651999999999999</v>
      </c>
      <c r="I185">
        <v>1.0527</v>
      </c>
    </row>
    <row r="186" spans="1:9" x14ac:dyDescent="0.35">
      <c r="A186" t="s">
        <v>283</v>
      </c>
      <c r="B186">
        <v>20</v>
      </c>
      <c r="C186">
        <v>75</v>
      </c>
      <c r="D186">
        <v>1.9348000000000001</v>
      </c>
      <c r="E186">
        <v>1.4530000000000001</v>
      </c>
      <c r="F186">
        <v>1.2958000000000001</v>
      </c>
      <c r="G186">
        <v>1.1095999999999999</v>
      </c>
      <c r="H186">
        <v>1.0577000000000001</v>
      </c>
      <c r="I186">
        <v>1.0322</v>
      </c>
    </row>
    <row r="187" spans="1:9" x14ac:dyDescent="0.35">
      <c r="A187" t="s">
        <v>284</v>
      </c>
      <c r="B187">
        <v>15</v>
      </c>
      <c r="C187">
        <v>75</v>
      </c>
      <c r="D187">
        <v>0.91690000000000005</v>
      </c>
      <c r="E187">
        <v>0.80130000000000001</v>
      </c>
      <c r="F187">
        <v>0.76349999999999996</v>
      </c>
      <c r="G187">
        <v>0.74880000000000002</v>
      </c>
      <c r="H187">
        <v>0.72870000000000001</v>
      </c>
      <c r="I187">
        <v>0.71870000000000001</v>
      </c>
    </row>
    <row r="188" spans="1:9" x14ac:dyDescent="0.35">
      <c r="A188" t="s">
        <v>285</v>
      </c>
      <c r="B188">
        <v>30</v>
      </c>
      <c r="C188">
        <v>90</v>
      </c>
      <c r="D188">
        <v>1.6413</v>
      </c>
      <c r="E188">
        <v>1.266</v>
      </c>
      <c r="F188">
        <v>1.0294000000000001</v>
      </c>
      <c r="G188">
        <v>0.80179999999999996</v>
      </c>
      <c r="H188">
        <v>0.74439999999999995</v>
      </c>
      <c r="I188">
        <v>0.73219999999999996</v>
      </c>
    </row>
    <row r="189" spans="1:9" x14ac:dyDescent="0.35">
      <c r="A189" t="s">
        <v>286</v>
      </c>
      <c r="B189">
        <v>30</v>
      </c>
      <c r="C189">
        <v>90</v>
      </c>
      <c r="D189">
        <v>1.7204999999999999</v>
      </c>
      <c r="E189">
        <v>1.4086000000000001</v>
      </c>
      <c r="F189">
        <v>1.1944999999999999</v>
      </c>
      <c r="G189">
        <v>0.82050000000000001</v>
      </c>
      <c r="H189">
        <v>0.78859999999999997</v>
      </c>
      <c r="I189">
        <v>0.77559999999999996</v>
      </c>
    </row>
    <row r="190" spans="1:9" x14ac:dyDescent="0.35">
      <c r="A190" t="s">
        <v>287</v>
      </c>
      <c r="B190">
        <v>30</v>
      </c>
      <c r="C190">
        <v>90</v>
      </c>
      <c r="D190">
        <v>0.8478</v>
      </c>
      <c r="E190">
        <v>0.49869999999999998</v>
      </c>
      <c r="F190">
        <v>0.39300000000000002</v>
      </c>
      <c r="G190">
        <v>0.35089999999999999</v>
      </c>
      <c r="H190">
        <v>0.29120000000000001</v>
      </c>
      <c r="I190">
        <v>0.26179999999999998</v>
      </c>
    </row>
    <row r="191" spans="1:9" x14ac:dyDescent="0.35">
      <c r="A191" t="s">
        <v>288</v>
      </c>
      <c r="B191">
        <v>30</v>
      </c>
      <c r="C191">
        <v>90</v>
      </c>
      <c r="D191">
        <v>1.6413</v>
      </c>
      <c r="E191">
        <v>1.266</v>
      </c>
      <c r="F191">
        <v>1.0294000000000001</v>
      </c>
      <c r="G191">
        <v>0.80179999999999996</v>
      </c>
      <c r="H191">
        <v>0.74439999999999995</v>
      </c>
      <c r="I191">
        <v>0.73219999999999996</v>
      </c>
    </row>
    <row r="192" spans="1:9" x14ac:dyDescent="0.35">
      <c r="A192" t="s">
        <v>289</v>
      </c>
      <c r="B192">
        <v>30</v>
      </c>
      <c r="C192">
        <v>90</v>
      </c>
      <c r="D192">
        <v>1.8925000000000001</v>
      </c>
      <c r="E192">
        <v>1.5003</v>
      </c>
      <c r="F192">
        <v>1.3433999999999999</v>
      </c>
      <c r="G192">
        <v>1.2267999999999999</v>
      </c>
      <c r="H192">
        <v>1.1408</v>
      </c>
      <c r="I192">
        <v>1.1291</v>
      </c>
    </row>
    <row r="193" spans="1:9" x14ac:dyDescent="0.35">
      <c r="A193" t="s">
        <v>290</v>
      </c>
      <c r="B193">
        <v>30</v>
      </c>
      <c r="C193">
        <v>90</v>
      </c>
      <c r="D193">
        <v>2.9003000000000001</v>
      </c>
      <c r="E193">
        <v>2.2054999999999998</v>
      </c>
      <c r="F193">
        <v>2.0951</v>
      </c>
      <c r="G193">
        <v>2.0447000000000002</v>
      </c>
      <c r="H193">
        <v>2.0091000000000001</v>
      </c>
      <c r="I193">
        <v>1.9968999999999999</v>
      </c>
    </row>
    <row r="194" spans="1:9" x14ac:dyDescent="0.35">
      <c r="A194" t="s">
        <v>291</v>
      </c>
      <c r="B194">
        <v>30</v>
      </c>
      <c r="C194">
        <v>90</v>
      </c>
      <c r="D194">
        <v>1.6560999999999999</v>
      </c>
      <c r="E194">
        <v>1.3047</v>
      </c>
      <c r="F194">
        <v>1.1896</v>
      </c>
      <c r="G194">
        <v>1.1480999999999999</v>
      </c>
      <c r="H194">
        <v>1.0865</v>
      </c>
      <c r="I194">
        <v>1.0561</v>
      </c>
    </row>
    <row r="195" spans="1:9" x14ac:dyDescent="0.35">
      <c r="A195" t="s">
        <v>292</v>
      </c>
      <c r="B195">
        <v>30</v>
      </c>
      <c r="C195">
        <v>90</v>
      </c>
      <c r="D195">
        <v>2.4034</v>
      </c>
      <c r="E195">
        <v>1.6718999999999999</v>
      </c>
      <c r="F195">
        <v>1.3491</v>
      </c>
      <c r="G195">
        <v>1.0683</v>
      </c>
      <c r="H195">
        <v>1.0164</v>
      </c>
      <c r="I195">
        <v>1.0023</v>
      </c>
    </row>
    <row r="196" spans="1:9" x14ac:dyDescent="0.35">
      <c r="A196" t="s">
        <v>293</v>
      </c>
      <c r="B196">
        <v>30</v>
      </c>
      <c r="C196">
        <v>90</v>
      </c>
      <c r="D196">
        <v>1.0501</v>
      </c>
      <c r="E196">
        <v>0.71789999999999998</v>
      </c>
      <c r="F196">
        <v>0.63380000000000003</v>
      </c>
      <c r="G196">
        <v>0.56440000000000001</v>
      </c>
      <c r="H196">
        <v>0.50080000000000002</v>
      </c>
      <c r="I196">
        <v>0.48909999999999998</v>
      </c>
    </row>
    <row r="197" spans="1:9" x14ac:dyDescent="0.35">
      <c r="A197" t="s">
        <v>294</v>
      </c>
      <c r="B197">
        <v>30</v>
      </c>
      <c r="C197">
        <v>90</v>
      </c>
      <c r="D197">
        <v>1.4712000000000001</v>
      </c>
      <c r="E197">
        <v>1.1273</v>
      </c>
      <c r="F197">
        <v>0.92730000000000001</v>
      </c>
      <c r="G197">
        <v>0.81559999999999999</v>
      </c>
      <c r="H197">
        <v>0.72130000000000005</v>
      </c>
      <c r="I197">
        <v>0.70940000000000003</v>
      </c>
    </row>
    <row r="198" spans="1:9" x14ac:dyDescent="0.35">
      <c r="A198" t="s">
        <v>295</v>
      </c>
      <c r="B198">
        <v>30</v>
      </c>
      <c r="C198">
        <v>90</v>
      </c>
      <c r="D198">
        <v>1.5228999999999999</v>
      </c>
      <c r="E198">
        <v>1.2821</v>
      </c>
      <c r="F198">
        <v>0.96079999999999999</v>
      </c>
      <c r="G198">
        <v>0.75739999999999996</v>
      </c>
      <c r="H198">
        <v>0.73119999999999996</v>
      </c>
      <c r="I198">
        <v>0.71899999999999997</v>
      </c>
    </row>
    <row r="199" spans="1:9" x14ac:dyDescent="0.35">
      <c r="A199" t="s">
        <v>296</v>
      </c>
      <c r="B199">
        <v>30</v>
      </c>
      <c r="C199">
        <v>90</v>
      </c>
      <c r="D199">
        <v>2.3247</v>
      </c>
      <c r="E199">
        <v>1.8771</v>
      </c>
      <c r="F199">
        <v>1.6595</v>
      </c>
      <c r="G199">
        <v>1.4509000000000001</v>
      </c>
      <c r="H199">
        <v>1.3104</v>
      </c>
      <c r="I199">
        <v>1.2982</v>
      </c>
    </row>
    <row r="200" spans="1:9" x14ac:dyDescent="0.35">
      <c r="A200" t="s">
        <v>297</v>
      </c>
      <c r="B200">
        <v>30</v>
      </c>
      <c r="C200">
        <v>90</v>
      </c>
      <c r="D200">
        <v>1.4951000000000001</v>
      </c>
      <c r="E200">
        <v>1.1415999999999999</v>
      </c>
      <c r="F200">
        <v>0.97819999999999996</v>
      </c>
      <c r="G200">
        <v>0.78569999999999995</v>
      </c>
      <c r="H200">
        <v>0.71950000000000003</v>
      </c>
      <c r="I200">
        <v>0.70679999999999998</v>
      </c>
    </row>
    <row r="201" spans="1:9" x14ac:dyDescent="0.35">
      <c r="A201" t="s">
        <v>298</v>
      </c>
      <c r="B201">
        <v>30</v>
      </c>
      <c r="C201">
        <v>90</v>
      </c>
      <c r="D201">
        <v>2.2538</v>
      </c>
      <c r="E201">
        <v>1.4965999999999999</v>
      </c>
      <c r="F201">
        <v>1.1665000000000001</v>
      </c>
      <c r="G201">
        <v>1.0660000000000001</v>
      </c>
      <c r="H201">
        <v>0.9738</v>
      </c>
      <c r="I201">
        <v>0.96160000000000001</v>
      </c>
    </row>
    <row r="202" spans="1:9" x14ac:dyDescent="0.35">
      <c r="A202" t="s">
        <v>299</v>
      </c>
      <c r="B202">
        <v>30</v>
      </c>
      <c r="C202">
        <v>90</v>
      </c>
      <c r="D202">
        <v>1.5409999999999999</v>
      </c>
      <c r="E202">
        <v>1.2816000000000001</v>
      </c>
      <c r="F202">
        <v>1.1488</v>
      </c>
      <c r="G202">
        <v>1.0678000000000001</v>
      </c>
      <c r="H202">
        <v>1.0125</v>
      </c>
      <c r="I202">
        <v>1.0003</v>
      </c>
    </row>
    <row r="203" spans="1:9" x14ac:dyDescent="0.35">
      <c r="A203" t="s">
        <v>300</v>
      </c>
      <c r="B203">
        <v>30</v>
      </c>
      <c r="C203">
        <v>90</v>
      </c>
      <c r="D203">
        <v>2.726</v>
      </c>
      <c r="E203">
        <v>1.9038999999999999</v>
      </c>
      <c r="F203">
        <v>1.4117</v>
      </c>
      <c r="G203">
        <v>0.96289999999999998</v>
      </c>
      <c r="H203">
        <v>0.92490000000000006</v>
      </c>
      <c r="I203">
        <v>0.91269999999999996</v>
      </c>
    </row>
    <row r="204" spans="1:9" x14ac:dyDescent="0.35">
      <c r="A204" t="s">
        <v>301</v>
      </c>
      <c r="B204">
        <v>30</v>
      </c>
      <c r="C204">
        <v>90</v>
      </c>
      <c r="D204">
        <v>0.97219999999999995</v>
      </c>
      <c r="E204">
        <v>0.59789999999999999</v>
      </c>
      <c r="F204">
        <v>0.47560000000000002</v>
      </c>
      <c r="G204">
        <v>0.43140000000000001</v>
      </c>
      <c r="H204">
        <v>0.36570000000000003</v>
      </c>
      <c r="I204">
        <v>0.33350000000000002</v>
      </c>
    </row>
    <row r="205" spans="1:9" x14ac:dyDescent="0.35">
      <c r="A205" t="s">
        <v>302</v>
      </c>
      <c r="B205">
        <v>30</v>
      </c>
      <c r="C205">
        <v>90</v>
      </c>
      <c r="D205">
        <v>2.6234000000000002</v>
      </c>
      <c r="E205">
        <v>2.1031</v>
      </c>
      <c r="F205">
        <v>2.0057</v>
      </c>
      <c r="G205">
        <v>1.5916999999999999</v>
      </c>
      <c r="H205">
        <v>1.5636000000000001</v>
      </c>
      <c r="I205">
        <v>1.5496000000000001</v>
      </c>
    </row>
    <row r="206" spans="1:9" x14ac:dyDescent="0.35">
      <c r="A206" t="s">
        <v>303</v>
      </c>
      <c r="B206">
        <v>30</v>
      </c>
      <c r="C206">
        <v>90</v>
      </c>
      <c r="D206">
        <v>0.95479999999999998</v>
      </c>
      <c r="E206">
        <v>0.60340000000000005</v>
      </c>
      <c r="F206">
        <v>0.48830000000000001</v>
      </c>
      <c r="G206">
        <v>0.44679999999999997</v>
      </c>
      <c r="H206">
        <v>0.38519999999999999</v>
      </c>
      <c r="I206">
        <v>0.3548</v>
      </c>
    </row>
    <row r="207" spans="1:9" x14ac:dyDescent="0.35">
      <c r="A207" t="s">
        <v>304</v>
      </c>
      <c r="B207">
        <v>30</v>
      </c>
      <c r="C207">
        <v>90</v>
      </c>
      <c r="D207">
        <v>0.86650000000000005</v>
      </c>
      <c r="E207">
        <v>0.5151</v>
      </c>
      <c r="F207">
        <v>0.4</v>
      </c>
      <c r="G207">
        <v>0.3584</v>
      </c>
      <c r="H207">
        <v>0.2969</v>
      </c>
      <c r="I207">
        <v>0.26650000000000001</v>
      </c>
    </row>
    <row r="208" spans="1:9" x14ac:dyDescent="0.35">
      <c r="A208" t="s">
        <v>305</v>
      </c>
      <c r="B208">
        <v>30</v>
      </c>
      <c r="C208">
        <v>90</v>
      </c>
      <c r="D208">
        <v>1.1256999999999999</v>
      </c>
      <c r="E208">
        <v>0.74909999999999999</v>
      </c>
      <c r="F208">
        <v>0.62570000000000003</v>
      </c>
      <c r="G208">
        <v>0.58099999999999996</v>
      </c>
      <c r="H208">
        <v>0.5151</v>
      </c>
      <c r="I208">
        <v>0.48259999999999997</v>
      </c>
    </row>
    <row r="209" spans="1:9" x14ac:dyDescent="0.35">
      <c r="A209" t="s">
        <v>306</v>
      </c>
      <c r="B209">
        <v>30</v>
      </c>
      <c r="C209">
        <v>90</v>
      </c>
      <c r="D209">
        <v>1.6088</v>
      </c>
      <c r="E209">
        <v>1.2597</v>
      </c>
      <c r="F209">
        <v>1.1539999999999999</v>
      </c>
      <c r="G209">
        <v>1.1119000000000001</v>
      </c>
      <c r="H209">
        <v>1.0522</v>
      </c>
      <c r="I209">
        <v>1.0228999999999999</v>
      </c>
    </row>
    <row r="210" spans="1:9" x14ac:dyDescent="0.35">
      <c r="A210" t="s">
        <v>307</v>
      </c>
      <c r="B210">
        <v>30</v>
      </c>
      <c r="C210">
        <v>90</v>
      </c>
      <c r="D210">
        <v>1.1781999999999999</v>
      </c>
      <c r="E210">
        <v>0.7429</v>
      </c>
      <c r="F210">
        <v>0.6008</v>
      </c>
      <c r="G210">
        <v>0.54910000000000003</v>
      </c>
      <c r="H210">
        <v>0.47270000000000001</v>
      </c>
      <c r="I210">
        <v>0.43530000000000002</v>
      </c>
    </row>
    <row r="211" spans="1:9" x14ac:dyDescent="0.35">
      <c r="A211" t="s">
        <v>308</v>
      </c>
      <c r="B211">
        <v>30</v>
      </c>
      <c r="C211">
        <v>90</v>
      </c>
      <c r="D211">
        <v>2.1429</v>
      </c>
      <c r="E211">
        <v>1.7782</v>
      </c>
      <c r="F211">
        <v>1.5290999999999999</v>
      </c>
      <c r="G211">
        <v>1.3835999999999999</v>
      </c>
      <c r="H211">
        <v>1.2386999999999999</v>
      </c>
      <c r="I211">
        <v>1.2264999999999999</v>
      </c>
    </row>
    <row r="212" spans="1:9" x14ac:dyDescent="0.35">
      <c r="A212" t="s">
        <v>309</v>
      </c>
      <c r="B212">
        <v>30</v>
      </c>
      <c r="C212">
        <v>90</v>
      </c>
      <c r="D212">
        <v>0.97219999999999995</v>
      </c>
      <c r="E212">
        <v>0.59789999999999999</v>
      </c>
      <c r="F212">
        <v>0.47560000000000002</v>
      </c>
      <c r="G212">
        <v>0.43140000000000001</v>
      </c>
      <c r="H212">
        <v>0.36570000000000003</v>
      </c>
      <c r="I212">
        <v>0.33350000000000002</v>
      </c>
    </row>
    <row r="213" spans="1:9" x14ac:dyDescent="0.35">
      <c r="A213" t="s">
        <v>310</v>
      </c>
      <c r="B213">
        <v>30</v>
      </c>
      <c r="C213">
        <v>90</v>
      </c>
      <c r="D213">
        <v>1.4804999999999999</v>
      </c>
      <c r="E213">
        <v>0.8831</v>
      </c>
      <c r="F213">
        <v>0.68810000000000004</v>
      </c>
      <c r="G213">
        <v>0.61739999999999995</v>
      </c>
      <c r="H213">
        <v>0.51270000000000004</v>
      </c>
      <c r="I213">
        <v>0.46100000000000002</v>
      </c>
    </row>
    <row r="214" spans="1:9" x14ac:dyDescent="0.35">
      <c r="A214" t="s">
        <v>311</v>
      </c>
      <c r="B214">
        <v>30</v>
      </c>
      <c r="C214">
        <v>90</v>
      </c>
      <c r="D214">
        <v>0.86650000000000005</v>
      </c>
      <c r="E214">
        <v>0.5151</v>
      </c>
      <c r="F214">
        <v>0.4</v>
      </c>
      <c r="G214">
        <v>0.3584</v>
      </c>
      <c r="H214">
        <v>0.2969</v>
      </c>
      <c r="I214">
        <v>0.26650000000000001</v>
      </c>
    </row>
    <row r="215" spans="1:9" x14ac:dyDescent="0.35">
      <c r="A215" t="s">
        <v>312</v>
      </c>
      <c r="B215">
        <v>30</v>
      </c>
      <c r="C215">
        <v>90</v>
      </c>
      <c r="D215">
        <v>1.5678000000000001</v>
      </c>
      <c r="E215">
        <v>1.2577</v>
      </c>
      <c r="F215">
        <v>1.1327</v>
      </c>
      <c r="G215">
        <v>1.0784</v>
      </c>
      <c r="H215">
        <v>1.0317000000000001</v>
      </c>
      <c r="I215">
        <v>1.02</v>
      </c>
    </row>
    <row r="216" spans="1:9" x14ac:dyDescent="0.35">
      <c r="A216" t="s">
        <v>313</v>
      </c>
      <c r="B216">
        <v>30</v>
      </c>
      <c r="C216">
        <v>90</v>
      </c>
      <c r="D216">
        <v>1.4577</v>
      </c>
      <c r="E216">
        <v>1.0290999999999999</v>
      </c>
      <c r="F216">
        <v>0.91249999999999998</v>
      </c>
      <c r="G216">
        <v>0.84050000000000002</v>
      </c>
      <c r="H216">
        <v>0.80600000000000005</v>
      </c>
      <c r="I216">
        <v>0.79090000000000005</v>
      </c>
    </row>
    <row r="217" spans="1:9" x14ac:dyDescent="0.35">
      <c r="A217" t="s">
        <v>314</v>
      </c>
      <c r="B217">
        <v>15</v>
      </c>
      <c r="C217">
        <v>75</v>
      </c>
      <c r="D217">
        <v>0.49959999999999999</v>
      </c>
      <c r="E217">
        <v>0.38400000000000001</v>
      </c>
      <c r="F217">
        <v>0.34620000000000001</v>
      </c>
      <c r="G217">
        <v>0.33150000000000002</v>
      </c>
      <c r="H217">
        <v>0.31130000000000002</v>
      </c>
      <c r="I217">
        <v>0.30130000000000001</v>
      </c>
    </row>
    <row r="218" spans="1:9" x14ac:dyDescent="0.35">
      <c r="A218" t="s">
        <v>315</v>
      </c>
      <c r="B218">
        <v>30</v>
      </c>
      <c r="C218">
        <v>90</v>
      </c>
      <c r="D218">
        <v>2.0905999999999998</v>
      </c>
      <c r="E218">
        <v>1.0025999999999999</v>
      </c>
      <c r="F218">
        <v>0.69769999999999999</v>
      </c>
      <c r="G218">
        <v>0.63949999999999996</v>
      </c>
      <c r="H218">
        <v>0.59219999999999995</v>
      </c>
      <c r="I218">
        <v>0.58160000000000001</v>
      </c>
    </row>
    <row r="219" spans="1:9" x14ac:dyDescent="0.35">
      <c r="A219" t="s">
        <v>316</v>
      </c>
      <c r="B219">
        <v>30</v>
      </c>
      <c r="C219">
        <v>90</v>
      </c>
      <c r="D219">
        <v>4.0566000000000004</v>
      </c>
      <c r="E219">
        <v>3.0891000000000002</v>
      </c>
      <c r="F219">
        <v>2.5581999999999998</v>
      </c>
      <c r="G219">
        <v>2.0909</v>
      </c>
      <c r="H219">
        <v>2.0447000000000002</v>
      </c>
      <c r="I219">
        <v>2.0325000000000002</v>
      </c>
    </row>
    <row r="220" spans="1:9" x14ac:dyDescent="0.35">
      <c r="A220" t="s">
        <v>317</v>
      </c>
      <c r="B220">
        <v>30</v>
      </c>
      <c r="C220">
        <v>90</v>
      </c>
      <c r="D220">
        <v>1.5636000000000001</v>
      </c>
      <c r="E220">
        <v>1.054</v>
      </c>
      <c r="F220">
        <v>0.93920000000000003</v>
      </c>
      <c r="G220">
        <v>0.89429999999999998</v>
      </c>
      <c r="H220">
        <v>0.87250000000000005</v>
      </c>
      <c r="I220">
        <v>0.86180000000000001</v>
      </c>
    </row>
    <row r="221" spans="1:9" x14ac:dyDescent="0.35">
      <c r="A221" t="s">
        <v>318</v>
      </c>
      <c r="B221">
        <v>30</v>
      </c>
      <c r="C221">
        <v>90</v>
      </c>
      <c r="D221">
        <v>0.91790000000000005</v>
      </c>
      <c r="E221">
        <v>0.5413</v>
      </c>
      <c r="F221">
        <v>0.41789999999999999</v>
      </c>
      <c r="G221">
        <v>0.37319999999999998</v>
      </c>
      <c r="H221">
        <v>0.30730000000000002</v>
      </c>
      <c r="I221">
        <v>0.27479999999999999</v>
      </c>
    </row>
    <row r="222" spans="1:9" x14ac:dyDescent="0.35">
      <c r="A222" t="s">
        <v>319</v>
      </c>
      <c r="B222">
        <v>30</v>
      </c>
      <c r="C222">
        <v>90</v>
      </c>
      <c r="D222">
        <v>1.8608</v>
      </c>
      <c r="E222">
        <v>1.2343</v>
      </c>
      <c r="F222">
        <v>1.0138</v>
      </c>
      <c r="G222">
        <v>0.93559999999999999</v>
      </c>
      <c r="H222">
        <v>0.88649999999999995</v>
      </c>
      <c r="I222">
        <v>0.87429999999999997</v>
      </c>
    </row>
    <row r="223" spans="1:9" x14ac:dyDescent="0.35">
      <c r="A223" t="s">
        <v>320</v>
      </c>
      <c r="B223">
        <v>20</v>
      </c>
      <c r="C223">
        <v>75</v>
      </c>
      <c r="D223">
        <v>1.0451999999999999</v>
      </c>
      <c r="E223">
        <v>0.55689999999999995</v>
      </c>
      <c r="F223">
        <v>0.39710000000000001</v>
      </c>
      <c r="G223">
        <v>0.20100000000000001</v>
      </c>
      <c r="H223">
        <v>0.15040000000000001</v>
      </c>
      <c r="I223">
        <v>0.1255</v>
      </c>
    </row>
    <row r="224" spans="1:9" x14ac:dyDescent="0.35">
      <c r="A224" t="s">
        <v>58</v>
      </c>
      <c r="B224">
        <v>20</v>
      </c>
      <c r="C224">
        <v>75</v>
      </c>
      <c r="D224">
        <v>0.61140000000000005</v>
      </c>
      <c r="E224">
        <v>0.32569999999999999</v>
      </c>
      <c r="F224">
        <v>0.23250000000000001</v>
      </c>
      <c r="G224">
        <v>0.1943</v>
      </c>
      <c r="H224">
        <v>0.1452</v>
      </c>
      <c r="I224">
        <v>0.121</v>
      </c>
    </row>
    <row r="225" spans="1:9" x14ac:dyDescent="0.35">
      <c r="A225" t="s">
        <v>321</v>
      </c>
      <c r="B225">
        <v>30</v>
      </c>
      <c r="C225">
        <v>90</v>
      </c>
      <c r="D225">
        <v>1.0738000000000001</v>
      </c>
      <c r="E225">
        <v>0.72470000000000001</v>
      </c>
      <c r="F225">
        <v>0.61899999999999999</v>
      </c>
      <c r="G225">
        <v>0.57689999999999997</v>
      </c>
      <c r="H225">
        <v>0.5171</v>
      </c>
      <c r="I225">
        <v>0.48780000000000001</v>
      </c>
    </row>
    <row r="226" spans="1:9" x14ac:dyDescent="0.35">
      <c r="A226" t="s">
        <v>322</v>
      </c>
      <c r="B226">
        <v>20</v>
      </c>
      <c r="C226">
        <v>75</v>
      </c>
      <c r="D226">
        <v>0.76680000000000004</v>
      </c>
      <c r="E226">
        <v>0.5242</v>
      </c>
      <c r="F226">
        <v>0.44440000000000002</v>
      </c>
      <c r="G226">
        <v>0.41399999999999998</v>
      </c>
      <c r="H226">
        <v>0.37169999999999997</v>
      </c>
      <c r="I226">
        <v>0.35089999999999999</v>
      </c>
    </row>
    <row r="227" spans="1:9" x14ac:dyDescent="0.35">
      <c r="A227" t="s">
        <v>323</v>
      </c>
      <c r="B227">
        <v>30</v>
      </c>
      <c r="C227">
        <v>90</v>
      </c>
      <c r="D227">
        <v>1.8299000000000001</v>
      </c>
      <c r="E227">
        <v>1.4369000000000001</v>
      </c>
      <c r="F227">
        <v>1.3170999999999999</v>
      </c>
      <c r="G227">
        <v>1.1742999999999999</v>
      </c>
      <c r="H227">
        <v>1.1047</v>
      </c>
      <c r="I227">
        <v>1.0913999999999999</v>
      </c>
    </row>
    <row r="228" spans="1:9" x14ac:dyDescent="0.35">
      <c r="A228" t="s">
        <v>324</v>
      </c>
      <c r="B228">
        <v>30</v>
      </c>
      <c r="C228">
        <v>90</v>
      </c>
      <c r="D228">
        <v>0.93269999999999997</v>
      </c>
      <c r="E228">
        <v>0.6603</v>
      </c>
      <c r="F228">
        <v>0.57950000000000002</v>
      </c>
      <c r="G228">
        <v>0.53249999999999997</v>
      </c>
      <c r="H228">
        <v>0.49740000000000001</v>
      </c>
      <c r="I228">
        <v>0.4849</v>
      </c>
    </row>
    <row r="229" spans="1:9" x14ac:dyDescent="0.35">
      <c r="A229" t="s">
        <v>325</v>
      </c>
      <c r="B229">
        <v>30</v>
      </c>
      <c r="C229">
        <v>90</v>
      </c>
      <c r="D229">
        <v>2.2896000000000001</v>
      </c>
      <c r="E229">
        <v>1.4597</v>
      </c>
      <c r="F229">
        <v>1.2795000000000001</v>
      </c>
      <c r="G229">
        <v>1.2379</v>
      </c>
      <c r="H229">
        <v>1.1900999999999999</v>
      </c>
      <c r="I229">
        <v>1.1795</v>
      </c>
    </row>
    <row r="230" spans="1:9" x14ac:dyDescent="0.35">
      <c r="A230" t="s">
        <v>326</v>
      </c>
      <c r="B230">
        <v>30</v>
      </c>
      <c r="C230">
        <v>90</v>
      </c>
      <c r="D230">
        <v>1.8540000000000001</v>
      </c>
      <c r="E230">
        <v>1.3844000000000001</v>
      </c>
      <c r="F230">
        <v>1.1012999999999999</v>
      </c>
      <c r="G230">
        <v>0.92130000000000001</v>
      </c>
      <c r="H230">
        <v>0.77869999999999995</v>
      </c>
      <c r="I230">
        <v>0.76649999999999996</v>
      </c>
    </row>
    <row r="231" spans="1:9" x14ac:dyDescent="0.35">
      <c r="A231" t="s">
        <v>327</v>
      </c>
      <c r="B231">
        <v>30</v>
      </c>
      <c r="C231">
        <v>90</v>
      </c>
      <c r="D231">
        <v>3.4491000000000001</v>
      </c>
      <c r="E231">
        <v>2.6469999999999998</v>
      </c>
      <c r="F231">
        <v>2.2681</v>
      </c>
      <c r="G231">
        <v>1.8179000000000001</v>
      </c>
      <c r="H231">
        <v>1.7805</v>
      </c>
      <c r="I231">
        <v>1.7683</v>
      </c>
    </row>
    <row r="232" spans="1:9" x14ac:dyDescent="0.35">
      <c r="A232" t="s">
        <v>328</v>
      </c>
      <c r="B232">
        <v>30</v>
      </c>
      <c r="C232">
        <v>90</v>
      </c>
      <c r="D232">
        <v>1.4947999999999999</v>
      </c>
      <c r="E232">
        <v>1.1938</v>
      </c>
      <c r="F232">
        <v>1.0899000000000001</v>
      </c>
      <c r="G232">
        <v>0.98029999999999995</v>
      </c>
      <c r="H232">
        <v>0.93530000000000002</v>
      </c>
      <c r="I232">
        <v>0.9234</v>
      </c>
    </row>
    <row r="233" spans="1:9" x14ac:dyDescent="0.35">
      <c r="A233" t="s">
        <v>329</v>
      </c>
      <c r="B233">
        <v>30</v>
      </c>
      <c r="C233">
        <v>90</v>
      </c>
      <c r="D233">
        <v>4.2454999999999998</v>
      </c>
      <c r="E233">
        <v>2.7086000000000001</v>
      </c>
      <c r="F233">
        <v>2.5390000000000001</v>
      </c>
      <c r="G233">
        <v>2.4278</v>
      </c>
      <c r="H233">
        <v>2.3843999999999999</v>
      </c>
      <c r="I233">
        <v>2.3662000000000001</v>
      </c>
    </row>
    <row r="234" spans="1:9" x14ac:dyDescent="0.35">
      <c r="A234" t="s">
        <v>330</v>
      </c>
      <c r="B234">
        <v>30</v>
      </c>
      <c r="C234">
        <v>90</v>
      </c>
      <c r="D234">
        <v>2.6448999999999998</v>
      </c>
      <c r="E234">
        <v>1.893</v>
      </c>
      <c r="F234">
        <v>1.6795</v>
      </c>
      <c r="G234">
        <v>1.5192000000000001</v>
      </c>
      <c r="H234">
        <v>1.4514</v>
      </c>
      <c r="I234">
        <v>1.4392</v>
      </c>
    </row>
    <row r="235" spans="1:9" x14ac:dyDescent="0.35">
      <c r="A235" t="s">
        <v>331</v>
      </c>
      <c r="B235">
        <v>20</v>
      </c>
      <c r="C235">
        <v>75</v>
      </c>
      <c r="D235">
        <v>0.99580000000000002</v>
      </c>
      <c r="E235">
        <v>0.73119999999999996</v>
      </c>
      <c r="F235">
        <v>0.64419999999999999</v>
      </c>
      <c r="G235">
        <v>0.6109</v>
      </c>
      <c r="H235">
        <v>0.56489999999999996</v>
      </c>
      <c r="I235">
        <v>0.5423</v>
      </c>
    </row>
    <row r="236" spans="1:9" x14ac:dyDescent="0.35">
      <c r="A236" t="s">
        <v>332</v>
      </c>
      <c r="B236">
        <v>20</v>
      </c>
      <c r="C236">
        <v>75</v>
      </c>
      <c r="D236">
        <v>1.1900999999999999</v>
      </c>
      <c r="E236">
        <v>0.94750000000000001</v>
      </c>
      <c r="F236">
        <v>0.86780000000000002</v>
      </c>
      <c r="G236">
        <v>0.83740000000000003</v>
      </c>
      <c r="H236">
        <v>0.79510000000000003</v>
      </c>
      <c r="I236">
        <v>0.77429999999999999</v>
      </c>
    </row>
    <row r="237" spans="1:9" x14ac:dyDescent="0.35">
      <c r="A237" t="s">
        <v>333</v>
      </c>
      <c r="B237">
        <v>20</v>
      </c>
      <c r="C237">
        <v>75</v>
      </c>
      <c r="D237">
        <v>0.83950000000000002</v>
      </c>
      <c r="E237">
        <v>0.59689999999999999</v>
      </c>
      <c r="F237">
        <v>0.5171</v>
      </c>
      <c r="G237">
        <v>0.48680000000000001</v>
      </c>
      <c r="H237">
        <v>0.44440000000000002</v>
      </c>
      <c r="I237">
        <v>0.42359999999999998</v>
      </c>
    </row>
    <row r="238" spans="1:9" x14ac:dyDescent="0.35">
      <c r="A238" t="s">
        <v>334</v>
      </c>
      <c r="B238">
        <v>30</v>
      </c>
      <c r="C238">
        <v>90</v>
      </c>
      <c r="D238">
        <v>2.0642</v>
      </c>
      <c r="E238">
        <v>1.5361</v>
      </c>
      <c r="F238">
        <v>1.3745000000000001</v>
      </c>
      <c r="G238">
        <v>1.3028999999999999</v>
      </c>
      <c r="H238">
        <v>1.2499</v>
      </c>
      <c r="I238">
        <v>1.2377</v>
      </c>
    </row>
    <row r="239" spans="1:9" x14ac:dyDescent="0.35">
      <c r="A239" t="s">
        <v>335</v>
      </c>
      <c r="B239">
        <v>30</v>
      </c>
      <c r="C239">
        <v>90</v>
      </c>
      <c r="D239">
        <v>1.9542999999999999</v>
      </c>
      <c r="E239">
        <v>1.2595000000000001</v>
      </c>
      <c r="F239">
        <v>0.97740000000000005</v>
      </c>
      <c r="G239">
        <v>0.83689999999999998</v>
      </c>
      <c r="H239">
        <v>0.75609999999999999</v>
      </c>
      <c r="I239">
        <v>0.74390000000000001</v>
      </c>
    </row>
    <row r="240" spans="1:9" x14ac:dyDescent="0.35">
      <c r="A240" t="s">
        <v>336</v>
      </c>
      <c r="B240">
        <v>30</v>
      </c>
      <c r="C240">
        <v>90</v>
      </c>
      <c r="D240">
        <v>1.0738000000000001</v>
      </c>
      <c r="E240">
        <v>0.72470000000000001</v>
      </c>
      <c r="F240">
        <v>0.61899999999999999</v>
      </c>
      <c r="G240">
        <v>0.57689999999999997</v>
      </c>
      <c r="H240">
        <v>0.5171</v>
      </c>
      <c r="I240">
        <v>0.48780000000000001</v>
      </c>
    </row>
    <row r="241" spans="1:9" x14ac:dyDescent="0.35">
      <c r="A241" t="s">
        <v>337</v>
      </c>
      <c r="B241">
        <v>30</v>
      </c>
      <c r="C241">
        <v>90</v>
      </c>
      <c r="D241">
        <v>0.97789999999999999</v>
      </c>
      <c r="E241">
        <v>0.57299999999999995</v>
      </c>
      <c r="F241">
        <v>0.44080000000000003</v>
      </c>
      <c r="G241">
        <v>0.39269999999999999</v>
      </c>
      <c r="H241">
        <v>0.32179999999999997</v>
      </c>
      <c r="I241">
        <v>0.28699999999999998</v>
      </c>
    </row>
    <row r="242" spans="1:9" x14ac:dyDescent="0.35">
      <c r="A242" t="s">
        <v>338</v>
      </c>
      <c r="B242">
        <v>30</v>
      </c>
      <c r="C242">
        <v>90</v>
      </c>
      <c r="D242">
        <v>1.3537999999999999</v>
      </c>
      <c r="E242">
        <v>0.98550000000000004</v>
      </c>
      <c r="F242">
        <v>0.79610000000000003</v>
      </c>
      <c r="G242">
        <v>0.70230000000000004</v>
      </c>
      <c r="H242">
        <v>0.67610000000000003</v>
      </c>
      <c r="I242">
        <v>0.66390000000000005</v>
      </c>
    </row>
    <row r="243" spans="1:9" x14ac:dyDescent="0.35">
      <c r="A243" t="s">
        <v>339</v>
      </c>
      <c r="B243">
        <v>30</v>
      </c>
      <c r="C243">
        <v>90</v>
      </c>
      <c r="D243">
        <v>1.1339999999999999</v>
      </c>
      <c r="E243">
        <v>0.69869999999999999</v>
      </c>
      <c r="F243">
        <v>0.55659999999999998</v>
      </c>
      <c r="G243">
        <v>0.50490000000000002</v>
      </c>
      <c r="H243">
        <v>0.42880000000000001</v>
      </c>
      <c r="I243">
        <v>0.39119999999999999</v>
      </c>
    </row>
    <row r="244" spans="1:9" x14ac:dyDescent="0.35">
      <c r="A244" t="s">
        <v>340</v>
      </c>
      <c r="B244">
        <v>30</v>
      </c>
      <c r="C244">
        <v>90</v>
      </c>
      <c r="D244">
        <v>2.8054999999999999</v>
      </c>
      <c r="E244">
        <v>2.1179000000000001</v>
      </c>
      <c r="F244">
        <v>1.7332000000000001</v>
      </c>
      <c r="G244">
        <v>1.6948000000000001</v>
      </c>
      <c r="H244">
        <v>1.6682999999999999</v>
      </c>
      <c r="I244">
        <v>1.6560999999999999</v>
      </c>
    </row>
    <row r="245" spans="1:9" x14ac:dyDescent="0.35">
      <c r="A245" t="s">
        <v>341</v>
      </c>
      <c r="B245">
        <v>30</v>
      </c>
      <c r="C245">
        <v>90</v>
      </c>
      <c r="D245">
        <v>1.1339999999999999</v>
      </c>
      <c r="E245">
        <v>0.69869999999999999</v>
      </c>
      <c r="F245">
        <v>0.55659999999999998</v>
      </c>
      <c r="G245">
        <v>0.50490000000000002</v>
      </c>
      <c r="H245">
        <v>0.42880000000000001</v>
      </c>
      <c r="I245">
        <v>0.39119999999999999</v>
      </c>
    </row>
    <row r="246" spans="1:9" x14ac:dyDescent="0.35">
      <c r="A246" t="s">
        <v>342</v>
      </c>
      <c r="B246">
        <v>30</v>
      </c>
      <c r="C246">
        <v>90</v>
      </c>
      <c r="D246">
        <v>1.0717000000000001</v>
      </c>
      <c r="E246">
        <v>0.72030000000000005</v>
      </c>
      <c r="F246">
        <v>0.60519999999999996</v>
      </c>
      <c r="G246">
        <v>0.56359999999999999</v>
      </c>
      <c r="H246">
        <v>0.50209999999999999</v>
      </c>
      <c r="I246">
        <v>0.47170000000000001</v>
      </c>
    </row>
    <row r="247" spans="1:9" x14ac:dyDescent="0.35">
      <c r="A247" t="s">
        <v>343</v>
      </c>
      <c r="B247">
        <v>30</v>
      </c>
      <c r="C247">
        <v>90</v>
      </c>
      <c r="D247">
        <v>1.2008000000000001</v>
      </c>
      <c r="E247">
        <v>0.95479999999999998</v>
      </c>
      <c r="F247">
        <v>0.73919999999999997</v>
      </c>
      <c r="G247">
        <v>0.69220000000000004</v>
      </c>
      <c r="H247">
        <v>0.66569999999999996</v>
      </c>
      <c r="I247">
        <v>0.65349999999999997</v>
      </c>
    </row>
    <row r="248" spans="1:9" x14ac:dyDescent="0.35">
      <c r="A248" t="s">
        <v>344</v>
      </c>
      <c r="B248">
        <v>30</v>
      </c>
      <c r="C248">
        <v>90</v>
      </c>
      <c r="D248">
        <v>1.2948</v>
      </c>
      <c r="E248">
        <v>0.88990000000000002</v>
      </c>
      <c r="F248">
        <v>0.75770000000000004</v>
      </c>
      <c r="G248">
        <v>0.70960000000000001</v>
      </c>
      <c r="H248">
        <v>0.63870000000000005</v>
      </c>
      <c r="I248">
        <v>0.60389999999999999</v>
      </c>
    </row>
    <row r="249" spans="1:9" x14ac:dyDescent="0.35">
      <c r="A249" t="s">
        <v>345</v>
      </c>
      <c r="B249">
        <v>30</v>
      </c>
      <c r="C249">
        <v>90</v>
      </c>
      <c r="D249">
        <v>1.2609999999999999</v>
      </c>
      <c r="E249">
        <v>0.84489999999999998</v>
      </c>
      <c r="F249">
        <v>0.73560000000000003</v>
      </c>
      <c r="G249">
        <v>0.62649999999999995</v>
      </c>
      <c r="H249">
        <v>0.55789999999999995</v>
      </c>
      <c r="I249">
        <v>0.54620000000000002</v>
      </c>
    </row>
    <row r="250" spans="1:9" x14ac:dyDescent="0.35">
      <c r="A250" t="s">
        <v>346</v>
      </c>
      <c r="B250">
        <v>30</v>
      </c>
      <c r="C250">
        <v>90</v>
      </c>
      <c r="D250">
        <v>4.1348000000000003</v>
      </c>
      <c r="E250">
        <v>3.7212999999999998</v>
      </c>
      <c r="F250">
        <v>3.6345000000000001</v>
      </c>
      <c r="G250">
        <v>3.5792000000000002</v>
      </c>
      <c r="H250">
        <v>3.5278</v>
      </c>
      <c r="I250">
        <v>3.5160999999999998</v>
      </c>
    </row>
    <row r="251" spans="1:9" x14ac:dyDescent="0.35">
      <c r="A251" t="s">
        <v>347</v>
      </c>
      <c r="B251">
        <v>30</v>
      </c>
      <c r="C251">
        <v>90</v>
      </c>
      <c r="D251">
        <v>1.0815999999999999</v>
      </c>
      <c r="E251">
        <v>0.88339999999999996</v>
      </c>
      <c r="F251">
        <v>0.81040000000000001</v>
      </c>
      <c r="G251">
        <v>0.72650000000000003</v>
      </c>
      <c r="H251">
        <v>0.61839999999999995</v>
      </c>
      <c r="I251">
        <v>0.60680000000000001</v>
      </c>
    </row>
    <row r="252" spans="1:9" x14ac:dyDescent="0.35">
      <c r="A252" t="s">
        <v>348</v>
      </c>
      <c r="B252">
        <v>30</v>
      </c>
      <c r="C252">
        <v>90</v>
      </c>
      <c r="D252">
        <v>0.97219999999999995</v>
      </c>
      <c r="E252">
        <v>0.59789999999999999</v>
      </c>
      <c r="F252">
        <v>0.47560000000000002</v>
      </c>
      <c r="G252">
        <v>0.43140000000000001</v>
      </c>
      <c r="H252">
        <v>0.36570000000000003</v>
      </c>
      <c r="I252">
        <v>0.33350000000000002</v>
      </c>
    </row>
    <row r="253" spans="1:9" x14ac:dyDescent="0.35">
      <c r="A253" t="s">
        <v>349</v>
      </c>
      <c r="B253">
        <v>30</v>
      </c>
      <c r="C253">
        <v>90</v>
      </c>
      <c r="D253">
        <v>1.7434000000000001</v>
      </c>
      <c r="E253">
        <v>1.3891</v>
      </c>
      <c r="F253">
        <v>1.0893999999999999</v>
      </c>
      <c r="G253">
        <v>0.84750000000000003</v>
      </c>
      <c r="H253">
        <v>0.7823</v>
      </c>
      <c r="I253">
        <v>0.76939999999999997</v>
      </c>
    </row>
    <row r="254" spans="1:9" x14ac:dyDescent="0.35">
      <c r="A254" t="s">
        <v>350</v>
      </c>
      <c r="B254">
        <v>20</v>
      </c>
      <c r="C254">
        <v>75</v>
      </c>
      <c r="D254">
        <v>0.67900000000000005</v>
      </c>
      <c r="E254">
        <v>0.4143</v>
      </c>
      <c r="F254">
        <v>0.32729999999999998</v>
      </c>
      <c r="G254">
        <v>0.29399999999999998</v>
      </c>
      <c r="H254">
        <v>0.24809999999999999</v>
      </c>
      <c r="I254">
        <v>0.22550000000000001</v>
      </c>
    </row>
    <row r="255" spans="1:9" x14ac:dyDescent="0.35">
      <c r="A255" t="s">
        <v>351</v>
      </c>
      <c r="B255">
        <v>30</v>
      </c>
      <c r="C255">
        <v>90</v>
      </c>
      <c r="D255">
        <v>1.1857</v>
      </c>
      <c r="E255">
        <v>0.78080000000000005</v>
      </c>
      <c r="F255">
        <v>0.64859999999999995</v>
      </c>
      <c r="G255">
        <v>0.60050000000000003</v>
      </c>
      <c r="H255">
        <v>0.52959999999999996</v>
      </c>
      <c r="I255">
        <v>0.49480000000000002</v>
      </c>
    </row>
    <row r="256" spans="1:9" x14ac:dyDescent="0.35">
      <c r="A256" t="s">
        <v>352</v>
      </c>
      <c r="B256">
        <v>30</v>
      </c>
      <c r="C256">
        <v>90</v>
      </c>
      <c r="D256">
        <v>1.0317000000000001</v>
      </c>
      <c r="E256">
        <v>0.62960000000000005</v>
      </c>
      <c r="F256">
        <v>0.49819999999999998</v>
      </c>
      <c r="G256">
        <v>0.4506</v>
      </c>
      <c r="H256">
        <v>0.38030000000000003</v>
      </c>
      <c r="I256">
        <v>0.34549999999999997</v>
      </c>
    </row>
    <row r="257" spans="1:9" x14ac:dyDescent="0.35">
      <c r="A257" t="s">
        <v>353</v>
      </c>
      <c r="B257">
        <v>30</v>
      </c>
      <c r="C257">
        <v>90</v>
      </c>
      <c r="D257">
        <v>2.7875000000000001</v>
      </c>
      <c r="E257">
        <v>2.1579000000000002</v>
      </c>
      <c r="F257">
        <v>2.0331999999999999</v>
      </c>
      <c r="G257">
        <v>1.5984</v>
      </c>
      <c r="H257">
        <v>1.5660000000000001</v>
      </c>
      <c r="I257">
        <v>1.5504</v>
      </c>
    </row>
    <row r="258" spans="1:9" x14ac:dyDescent="0.35">
      <c r="A258" t="s">
        <v>354</v>
      </c>
      <c r="B258">
        <v>30</v>
      </c>
      <c r="C258">
        <v>90</v>
      </c>
      <c r="D258">
        <v>0.86650000000000005</v>
      </c>
      <c r="E258">
        <v>0.5151</v>
      </c>
      <c r="F258">
        <v>0.4</v>
      </c>
      <c r="G258">
        <v>0.3584</v>
      </c>
      <c r="H258">
        <v>0.2969</v>
      </c>
      <c r="I258">
        <v>0.26650000000000001</v>
      </c>
    </row>
    <row r="259" spans="1:9" x14ac:dyDescent="0.35">
      <c r="A259" t="s">
        <v>355</v>
      </c>
      <c r="B259">
        <v>30</v>
      </c>
      <c r="C259">
        <v>90</v>
      </c>
      <c r="D259">
        <v>1.0501</v>
      </c>
      <c r="E259">
        <v>0.71789999999999998</v>
      </c>
      <c r="F259">
        <v>0.63380000000000003</v>
      </c>
      <c r="G259">
        <v>0.56440000000000001</v>
      </c>
      <c r="H259">
        <v>0.50080000000000002</v>
      </c>
      <c r="I259">
        <v>0.48909999999999998</v>
      </c>
    </row>
    <row r="260" spans="1:9" x14ac:dyDescent="0.35">
      <c r="A260" t="s">
        <v>356</v>
      </c>
      <c r="B260">
        <v>30</v>
      </c>
      <c r="C260">
        <v>90</v>
      </c>
      <c r="D260">
        <v>2.1029</v>
      </c>
      <c r="E260">
        <v>1.2694000000000001</v>
      </c>
      <c r="F260">
        <v>0.99709999999999999</v>
      </c>
      <c r="G260">
        <v>0.89839999999999998</v>
      </c>
      <c r="H260">
        <v>0.75249999999999995</v>
      </c>
      <c r="I260">
        <v>0.68030000000000002</v>
      </c>
    </row>
    <row r="261" spans="1:9" x14ac:dyDescent="0.35">
      <c r="A261" t="s">
        <v>357</v>
      </c>
      <c r="B261">
        <v>30</v>
      </c>
      <c r="C261">
        <v>90</v>
      </c>
      <c r="D261">
        <v>1.1339999999999999</v>
      </c>
      <c r="E261">
        <v>0.69869999999999999</v>
      </c>
      <c r="F261">
        <v>0.55659999999999998</v>
      </c>
      <c r="G261">
        <v>0.50490000000000002</v>
      </c>
      <c r="H261">
        <v>0.42880000000000001</v>
      </c>
      <c r="I261">
        <v>0.39119999999999999</v>
      </c>
    </row>
    <row r="262" spans="1:9" x14ac:dyDescent="0.35">
      <c r="A262" t="s">
        <v>358</v>
      </c>
      <c r="B262">
        <v>30</v>
      </c>
      <c r="C262">
        <v>90</v>
      </c>
      <c r="D262">
        <v>1.7335</v>
      </c>
      <c r="E262">
        <v>1.3734999999999999</v>
      </c>
      <c r="F262">
        <v>1.2202999999999999</v>
      </c>
      <c r="G262">
        <v>1.1366000000000001</v>
      </c>
      <c r="H262">
        <v>1.0368999999999999</v>
      </c>
      <c r="I262">
        <v>1.0246999999999999</v>
      </c>
    </row>
    <row r="263" spans="1:9" x14ac:dyDescent="0.35">
      <c r="A263" t="s">
        <v>359</v>
      </c>
      <c r="B263">
        <v>30</v>
      </c>
      <c r="C263">
        <v>90</v>
      </c>
      <c r="D263">
        <v>1.2109000000000001</v>
      </c>
      <c r="E263">
        <v>0.72599999999999998</v>
      </c>
      <c r="F263">
        <v>0.56310000000000004</v>
      </c>
      <c r="G263">
        <v>0.49059999999999998</v>
      </c>
      <c r="H263">
        <v>0.4345</v>
      </c>
      <c r="I263">
        <v>0.42230000000000001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89628-4A79-4B2B-9CC5-11AED29AF8F0}">
  <sheetPr codeName="Sheet8"/>
  <dimension ref="A1:B13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64</v>
      </c>
      <c r="B1" t="s">
        <v>60</v>
      </c>
    </row>
    <row r="2" spans="1:2" x14ac:dyDescent="0.35">
      <c r="A2" t="s">
        <v>65</v>
      </c>
      <c r="B2" t="s">
        <v>66</v>
      </c>
    </row>
    <row r="3" spans="1:2" x14ac:dyDescent="0.35">
      <c r="A3" t="s">
        <v>67</v>
      </c>
      <c r="B3" t="s">
        <v>68</v>
      </c>
    </row>
    <row r="4" spans="1:2" x14ac:dyDescent="0.35">
      <c r="A4" t="s">
        <v>69</v>
      </c>
      <c r="B4" t="s">
        <v>70</v>
      </c>
    </row>
    <row r="5" spans="1:2" x14ac:dyDescent="0.35">
      <c r="A5" t="s">
        <v>71</v>
      </c>
      <c r="B5" t="s">
        <v>72</v>
      </c>
    </row>
    <row r="6" spans="1:2" x14ac:dyDescent="0.35">
      <c r="A6" t="s">
        <v>73</v>
      </c>
      <c r="B6" t="s">
        <v>74</v>
      </c>
    </row>
    <row r="7" spans="1:2" x14ac:dyDescent="0.35">
      <c r="A7" t="s">
        <v>75</v>
      </c>
      <c r="B7" t="s">
        <v>76</v>
      </c>
    </row>
    <row r="8" spans="1:2" x14ac:dyDescent="0.35">
      <c r="A8" t="s">
        <v>77</v>
      </c>
      <c r="B8" t="s">
        <v>78</v>
      </c>
    </row>
    <row r="9" spans="1:2" x14ac:dyDescent="0.35">
      <c r="A9" t="s">
        <v>79</v>
      </c>
      <c r="B9" t="s">
        <v>80</v>
      </c>
    </row>
    <row r="10" spans="1:2" x14ac:dyDescent="0.35">
      <c r="A10" t="s">
        <v>81</v>
      </c>
      <c r="B10" t="s">
        <v>82</v>
      </c>
    </row>
    <row r="11" spans="1:2" x14ac:dyDescent="0.35">
      <c r="A11" t="s">
        <v>83</v>
      </c>
      <c r="B11" t="s">
        <v>84</v>
      </c>
    </row>
    <row r="12" spans="1:2" x14ac:dyDescent="0.35">
      <c r="A12" t="s">
        <v>85</v>
      </c>
      <c r="B12" t="s">
        <v>86</v>
      </c>
    </row>
    <row r="13" spans="1:2" x14ac:dyDescent="0.35">
      <c r="A13" t="s">
        <v>87</v>
      </c>
      <c r="B13" t="s">
        <v>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E24CF-9381-4821-8FCB-90D3754F4F04}">
  <sheetPr codeName="Sheet11"/>
  <dimension ref="A1:D3"/>
  <sheetViews>
    <sheetView workbookViewId="0">
      <selection activeCell="A2" sqref="A2"/>
    </sheetView>
  </sheetViews>
  <sheetFormatPr defaultRowHeight="14.5" x14ac:dyDescent="0.35"/>
  <cols>
    <col min="1" max="1" width="31" bestFit="1" customWidth="1"/>
    <col min="2" max="3" width="11.453125" bestFit="1" customWidth="1"/>
    <col min="4" max="4" width="41.453125" bestFit="1" customWidth="1"/>
  </cols>
  <sheetData>
    <row r="1" spans="1:4" x14ac:dyDescent="0.35">
      <c r="A1" t="s">
        <v>485</v>
      </c>
      <c r="B1" t="s">
        <v>60</v>
      </c>
      <c r="C1" t="s">
        <v>486</v>
      </c>
      <c r="D1" t="s">
        <v>487</v>
      </c>
    </row>
    <row r="2" spans="1:4" x14ac:dyDescent="0.35">
      <c r="A2" t="s">
        <v>61</v>
      </c>
      <c r="B2" t="s">
        <v>396</v>
      </c>
      <c r="C2">
        <v>128</v>
      </c>
      <c r="D2" t="s">
        <v>62</v>
      </c>
    </row>
    <row r="3" spans="1:4" x14ac:dyDescent="0.35">
      <c r="A3" t="s">
        <v>63</v>
      </c>
      <c r="B3" t="s">
        <v>396</v>
      </c>
      <c r="C3">
        <v>196</v>
      </c>
      <c r="D3" t="s">
        <v>62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6A1F9-5BC0-46A6-83F3-65FBD40F6C46}">
  <sheetPr codeName="Sheet12"/>
  <dimension ref="A1:M35"/>
  <sheetViews>
    <sheetView workbookViewId="0">
      <selection activeCell="G18" sqref="G18"/>
    </sheetView>
  </sheetViews>
  <sheetFormatPr defaultRowHeight="14.5" x14ac:dyDescent="0.35"/>
  <cols>
    <col min="4" max="4" width="13" bestFit="1" customWidth="1"/>
  </cols>
  <sheetData>
    <row r="1" spans="1:13" x14ac:dyDescent="0.35">
      <c r="A1" t="s">
        <v>556</v>
      </c>
      <c r="B1" t="s">
        <v>557</v>
      </c>
      <c r="C1" t="s">
        <v>558</v>
      </c>
      <c r="D1" t="s">
        <v>559</v>
      </c>
      <c r="E1" t="s">
        <v>560</v>
      </c>
      <c r="F1" t="s">
        <v>561</v>
      </c>
      <c r="G1" t="s">
        <v>562</v>
      </c>
      <c r="H1" t="s">
        <v>563</v>
      </c>
      <c r="I1" t="s">
        <v>564</v>
      </c>
      <c r="J1" t="s">
        <v>565</v>
      </c>
      <c r="K1" t="s">
        <v>566</v>
      </c>
      <c r="L1" t="s">
        <v>567</v>
      </c>
      <c r="M1" t="s">
        <v>568</v>
      </c>
    </row>
    <row r="2" spans="1:13" x14ac:dyDescent="0.35">
      <c r="A2" t="s">
        <v>488</v>
      </c>
      <c r="B2" t="s">
        <v>387</v>
      </c>
      <c r="C2" t="s">
        <v>489</v>
      </c>
      <c r="D2" t="s">
        <v>490</v>
      </c>
      <c r="E2">
        <v>2700</v>
      </c>
      <c r="F2">
        <v>3200</v>
      </c>
      <c r="G2">
        <v>2950</v>
      </c>
      <c r="H2" t="s">
        <v>491</v>
      </c>
      <c r="I2">
        <v>1300</v>
      </c>
      <c r="J2">
        <v>0</v>
      </c>
      <c r="K2" t="s">
        <v>492</v>
      </c>
      <c r="L2" t="s">
        <v>15</v>
      </c>
      <c r="M2" t="s">
        <v>493</v>
      </c>
    </row>
    <row r="3" spans="1:13" x14ac:dyDescent="0.35">
      <c r="A3" t="s">
        <v>488</v>
      </c>
      <c r="B3" t="s">
        <v>387</v>
      </c>
      <c r="C3" t="s">
        <v>494</v>
      </c>
      <c r="D3" t="s">
        <v>490</v>
      </c>
      <c r="E3">
        <v>2700</v>
      </c>
      <c r="F3">
        <v>3200</v>
      </c>
      <c r="G3">
        <v>2950</v>
      </c>
      <c r="H3" t="s">
        <v>495</v>
      </c>
      <c r="I3">
        <v>1300</v>
      </c>
      <c r="J3">
        <v>0</v>
      </c>
      <c r="K3" t="s">
        <v>492</v>
      </c>
      <c r="L3" t="s">
        <v>15</v>
      </c>
      <c r="M3" t="s">
        <v>493</v>
      </c>
    </row>
    <row r="4" spans="1:13" x14ac:dyDescent="0.35">
      <c r="A4" t="s">
        <v>488</v>
      </c>
      <c r="B4" t="s">
        <v>387</v>
      </c>
      <c r="C4" t="s">
        <v>496</v>
      </c>
      <c r="D4" t="s">
        <v>490</v>
      </c>
      <c r="E4">
        <v>2700</v>
      </c>
      <c r="F4">
        <v>3200</v>
      </c>
      <c r="G4">
        <v>2950</v>
      </c>
      <c r="H4" t="s">
        <v>491</v>
      </c>
      <c r="I4">
        <v>1300</v>
      </c>
      <c r="J4">
        <v>0</v>
      </c>
      <c r="K4" t="s">
        <v>492</v>
      </c>
      <c r="L4" t="s">
        <v>15</v>
      </c>
      <c r="M4" t="s">
        <v>493</v>
      </c>
    </row>
    <row r="5" spans="1:13" x14ac:dyDescent="0.35">
      <c r="A5" t="s">
        <v>488</v>
      </c>
      <c r="B5" t="s">
        <v>391</v>
      </c>
      <c r="C5" t="s">
        <v>494</v>
      </c>
      <c r="D5" t="s">
        <v>497</v>
      </c>
      <c r="E5">
        <v>2700</v>
      </c>
      <c r="F5">
        <v>3200</v>
      </c>
      <c r="G5">
        <v>2950</v>
      </c>
      <c r="H5" t="s">
        <v>495</v>
      </c>
      <c r="I5">
        <v>770</v>
      </c>
      <c r="J5">
        <v>0</v>
      </c>
      <c r="K5" t="s">
        <v>498</v>
      </c>
      <c r="L5" t="s">
        <v>499</v>
      </c>
      <c r="M5" t="s">
        <v>500</v>
      </c>
    </row>
    <row r="6" spans="1:13" x14ac:dyDescent="0.35">
      <c r="A6" t="s">
        <v>488</v>
      </c>
      <c r="B6" t="s">
        <v>391</v>
      </c>
      <c r="C6" t="s">
        <v>489</v>
      </c>
      <c r="D6" t="s">
        <v>497</v>
      </c>
      <c r="E6">
        <v>2700</v>
      </c>
      <c r="F6">
        <v>3200</v>
      </c>
      <c r="G6">
        <v>2950</v>
      </c>
      <c r="H6" t="s">
        <v>495</v>
      </c>
      <c r="I6">
        <v>770</v>
      </c>
      <c r="J6">
        <v>0</v>
      </c>
      <c r="K6" t="s">
        <v>498</v>
      </c>
      <c r="L6" t="s">
        <v>499</v>
      </c>
      <c r="M6" t="s">
        <v>500</v>
      </c>
    </row>
    <row r="7" spans="1:13" x14ac:dyDescent="0.35">
      <c r="A7" t="s">
        <v>488</v>
      </c>
      <c r="B7" t="s">
        <v>389</v>
      </c>
      <c r="C7" t="s">
        <v>489</v>
      </c>
      <c r="D7" t="s">
        <v>501</v>
      </c>
      <c r="E7">
        <v>2700</v>
      </c>
      <c r="F7">
        <v>3200</v>
      </c>
      <c r="G7">
        <v>2950</v>
      </c>
      <c r="H7" t="s">
        <v>495</v>
      </c>
      <c r="I7">
        <v>1350</v>
      </c>
      <c r="J7">
        <v>0</v>
      </c>
      <c r="K7" t="s">
        <v>502</v>
      </c>
      <c r="L7" t="s">
        <v>499</v>
      </c>
      <c r="M7" t="s">
        <v>503</v>
      </c>
    </row>
    <row r="8" spans="1:13" x14ac:dyDescent="0.35">
      <c r="A8" t="s">
        <v>488</v>
      </c>
      <c r="B8" t="s">
        <v>89</v>
      </c>
      <c r="C8" t="s">
        <v>489</v>
      </c>
      <c r="D8" t="s">
        <v>504</v>
      </c>
      <c r="E8">
        <v>7050</v>
      </c>
      <c r="F8">
        <v>7700</v>
      </c>
      <c r="G8">
        <v>7375</v>
      </c>
      <c r="H8" t="s">
        <v>495</v>
      </c>
      <c r="I8">
        <v>485</v>
      </c>
      <c r="J8">
        <v>0</v>
      </c>
      <c r="K8" t="s">
        <v>505</v>
      </c>
      <c r="L8" t="s">
        <v>506</v>
      </c>
      <c r="M8" t="s">
        <v>507</v>
      </c>
    </row>
    <row r="9" spans="1:13" x14ac:dyDescent="0.35">
      <c r="A9" t="s">
        <v>488</v>
      </c>
      <c r="B9" t="s">
        <v>508</v>
      </c>
      <c r="C9" t="s">
        <v>489</v>
      </c>
      <c r="D9" t="s">
        <v>509</v>
      </c>
      <c r="E9">
        <v>3000</v>
      </c>
      <c r="F9">
        <v>3750</v>
      </c>
      <c r="G9">
        <v>3375</v>
      </c>
      <c r="H9" t="s">
        <v>495</v>
      </c>
      <c r="I9">
        <v>1200</v>
      </c>
      <c r="J9">
        <v>0</v>
      </c>
      <c r="K9" t="s">
        <v>510</v>
      </c>
      <c r="L9" t="s">
        <v>499</v>
      </c>
      <c r="M9" t="s">
        <v>511</v>
      </c>
    </row>
    <row r="10" spans="1:13" x14ac:dyDescent="0.35">
      <c r="A10" t="s">
        <v>488</v>
      </c>
      <c r="B10" t="s">
        <v>508</v>
      </c>
      <c r="C10" t="s">
        <v>494</v>
      </c>
      <c r="D10" t="s">
        <v>509</v>
      </c>
      <c r="E10">
        <v>3000</v>
      </c>
      <c r="F10">
        <v>3750</v>
      </c>
      <c r="G10">
        <v>3375</v>
      </c>
      <c r="H10" t="s">
        <v>495</v>
      </c>
      <c r="I10">
        <v>1200</v>
      </c>
      <c r="J10">
        <v>0</v>
      </c>
      <c r="K10" t="s">
        <v>510</v>
      </c>
      <c r="L10" t="s">
        <v>499</v>
      </c>
      <c r="M10" t="s">
        <v>511</v>
      </c>
    </row>
    <row r="11" spans="1:13" x14ac:dyDescent="0.35">
      <c r="A11" t="s">
        <v>488</v>
      </c>
      <c r="B11" t="s">
        <v>508</v>
      </c>
      <c r="C11" t="s">
        <v>496</v>
      </c>
      <c r="D11" t="s">
        <v>509</v>
      </c>
      <c r="E11">
        <v>3000</v>
      </c>
      <c r="F11">
        <v>3750</v>
      </c>
      <c r="G11">
        <v>3375</v>
      </c>
      <c r="H11" t="s">
        <v>495</v>
      </c>
      <c r="I11">
        <v>1200</v>
      </c>
      <c r="J11">
        <v>0</v>
      </c>
      <c r="K11" t="s">
        <v>510</v>
      </c>
      <c r="L11" t="s">
        <v>499</v>
      </c>
      <c r="M11" t="s">
        <v>511</v>
      </c>
    </row>
    <row r="12" spans="1:13" x14ac:dyDescent="0.35">
      <c r="A12" t="s">
        <v>512</v>
      </c>
      <c r="B12" t="s">
        <v>388</v>
      </c>
      <c r="C12" t="s">
        <v>496</v>
      </c>
      <c r="D12" t="s">
        <v>513</v>
      </c>
      <c r="E12">
        <v>3000</v>
      </c>
      <c r="F12">
        <v>4500</v>
      </c>
      <c r="G12">
        <v>3750</v>
      </c>
      <c r="H12" t="s">
        <v>495</v>
      </c>
      <c r="I12">
        <v>1200</v>
      </c>
      <c r="J12">
        <v>0</v>
      </c>
      <c r="K12" t="s">
        <v>510</v>
      </c>
      <c r="L12" t="s">
        <v>506</v>
      </c>
      <c r="M12" t="s">
        <v>514</v>
      </c>
    </row>
    <row r="13" spans="1:13" x14ac:dyDescent="0.35">
      <c r="A13" t="s">
        <v>512</v>
      </c>
      <c r="B13" t="s">
        <v>90</v>
      </c>
      <c r="C13" t="s">
        <v>496</v>
      </c>
      <c r="D13" t="s">
        <v>515</v>
      </c>
      <c r="E13">
        <v>4500</v>
      </c>
      <c r="F13">
        <v>5500</v>
      </c>
      <c r="G13">
        <v>5000</v>
      </c>
      <c r="H13" t="s">
        <v>495</v>
      </c>
      <c r="I13">
        <v>1100</v>
      </c>
      <c r="J13">
        <v>0</v>
      </c>
      <c r="K13" t="s">
        <v>516</v>
      </c>
      <c r="L13" t="s">
        <v>506</v>
      </c>
      <c r="M13" t="s">
        <v>517</v>
      </c>
    </row>
    <row r="14" spans="1:13" x14ac:dyDescent="0.35">
      <c r="A14" t="s">
        <v>518</v>
      </c>
      <c r="B14" t="s">
        <v>90</v>
      </c>
      <c r="C14" t="s">
        <v>489</v>
      </c>
      <c r="D14" t="s">
        <v>515</v>
      </c>
      <c r="E14">
        <v>3700</v>
      </c>
      <c r="F14">
        <v>4200</v>
      </c>
      <c r="G14">
        <v>3950</v>
      </c>
      <c r="H14" t="s">
        <v>519</v>
      </c>
      <c r="I14">
        <v>1100</v>
      </c>
      <c r="J14">
        <v>0</v>
      </c>
      <c r="K14" t="s">
        <v>516</v>
      </c>
      <c r="L14" t="s">
        <v>506</v>
      </c>
      <c r="M14" t="s">
        <v>517</v>
      </c>
    </row>
    <row r="15" spans="1:13" x14ac:dyDescent="0.35">
      <c r="A15" t="s">
        <v>518</v>
      </c>
      <c r="B15" t="s">
        <v>90</v>
      </c>
      <c r="C15" t="s">
        <v>489</v>
      </c>
      <c r="D15" t="s">
        <v>520</v>
      </c>
      <c r="E15">
        <v>5200</v>
      </c>
      <c r="F15">
        <v>6200</v>
      </c>
      <c r="G15">
        <v>5700</v>
      </c>
      <c r="H15" t="s">
        <v>495</v>
      </c>
      <c r="I15">
        <v>1100</v>
      </c>
      <c r="J15">
        <v>0</v>
      </c>
      <c r="K15" t="s">
        <v>516</v>
      </c>
      <c r="L15" t="s">
        <v>506</v>
      </c>
      <c r="M15" t="s">
        <v>517</v>
      </c>
    </row>
    <row r="16" spans="1:13" x14ac:dyDescent="0.35">
      <c r="A16" t="s">
        <v>518</v>
      </c>
      <c r="B16" t="s">
        <v>14</v>
      </c>
      <c r="C16" t="s">
        <v>489</v>
      </c>
      <c r="D16" t="s">
        <v>521</v>
      </c>
      <c r="E16">
        <v>2200</v>
      </c>
      <c r="F16">
        <v>3000</v>
      </c>
      <c r="G16">
        <v>2600</v>
      </c>
      <c r="H16" t="s">
        <v>522</v>
      </c>
      <c r="I16">
        <v>1100</v>
      </c>
      <c r="J16">
        <v>0</v>
      </c>
      <c r="K16" t="s">
        <v>516</v>
      </c>
      <c r="L16" t="s">
        <v>506</v>
      </c>
      <c r="M16" t="s">
        <v>523</v>
      </c>
    </row>
    <row r="17" spans="1:13" x14ac:dyDescent="0.35">
      <c r="A17" t="s">
        <v>524</v>
      </c>
      <c r="B17" t="s">
        <v>14</v>
      </c>
      <c r="C17" t="s">
        <v>489</v>
      </c>
      <c r="D17" t="s">
        <v>521</v>
      </c>
      <c r="E17">
        <v>2900</v>
      </c>
      <c r="F17">
        <v>3900</v>
      </c>
      <c r="G17">
        <v>3400</v>
      </c>
      <c r="H17" t="s">
        <v>525</v>
      </c>
      <c r="I17">
        <v>1200</v>
      </c>
      <c r="J17">
        <v>0</v>
      </c>
      <c r="K17" t="s">
        <v>510</v>
      </c>
      <c r="L17" t="s">
        <v>506</v>
      </c>
      <c r="M17" t="s">
        <v>523</v>
      </c>
    </row>
    <row r="18" spans="1:13" x14ac:dyDescent="0.35">
      <c r="A18" t="s">
        <v>518</v>
      </c>
      <c r="B18" t="s">
        <v>387</v>
      </c>
      <c r="C18" t="s">
        <v>489</v>
      </c>
      <c r="D18" t="s">
        <v>490</v>
      </c>
      <c r="E18">
        <v>2700</v>
      </c>
      <c r="F18">
        <v>3200</v>
      </c>
      <c r="G18">
        <v>2950</v>
      </c>
      <c r="H18" t="s">
        <v>491</v>
      </c>
      <c r="I18">
        <v>1300</v>
      </c>
      <c r="J18">
        <v>0</v>
      </c>
      <c r="K18" t="s">
        <v>492</v>
      </c>
      <c r="L18" t="s">
        <v>15</v>
      </c>
      <c r="M18" t="s">
        <v>493</v>
      </c>
    </row>
    <row r="19" spans="1:13" x14ac:dyDescent="0.35">
      <c r="A19" t="s">
        <v>518</v>
      </c>
      <c r="B19" t="s">
        <v>387</v>
      </c>
      <c r="C19" t="s">
        <v>489</v>
      </c>
      <c r="D19" t="s">
        <v>526</v>
      </c>
      <c r="E19">
        <v>3600</v>
      </c>
      <c r="F19">
        <v>4950</v>
      </c>
      <c r="G19">
        <v>4275</v>
      </c>
      <c r="H19" t="s">
        <v>495</v>
      </c>
      <c r="I19">
        <v>1300</v>
      </c>
      <c r="J19">
        <v>0</v>
      </c>
      <c r="K19" t="s">
        <v>492</v>
      </c>
      <c r="L19" t="s">
        <v>15</v>
      </c>
      <c r="M19" t="s">
        <v>493</v>
      </c>
    </row>
    <row r="20" spans="1:13" x14ac:dyDescent="0.35">
      <c r="A20" t="s">
        <v>518</v>
      </c>
      <c r="B20" t="s">
        <v>392</v>
      </c>
      <c r="C20" t="s">
        <v>489</v>
      </c>
      <c r="D20" t="s">
        <v>527</v>
      </c>
      <c r="E20">
        <v>3200</v>
      </c>
      <c r="F20">
        <v>4150</v>
      </c>
      <c r="G20">
        <v>3675</v>
      </c>
      <c r="H20" t="s">
        <v>495</v>
      </c>
      <c r="I20">
        <v>1500</v>
      </c>
      <c r="J20">
        <v>0</v>
      </c>
      <c r="K20" t="s">
        <v>528</v>
      </c>
      <c r="L20" t="s">
        <v>506</v>
      </c>
      <c r="M20" t="s">
        <v>529</v>
      </c>
    </row>
    <row r="21" spans="1:13" x14ac:dyDescent="0.35">
      <c r="A21" t="s">
        <v>518</v>
      </c>
      <c r="B21" t="s">
        <v>389</v>
      </c>
      <c r="C21" t="s">
        <v>489</v>
      </c>
      <c r="D21" t="s">
        <v>530</v>
      </c>
      <c r="E21">
        <v>2700</v>
      </c>
      <c r="F21">
        <v>3200</v>
      </c>
      <c r="G21">
        <v>2950</v>
      </c>
      <c r="H21" t="s">
        <v>495</v>
      </c>
      <c r="I21">
        <v>1350</v>
      </c>
      <c r="J21">
        <v>0</v>
      </c>
      <c r="K21" t="s">
        <v>502</v>
      </c>
      <c r="L21" t="s">
        <v>499</v>
      </c>
      <c r="M21" t="s">
        <v>503</v>
      </c>
    </row>
    <row r="22" spans="1:13" x14ac:dyDescent="0.35">
      <c r="A22" t="s">
        <v>518</v>
      </c>
      <c r="B22" t="s">
        <v>89</v>
      </c>
      <c r="C22" t="s">
        <v>489</v>
      </c>
      <c r="D22" t="s">
        <v>504</v>
      </c>
      <c r="E22">
        <v>7050</v>
      </c>
      <c r="F22">
        <v>7700</v>
      </c>
      <c r="G22">
        <v>7375</v>
      </c>
      <c r="H22" t="s">
        <v>495</v>
      </c>
      <c r="I22">
        <v>485</v>
      </c>
      <c r="J22">
        <v>0</v>
      </c>
      <c r="K22" t="s">
        <v>505</v>
      </c>
      <c r="L22" t="s">
        <v>506</v>
      </c>
      <c r="M22" t="s">
        <v>507</v>
      </c>
    </row>
    <row r="23" spans="1:13" x14ac:dyDescent="0.35">
      <c r="A23" t="s">
        <v>524</v>
      </c>
      <c r="B23" t="s">
        <v>90</v>
      </c>
      <c r="C23" t="s">
        <v>489</v>
      </c>
      <c r="D23" t="s">
        <v>515</v>
      </c>
      <c r="E23">
        <v>5050</v>
      </c>
      <c r="F23">
        <v>5300</v>
      </c>
      <c r="G23">
        <v>5175</v>
      </c>
      <c r="H23" t="s">
        <v>531</v>
      </c>
      <c r="I23">
        <v>1350</v>
      </c>
      <c r="J23">
        <v>0</v>
      </c>
      <c r="K23" t="s">
        <v>502</v>
      </c>
      <c r="L23" t="s">
        <v>506</v>
      </c>
      <c r="M23" t="s">
        <v>517</v>
      </c>
    </row>
    <row r="24" spans="1:13" x14ac:dyDescent="0.35">
      <c r="A24" t="s">
        <v>390</v>
      </c>
      <c r="B24" t="s">
        <v>532</v>
      </c>
      <c r="C24" t="s">
        <v>489</v>
      </c>
      <c r="D24" t="s">
        <v>533</v>
      </c>
      <c r="E24">
        <v>3100</v>
      </c>
      <c r="F24">
        <v>3500</v>
      </c>
      <c r="G24">
        <v>3300</v>
      </c>
      <c r="H24" t="s">
        <v>495</v>
      </c>
      <c r="I24">
        <v>1500</v>
      </c>
      <c r="J24">
        <v>0</v>
      </c>
      <c r="K24" t="s">
        <v>528</v>
      </c>
      <c r="L24" t="s">
        <v>499</v>
      </c>
      <c r="M24" t="s">
        <v>534</v>
      </c>
    </row>
    <row r="25" spans="1:13" x14ac:dyDescent="0.35">
      <c r="A25" t="s">
        <v>390</v>
      </c>
      <c r="B25" t="s">
        <v>535</v>
      </c>
      <c r="C25" t="s">
        <v>489</v>
      </c>
      <c r="D25" t="s">
        <v>536</v>
      </c>
      <c r="E25">
        <v>2800</v>
      </c>
      <c r="F25">
        <v>3200</v>
      </c>
      <c r="G25">
        <v>3000</v>
      </c>
      <c r="H25" t="s">
        <v>495</v>
      </c>
      <c r="I25">
        <v>1720</v>
      </c>
      <c r="J25">
        <v>0</v>
      </c>
      <c r="K25" t="s">
        <v>537</v>
      </c>
      <c r="L25" t="s">
        <v>499</v>
      </c>
      <c r="M25" t="s">
        <v>493</v>
      </c>
    </row>
    <row r="26" spans="1:13" x14ac:dyDescent="0.35">
      <c r="A26" t="s">
        <v>390</v>
      </c>
      <c r="B26" t="s">
        <v>538</v>
      </c>
      <c r="C26" t="s">
        <v>489</v>
      </c>
      <c r="D26" t="s">
        <v>539</v>
      </c>
      <c r="E26">
        <v>2900</v>
      </c>
      <c r="F26">
        <v>3200</v>
      </c>
      <c r="G26">
        <v>3050</v>
      </c>
      <c r="H26" t="s">
        <v>495</v>
      </c>
      <c r="I26">
        <v>1800</v>
      </c>
      <c r="J26">
        <v>0</v>
      </c>
      <c r="K26" t="s">
        <v>540</v>
      </c>
      <c r="L26" t="s">
        <v>499</v>
      </c>
      <c r="M26" t="s">
        <v>534</v>
      </c>
    </row>
    <row r="27" spans="1:13" x14ac:dyDescent="0.35">
      <c r="A27" t="s">
        <v>390</v>
      </c>
      <c r="B27" t="s">
        <v>392</v>
      </c>
      <c r="C27" t="s">
        <v>489</v>
      </c>
      <c r="D27" t="s">
        <v>527</v>
      </c>
      <c r="E27">
        <v>3200</v>
      </c>
      <c r="F27">
        <v>4150</v>
      </c>
      <c r="G27">
        <v>3675</v>
      </c>
      <c r="H27" t="s">
        <v>495</v>
      </c>
      <c r="I27">
        <v>1500</v>
      </c>
      <c r="J27">
        <v>0</v>
      </c>
      <c r="K27" t="s">
        <v>528</v>
      </c>
      <c r="L27" t="s">
        <v>506</v>
      </c>
      <c r="M27" t="s">
        <v>529</v>
      </c>
    </row>
    <row r="28" spans="1:13" x14ac:dyDescent="0.35">
      <c r="A28" t="s">
        <v>390</v>
      </c>
      <c r="B28" t="s">
        <v>541</v>
      </c>
      <c r="C28" t="s">
        <v>489</v>
      </c>
      <c r="D28" t="s">
        <v>530</v>
      </c>
      <c r="E28">
        <v>2700</v>
      </c>
      <c r="F28">
        <v>3200</v>
      </c>
      <c r="G28">
        <v>2950</v>
      </c>
      <c r="H28" t="s">
        <v>495</v>
      </c>
      <c r="I28">
        <v>1350</v>
      </c>
      <c r="J28">
        <v>0</v>
      </c>
      <c r="K28" t="s">
        <v>502</v>
      </c>
      <c r="L28" t="s">
        <v>499</v>
      </c>
      <c r="M28" t="s">
        <v>503</v>
      </c>
    </row>
    <row r="29" spans="1:13" x14ac:dyDescent="0.35">
      <c r="A29" t="s">
        <v>390</v>
      </c>
      <c r="B29" t="s">
        <v>90</v>
      </c>
      <c r="C29" t="s">
        <v>489</v>
      </c>
      <c r="D29" t="s">
        <v>515</v>
      </c>
      <c r="E29">
        <v>3800</v>
      </c>
      <c r="F29">
        <v>5500</v>
      </c>
      <c r="G29">
        <v>4650</v>
      </c>
      <c r="H29" t="s">
        <v>495</v>
      </c>
      <c r="I29">
        <v>1100</v>
      </c>
      <c r="J29">
        <v>0</v>
      </c>
      <c r="K29" t="s">
        <v>516</v>
      </c>
      <c r="L29" t="s">
        <v>506</v>
      </c>
      <c r="M29" t="s">
        <v>517</v>
      </c>
    </row>
    <row r="30" spans="1:13" x14ac:dyDescent="0.35">
      <c r="A30" t="s">
        <v>542</v>
      </c>
      <c r="B30" t="s">
        <v>89</v>
      </c>
      <c r="C30" t="s">
        <v>543</v>
      </c>
      <c r="D30" t="s">
        <v>504</v>
      </c>
      <c r="E30">
        <v>7050</v>
      </c>
      <c r="F30">
        <v>7700</v>
      </c>
      <c r="G30">
        <v>7375</v>
      </c>
      <c r="H30" t="s">
        <v>495</v>
      </c>
      <c r="I30">
        <v>485</v>
      </c>
      <c r="J30">
        <v>0</v>
      </c>
      <c r="K30" t="s">
        <v>505</v>
      </c>
      <c r="L30" t="s">
        <v>506</v>
      </c>
      <c r="M30" t="s">
        <v>507</v>
      </c>
    </row>
    <row r="31" spans="1:13" x14ac:dyDescent="0.35">
      <c r="A31" t="s">
        <v>542</v>
      </c>
      <c r="B31" t="s">
        <v>90</v>
      </c>
      <c r="C31" t="s">
        <v>544</v>
      </c>
      <c r="D31" t="s">
        <v>515</v>
      </c>
      <c r="E31">
        <v>4400</v>
      </c>
      <c r="F31">
        <v>5500</v>
      </c>
      <c r="G31">
        <v>4950</v>
      </c>
      <c r="H31" t="s">
        <v>495</v>
      </c>
      <c r="I31">
        <v>1100</v>
      </c>
      <c r="J31">
        <v>0</v>
      </c>
      <c r="K31" t="s">
        <v>516</v>
      </c>
      <c r="L31" t="s">
        <v>506</v>
      </c>
      <c r="M31" t="s">
        <v>545</v>
      </c>
    </row>
    <row r="32" spans="1:13" x14ac:dyDescent="0.35">
      <c r="A32" t="s">
        <v>542</v>
      </c>
      <c r="B32" t="s">
        <v>90</v>
      </c>
      <c r="C32" t="s">
        <v>539</v>
      </c>
      <c r="D32" t="s">
        <v>546</v>
      </c>
      <c r="E32">
        <v>2900</v>
      </c>
      <c r="F32">
        <v>4500</v>
      </c>
      <c r="G32">
        <v>3700</v>
      </c>
      <c r="H32" t="s">
        <v>495</v>
      </c>
      <c r="I32">
        <v>2400</v>
      </c>
      <c r="J32">
        <v>1200</v>
      </c>
      <c r="K32" t="s">
        <v>547</v>
      </c>
      <c r="L32" t="s">
        <v>56</v>
      </c>
      <c r="M32" t="s">
        <v>548</v>
      </c>
    </row>
    <row r="33" spans="1:13" x14ac:dyDescent="0.35">
      <c r="A33" t="s">
        <v>542</v>
      </c>
      <c r="B33" t="s">
        <v>90</v>
      </c>
      <c r="C33" t="s">
        <v>549</v>
      </c>
      <c r="D33" t="s">
        <v>550</v>
      </c>
      <c r="E33">
        <v>6800</v>
      </c>
      <c r="F33">
        <v>8100</v>
      </c>
      <c r="G33">
        <v>7450</v>
      </c>
      <c r="H33" t="s">
        <v>495</v>
      </c>
      <c r="I33">
        <v>1300</v>
      </c>
      <c r="J33">
        <v>0</v>
      </c>
      <c r="K33" t="s">
        <v>492</v>
      </c>
      <c r="L33" t="s">
        <v>506</v>
      </c>
      <c r="M33" t="s">
        <v>551</v>
      </c>
    </row>
    <row r="34" spans="1:13" x14ac:dyDescent="0.35">
      <c r="A34" t="s">
        <v>542</v>
      </c>
      <c r="B34" t="s">
        <v>90</v>
      </c>
      <c r="C34" t="s">
        <v>543</v>
      </c>
      <c r="D34" t="s">
        <v>550</v>
      </c>
      <c r="E34">
        <v>6500</v>
      </c>
      <c r="F34">
        <v>7600</v>
      </c>
      <c r="G34">
        <v>7050</v>
      </c>
      <c r="H34" t="s">
        <v>495</v>
      </c>
      <c r="I34">
        <v>1300</v>
      </c>
      <c r="J34">
        <v>0</v>
      </c>
      <c r="K34" t="s">
        <v>492</v>
      </c>
      <c r="L34" t="s">
        <v>506</v>
      </c>
      <c r="M34" t="s">
        <v>552</v>
      </c>
    </row>
    <row r="35" spans="1:13" x14ac:dyDescent="0.35">
      <c r="A35" t="s">
        <v>553</v>
      </c>
      <c r="B35" t="s">
        <v>90</v>
      </c>
      <c r="C35" t="s">
        <v>554</v>
      </c>
      <c r="D35" t="s">
        <v>546</v>
      </c>
      <c r="E35">
        <v>2800</v>
      </c>
      <c r="F35">
        <v>4500</v>
      </c>
      <c r="G35">
        <v>3650</v>
      </c>
      <c r="H35" t="s">
        <v>495</v>
      </c>
      <c r="I35">
        <v>2400</v>
      </c>
      <c r="J35">
        <v>1500</v>
      </c>
      <c r="K35" t="s">
        <v>555</v>
      </c>
      <c r="L35" t="s">
        <v>56</v>
      </c>
      <c r="M35" t="s">
        <v>548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CD27-6830-4C2E-A664-0F8C5437A9A2}">
  <sheetPr codeName="Sheet18"/>
  <dimension ref="A1:AW198"/>
  <sheetViews>
    <sheetView topLeftCell="S1" workbookViewId="0">
      <selection activeCell="W8" sqref="W8"/>
    </sheetView>
  </sheetViews>
  <sheetFormatPr defaultRowHeight="14.5" x14ac:dyDescent="0.35"/>
  <cols>
    <col min="1" max="1" width="21.08984375" bestFit="1" customWidth="1"/>
    <col min="2" max="2" width="54.26953125" bestFit="1" customWidth="1"/>
    <col min="3" max="4" width="12.6328125" bestFit="1" customWidth="1"/>
    <col min="5" max="5" width="13.26953125" bestFit="1" customWidth="1"/>
    <col min="6" max="6" width="13.1796875" bestFit="1" customWidth="1"/>
    <col min="7" max="7" width="35.90625" bestFit="1" customWidth="1"/>
    <col min="8" max="8" width="15.36328125" bestFit="1" customWidth="1"/>
    <col min="9" max="9" width="12.90625" bestFit="1" customWidth="1"/>
    <col min="10" max="10" width="20.6328125" bestFit="1" customWidth="1"/>
    <col min="11" max="11" width="33.90625" bestFit="1" customWidth="1"/>
    <col min="12" max="12" width="15" bestFit="1" customWidth="1"/>
    <col min="13" max="13" width="14.1796875" bestFit="1" customWidth="1"/>
    <col min="14" max="14" width="26.54296875" bestFit="1" customWidth="1"/>
    <col min="15" max="15" width="21.26953125" bestFit="1" customWidth="1"/>
    <col min="16" max="16" width="11.26953125" bestFit="1" customWidth="1"/>
    <col min="17" max="17" width="22.453125" bestFit="1" customWidth="1"/>
    <col min="18" max="18" width="11.26953125" bestFit="1" customWidth="1"/>
    <col min="19" max="19" width="16.36328125" bestFit="1" customWidth="1"/>
    <col min="20" max="20" width="13.08984375" bestFit="1" customWidth="1"/>
    <col min="21" max="21" width="17.26953125" style="43" bestFit="1" customWidth="1"/>
    <col min="22" max="22" width="21.54296875" style="42" bestFit="1" customWidth="1"/>
    <col min="23" max="23" width="22.36328125" bestFit="1" customWidth="1"/>
    <col min="24" max="24" width="16.1796875" bestFit="1" customWidth="1"/>
    <col min="25" max="25" width="17" bestFit="1" customWidth="1"/>
    <col min="26" max="26" width="13.7265625" bestFit="1" customWidth="1"/>
    <col min="27" max="27" width="20.6328125" bestFit="1" customWidth="1"/>
    <col min="28" max="28" width="18" bestFit="1" customWidth="1"/>
    <col min="29" max="29" width="24.90625" bestFit="1" customWidth="1"/>
    <col min="30" max="30" width="13.81640625" bestFit="1" customWidth="1"/>
    <col min="31" max="31" width="19" bestFit="1" customWidth="1"/>
    <col min="32" max="32" width="23.26953125" bestFit="1" customWidth="1"/>
    <col min="33" max="33" width="24" bestFit="1" customWidth="1"/>
    <col min="34" max="34" width="17.453125" bestFit="1" customWidth="1"/>
    <col min="35" max="35" width="18" bestFit="1" customWidth="1"/>
    <col min="36" max="36" width="14.453125" bestFit="1" customWidth="1"/>
    <col min="37" max="37" width="22" bestFit="1" customWidth="1"/>
    <col min="38" max="38" width="19.26953125" bestFit="1" customWidth="1"/>
    <col min="39" max="39" width="26.81640625" bestFit="1" customWidth="1"/>
    <col min="40" max="40" width="14.7265625" bestFit="1" customWidth="1"/>
    <col min="41" max="41" width="26.7265625" bestFit="1" customWidth="1"/>
    <col min="42" max="43" width="14.7265625" bestFit="1" customWidth="1"/>
    <col min="44" max="44" width="14.1796875" bestFit="1" customWidth="1"/>
    <col min="45" max="45" width="10" bestFit="1" customWidth="1"/>
    <col min="46" max="46" width="26.7265625" bestFit="1" customWidth="1"/>
    <col min="47" max="47" width="19.1796875" bestFit="1" customWidth="1"/>
    <col min="48" max="48" width="18.1796875" style="40" bestFit="1" customWidth="1"/>
    <col min="49" max="49" width="14.7265625" style="9" bestFit="1" customWidth="1"/>
    <col min="50" max="50" width="12.453125" bestFit="1" customWidth="1"/>
    <col min="51" max="51" width="17.453125" bestFit="1" customWidth="1"/>
    <col min="52" max="52" width="27.54296875" bestFit="1" customWidth="1"/>
    <col min="53" max="53" width="19.81640625" bestFit="1" customWidth="1"/>
    <col min="54" max="54" width="19.26953125" customWidth="1"/>
  </cols>
  <sheetData>
    <row r="1" spans="1:49" x14ac:dyDescent="0.35">
      <c r="A1" t="s">
        <v>367</v>
      </c>
      <c r="B1" t="s">
        <v>365</v>
      </c>
      <c r="C1" t="s">
        <v>593</v>
      </c>
      <c r="D1" t="s">
        <v>594</v>
      </c>
      <c r="E1" t="s">
        <v>595</v>
      </c>
      <c r="F1" t="s">
        <v>596</v>
      </c>
      <c r="G1" t="s">
        <v>597</v>
      </c>
      <c r="H1" t="s">
        <v>598</v>
      </c>
      <c r="I1" t="s">
        <v>364</v>
      </c>
      <c r="J1" t="s">
        <v>7</v>
      </c>
      <c r="K1" t="s">
        <v>583</v>
      </c>
      <c r="L1" t="s">
        <v>8</v>
      </c>
      <c r="M1" t="s">
        <v>9</v>
      </c>
      <c r="N1" t="s">
        <v>584</v>
      </c>
      <c r="O1" t="s">
        <v>585</v>
      </c>
      <c r="P1" t="s">
        <v>10</v>
      </c>
      <c r="Q1" t="s">
        <v>11</v>
      </c>
      <c r="R1" s="43" t="s">
        <v>12</v>
      </c>
      <c r="S1" s="42" t="s">
        <v>13</v>
      </c>
      <c r="T1" t="s">
        <v>578</v>
      </c>
      <c r="U1" t="s">
        <v>382</v>
      </c>
      <c r="V1" t="s">
        <v>586</v>
      </c>
      <c r="W1" t="s">
        <v>587</v>
      </c>
      <c r="X1" t="s">
        <v>588</v>
      </c>
      <c r="Y1" t="s">
        <v>589</v>
      </c>
      <c r="Z1" t="s">
        <v>581</v>
      </c>
      <c r="AA1" t="s">
        <v>385</v>
      </c>
      <c r="AB1" t="s">
        <v>582</v>
      </c>
      <c r="AC1" t="s">
        <v>590</v>
      </c>
      <c r="AD1" s="9" t="s">
        <v>386</v>
      </c>
      <c r="AV1"/>
      <c r="AW1"/>
    </row>
    <row r="2" spans="1:49" x14ac:dyDescent="0.35">
      <c r="A2" s="48" t="s">
        <v>599</v>
      </c>
      <c r="B2" t="s">
        <v>600</v>
      </c>
      <c r="C2" s="49">
        <v>32</v>
      </c>
      <c r="D2" s="49">
        <v>46</v>
      </c>
      <c r="E2" s="49">
        <v>23.1</v>
      </c>
      <c r="F2" s="49">
        <v>11.91</v>
      </c>
      <c r="G2" s="49">
        <v>84</v>
      </c>
      <c r="H2" s="47">
        <v>104416</v>
      </c>
      <c r="I2">
        <v>0</v>
      </c>
      <c r="J2">
        <v>1244</v>
      </c>
      <c r="K2" s="49">
        <v>46</v>
      </c>
      <c r="L2">
        <v>28</v>
      </c>
      <c r="M2">
        <v>104</v>
      </c>
      <c r="N2" s="43">
        <v>7</v>
      </c>
      <c r="O2">
        <v>548</v>
      </c>
      <c r="P2" s="21">
        <v>42.3</v>
      </c>
      <c r="Q2">
        <v>17</v>
      </c>
      <c r="R2" s="43">
        <v>0</v>
      </c>
      <c r="S2" s="42">
        <v>4.2528377386565903E-2</v>
      </c>
      <c r="T2" s="21">
        <v>14816.04</v>
      </c>
      <c r="U2" s="4">
        <v>28</v>
      </c>
      <c r="V2" s="40">
        <v>3932.301358294043</v>
      </c>
      <c r="W2" s="40">
        <v>3.765995018286511E-2</v>
      </c>
      <c r="X2" s="40">
        <v>1283.7089921880515</v>
      </c>
      <c r="Y2" s="40">
        <v>1.2294178978203068E-2</v>
      </c>
      <c r="Z2" s="43">
        <v>4728.3941294679362</v>
      </c>
      <c r="AA2" s="40">
        <v>4.5284191402351522E-2</v>
      </c>
      <c r="AB2" s="43">
        <v>9944.4044799500298</v>
      </c>
      <c r="AC2" s="43">
        <v>9.5238320563419701E-2</v>
      </c>
      <c r="AD2" s="9"/>
      <c r="AV2"/>
      <c r="AW2"/>
    </row>
    <row r="3" spans="1:49" x14ac:dyDescent="0.35">
      <c r="A3" s="48" t="s">
        <v>599</v>
      </c>
      <c r="B3" t="s">
        <v>601</v>
      </c>
      <c r="C3" s="49">
        <v>32</v>
      </c>
      <c r="D3" s="49">
        <v>46</v>
      </c>
      <c r="E3" s="49">
        <v>23.1</v>
      </c>
      <c r="F3" s="49">
        <v>11.91</v>
      </c>
      <c r="G3" s="49">
        <v>84</v>
      </c>
      <c r="H3" s="47">
        <v>104416</v>
      </c>
      <c r="J3">
        <v>1244</v>
      </c>
      <c r="K3" s="49">
        <v>46</v>
      </c>
      <c r="L3">
        <v>28</v>
      </c>
      <c r="M3">
        <v>104</v>
      </c>
      <c r="N3" s="43">
        <v>7</v>
      </c>
      <c r="O3">
        <v>548</v>
      </c>
      <c r="P3" s="21">
        <v>42.3</v>
      </c>
      <c r="Q3">
        <v>17</v>
      </c>
      <c r="R3" s="43"/>
      <c r="S3" s="42">
        <v>4.2528377386565903E-2</v>
      </c>
      <c r="T3" s="21">
        <v>14816.04</v>
      </c>
      <c r="U3" s="4">
        <v>28</v>
      </c>
      <c r="V3" s="40">
        <v>3932.301358294043</v>
      </c>
      <c r="W3" s="40">
        <v>3.765995018286511E-2</v>
      </c>
      <c r="X3" s="40">
        <v>1283.7089921880515</v>
      </c>
      <c r="Y3" s="40">
        <v>1.2294178978203068E-2</v>
      </c>
      <c r="Z3" s="43">
        <v>4728.3941294679362</v>
      </c>
      <c r="AA3" s="40">
        <v>4.5284191402351522E-2</v>
      </c>
      <c r="AB3" s="43">
        <v>9944.4044799500298</v>
      </c>
      <c r="AC3" s="43">
        <v>9.5238320563419701E-2</v>
      </c>
      <c r="AD3" s="9"/>
      <c r="AV3"/>
      <c r="AW3"/>
    </row>
    <row r="4" spans="1:49" x14ac:dyDescent="0.35">
      <c r="A4" s="48" t="s">
        <v>599</v>
      </c>
      <c r="B4" t="s">
        <v>602</v>
      </c>
      <c r="C4" s="49">
        <v>32</v>
      </c>
      <c r="D4" s="49">
        <v>46</v>
      </c>
      <c r="E4" s="49">
        <v>23.1</v>
      </c>
      <c r="F4" s="49">
        <v>11.91</v>
      </c>
      <c r="G4" s="49">
        <v>84</v>
      </c>
      <c r="H4" s="47">
        <v>104416</v>
      </c>
      <c r="J4">
        <v>1244</v>
      </c>
      <c r="K4" s="49">
        <v>46</v>
      </c>
      <c r="L4">
        <v>28</v>
      </c>
      <c r="M4">
        <v>104</v>
      </c>
      <c r="N4" s="43">
        <v>7</v>
      </c>
      <c r="O4">
        <v>548</v>
      </c>
      <c r="P4" s="21">
        <v>42.3</v>
      </c>
      <c r="Q4">
        <v>17</v>
      </c>
      <c r="R4" s="43"/>
      <c r="S4" s="42">
        <v>4.2528377386565903E-2</v>
      </c>
      <c r="T4" s="21">
        <v>14816.04</v>
      </c>
      <c r="U4" s="4">
        <v>28</v>
      </c>
      <c r="V4" s="40">
        <v>3932.301358294043</v>
      </c>
      <c r="W4" s="40">
        <v>3.765995018286511E-2</v>
      </c>
      <c r="X4" s="40">
        <v>1283.7089921880515</v>
      </c>
      <c r="Y4" s="40">
        <v>1.2294178978203068E-2</v>
      </c>
      <c r="Z4" s="43">
        <v>4728.3941294679362</v>
      </c>
      <c r="AA4" s="40">
        <v>4.5284191402351522E-2</v>
      </c>
      <c r="AB4" s="43">
        <v>9944.4044799500298</v>
      </c>
      <c r="AC4" s="43">
        <v>9.5238320563419701E-2</v>
      </c>
      <c r="AD4" s="9"/>
      <c r="AF4" s="40"/>
      <c r="AG4" s="40"/>
      <c r="AH4" s="40"/>
      <c r="AI4" s="40"/>
      <c r="AJ4" s="40"/>
      <c r="AK4" s="40"/>
      <c r="AL4" s="40"/>
      <c r="AM4" s="40"/>
      <c r="AN4" s="40"/>
      <c r="AV4"/>
      <c r="AW4"/>
    </row>
    <row r="5" spans="1:49" x14ac:dyDescent="0.35">
      <c r="A5" s="48" t="s">
        <v>599</v>
      </c>
      <c r="B5" t="s">
        <v>603</v>
      </c>
      <c r="C5" s="49">
        <v>32</v>
      </c>
      <c r="D5" s="49">
        <v>46</v>
      </c>
      <c r="E5" s="49">
        <v>23.1</v>
      </c>
      <c r="F5" s="49">
        <v>12.22</v>
      </c>
      <c r="G5" s="49">
        <v>84</v>
      </c>
      <c r="H5" s="47">
        <v>104416</v>
      </c>
      <c r="J5">
        <v>1244</v>
      </c>
      <c r="K5" s="49">
        <v>46</v>
      </c>
      <c r="L5">
        <v>28</v>
      </c>
      <c r="M5">
        <v>104</v>
      </c>
      <c r="N5" s="43">
        <v>7</v>
      </c>
      <c r="O5">
        <v>563</v>
      </c>
      <c r="P5" s="21">
        <v>42.3</v>
      </c>
      <c r="Q5">
        <v>17</v>
      </c>
      <c r="R5" s="43"/>
      <c r="S5" s="42">
        <v>4.2528377386565903E-2</v>
      </c>
      <c r="T5" s="21">
        <v>15201.68</v>
      </c>
      <c r="U5" s="4">
        <v>28</v>
      </c>
      <c r="V5" s="40">
        <v>3932.301358294043</v>
      </c>
      <c r="W5" s="40">
        <v>3.765995018286511E-2</v>
      </c>
      <c r="X5" s="40">
        <v>1283.7089921880515</v>
      </c>
      <c r="Y5" s="40">
        <v>1.2294178978203068E-2</v>
      </c>
      <c r="Z5" s="43">
        <v>4728.3941294679362</v>
      </c>
      <c r="AA5" s="40">
        <v>4.5284191402351522E-2</v>
      </c>
      <c r="AB5" s="43">
        <v>9944.4044799500298</v>
      </c>
      <c r="AC5" s="43">
        <v>9.5238320563419701E-2</v>
      </c>
      <c r="AD5" s="9"/>
      <c r="AF5" s="40"/>
      <c r="AG5" s="40"/>
      <c r="AH5" s="40"/>
      <c r="AI5" s="40"/>
      <c r="AJ5" s="40"/>
      <c r="AK5" s="40"/>
      <c r="AL5" s="40"/>
      <c r="AM5" s="40"/>
      <c r="AN5" s="40"/>
      <c r="AV5"/>
      <c r="AW5"/>
    </row>
    <row r="6" spans="1:49" x14ac:dyDescent="0.35">
      <c r="A6" s="48" t="s">
        <v>599</v>
      </c>
      <c r="B6" t="s">
        <v>604</v>
      </c>
      <c r="C6" s="49">
        <v>32</v>
      </c>
      <c r="D6" s="49">
        <v>46</v>
      </c>
      <c r="E6" s="49">
        <v>23.1</v>
      </c>
      <c r="F6" s="49">
        <v>12.22</v>
      </c>
      <c r="G6" s="49">
        <v>84</v>
      </c>
      <c r="H6" s="47">
        <v>104416</v>
      </c>
      <c r="J6">
        <v>1244</v>
      </c>
      <c r="K6" s="49">
        <v>46</v>
      </c>
      <c r="L6">
        <v>28</v>
      </c>
      <c r="M6">
        <v>104</v>
      </c>
      <c r="N6" s="43">
        <v>7</v>
      </c>
      <c r="O6">
        <v>563</v>
      </c>
      <c r="P6" s="21">
        <v>42.3</v>
      </c>
      <c r="Q6">
        <v>17</v>
      </c>
      <c r="R6" s="43"/>
      <c r="S6" s="42">
        <v>4.2528377386565903E-2</v>
      </c>
      <c r="T6" s="21">
        <v>15201.68</v>
      </c>
      <c r="U6" s="4">
        <v>28</v>
      </c>
      <c r="V6" s="40">
        <v>3932.301358294043</v>
      </c>
      <c r="W6" s="40">
        <v>3.765995018286511E-2</v>
      </c>
      <c r="X6" s="40">
        <v>1283.7089921880515</v>
      </c>
      <c r="Y6" s="40">
        <v>1.2294178978203068E-2</v>
      </c>
      <c r="Z6" s="43">
        <v>4728.3941294679362</v>
      </c>
      <c r="AA6" s="40">
        <v>4.5284191402351522E-2</v>
      </c>
      <c r="AB6" s="43">
        <v>9944.4044799500298</v>
      </c>
      <c r="AC6" s="43">
        <v>9.5238320563419701E-2</v>
      </c>
      <c r="AD6" s="9"/>
      <c r="AF6" s="40"/>
      <c r="AG6" s="40"/>
      <c r="AH6" s="40"/>
      <c r="AI6" s="40"/>
      <c r="AJ6" s="40"/>
      <c r="AK6" s="40"/>
      <c r="AL6" s="40"/>
      <c r="AM6" s="40"/>
      <c r="AN6" s="40"/>
      <c r="AV6"/>
      <c r="AW6"/>
    </row>
    <row r="7" spans="1:49" x14ac:dyDescent="0.35">
      <c r="A7" s="48" t="s">
        <v>599</v>
      </c>
      <c r="B7" t="s">
        <v>605</v>
      </c>
      <c r="C7" s="49">
        <v>32</v>
      </c>
      <c r="D7" s="49">
        <v>46</v>
      </c>
      <c r="E7" s="49">
        <v>23.1</v>
      </c>
      <c r="F7" s="49">
        <v>12.22</v>
      </c>
      <c r="G7" s="49">
        <v>84</v>
      </c>
      <c r="H7" s="47">
        <v>104416</v>
      </c>
      <c r="J7">
        <v>1244</v>
      </c>
      <c r="K7" s="49">
        <v>46</v>
      </c>
      <c r="L7">
        <v>28</v>
      </c>
      <c r="M7">
        <v>104</v>
      </c>
      <c r="N7" s="43">
        <v>7</v>
      </c>
      <c r="O7">
        <v>563</v>
      </c>
      <c r="P7" s="21">
        <v>42.3</v>
      </c>
      <c r="Q7">
        <v>17</v>
      </c>
      <c r="R7" s="43"/>
      <c r="S7" s="42">
        <v>4.2528377386565903E-2</v>
      </c>
      <c r="T7" s="21">
        <v>15201.68</v>
      </c>
      <c r="U7" s="4">
        <v>28</v>
      </c>
      <c r="V7" s="40">
        <v>3932.301358294043</v>
      </c>
      <c r="W7" s="40">
        <v>3.765995018286511E-2</v>
      </c>
      <c r="X7" s="40">
        <v>1283.7089921880515</v>
      </c>
      <c r="Y7" s="40">
        <v>1.2294178978203068E-2</v>
      </c>
      <c r="Z7" s="43">
        <v>4728.3941294679362</v>
      </c>
      <c r="AA7" s="40">
        <v>4.5284191402351522E-2</v>
      </c>
      <c r="AB7" s="43">
        <v>9944.4044799500298</v>
      </c>
      <c r="AC7" s="43">
        <v>9.5238320563419701E-2</v>
      </c>
      <c r="AD7" s="9"/>
      <c r="AF7" s="40"/>
      <c r="AG7" s="40"/>
      <c r="AH7" s="40"/>
      <c r="AI7" s="40"/>
      <c r="AJ7" s="40"/>
      <c r="AK7" s="40"/>
      <c r="AL7" s="40"/>
      <c r="AM7" s="40"/>
      <c r="AN7" s="40"/>
      <c r="AV7"/>
      <c r="AW7"/>
    </row>
    <row r="8" spans="1:49" x14ac:dyDescent="0.35">
      <c r="A8" s="48" t="s">
        <v>599</v>
      </c>
      <c r="B8" t="s">
        <v>606</v>
      </c>
      <c r="C8" s="49">
        <v>42.3</v>
      </c>
      <c r="D8" s="49">
        <v>55.8</v>
      </c>
      <c r="E8" s="49">
        <v>22.2</v>
      </c>
      <c r="F8" s="49">
        <v>14.95</v>
      </c>
      <c r="G8" s="49">
        <v>72</v>
      </c>
      <c r="H8" s="47">
        <v>21216</v>
      </c>
      <c r="J8">
        <v>295</v>
      </c>
      <c r="K8" s="49">
        <v>30</v>
      </c>
      <c r="L8">
        <v>10</v>
      </c>
      <c r="M8">
        <v>25</v>
      </c>
      <c r="N8" s="43">
        <v>3</v>
      </c>
      <c r="O8">
        <v>449</v>
      </c>
      <c r="P8" s="21">
        <v>15.46</v>
      </c>
      <c r="Q8">
        <v>17</v>
      </c>
      <c r="R8" s="43"/>
      <c r="S8" s="42">
        <v>1.5543468425444599E-2</v>
      </c>
      <c r="T8" s="21">
        <v>4410.25</v>
      </c>
      <c r="U8" s="4">
        <v>28</v>
      </c>
      <c r="V8" s="40">
        <v>1437.1957210218841</v>
      </c>
      <c r="W8" s="40">
        <v>6.7741125613776584E-2</v>
      </c>
      <c r="X8" s="40">
        <v>469.1759106200285</v>
      </c>
      <c r="Y8" s="40">
        <v>2.2114249180808281E-2</v>
      </c>
      <c r="Z8" s="43">
        <v>1728.1553957818921</v>
      </c>
      <c r="AA8" s="40">
        <v>8.1455288262721165E-2</v>
      </c>
      <c r="AB8" s="43">
        <v>3634.5270274238046</v>
      </c>
      <c r="AC8" s="43">
        <v>0.17131066305730602</v>
      </c>
      <c r="AD8" s="9"/>
      <c r="AF8" s="40"/>
      <c r="AG8" s="40"/>
      <c r="AH8" s="40"/>
      <c r="AI8" s="40"/>
      <c r="AJ8" s="40"/>
      <c r="AK8" s="40"/>
      <c r="AL8" s="40"/>
      <c r="AM8" s="40"/>
      <c r="AN8" s="40"/>
      <c r="AV8"/>
      <c r="AW8"/>
    </row>
    <row r="9" spans="1:49" x14ac:dyDescent="0.35">
      <c r="A9" s="48" t="s">
        <v>599</v>
      </c>
      <c r="B9" t="s">
        <v>607</v>
      </c>
      <c r="C9" s="49">
        <v>42.3</v>
      </c>
      <c r="D9" s="49">
        <v>55.8</v>
      </c>
      <c r="E9" s="49">
        <v>22.2</v>
      </c>
      <c r="F9" s="49">
        <v>14.95</v>
      </c>
      <c r="G9" s="49">
        <v>72</v>
      </c>
      <c r="H9" s="47">
        <v>21216</v>
      </c>
      <c r="J9">
        <v>295</v>
      </c>
      <c r="K9" s="49">
        <v>30</v>
      </c>
      <c r="L9">
        <v>10</v>
      </c>
      <c r="M9">
        <v>25</v>
      </c>
      <c r="N9" s="43">
        <v>3</v>
      </c>
      <c r="O9">
        <v>449</v>
      </c>
      <c r="P9" s="21">
        <v>15.46</v>
      </c>
      <c r="Q9">
        <v>17</v>
      </c>
      <c r="R9" s="43"/>
      <c r="S9" s="42">
        <v>1.5543468425444599E-2</v>
      </c>
      <c r="T9" s="21">
        <v>4410.25</v>
      </c>
      <c r="U9" s="4">
        <v>28</v>
      </c>
      <c r="V9" s="40">
        <v>1437.1957210218841</v>
      </c>
      <c r="W9" s="40">
        <v>6.7741125613776584E-2</v>
      </c>
      <c r="X9" s="40">
        <v>469.1759106200285</v>
      </c>
      <c r="Y9" s="40">
        <v>2.2114249180808281E-2</v>
      </c>
      <c r="Z9" s="43">
        <v>1728.1553957818921</v>
      </c>
      <c r="AA9" s="40">
        <v>8.1455288262721165E-2</v>
      </c>
      <c r="AB9" s="43">
        <v>3634.5270274238046</v>
      </c>
      <c r="AC9" s="43">
        <v>0.17131066305730602</v>
      </c>
      <c r="AD9" s="9"/>
      <c r="AF9" s="40"/>
      <c r="AG9" s="40"/>
      <c r="AH9" s="40"/>
      <c r="AI9" s="40"/>
      <c r="AJ9" s="40"/>
      <c r="AK9" s="40"/>
      <c r="AL9" s="40"/>
      <c r="AM9" s="40"/>
      <c r="AN9" s="40"/>
      <c r="AV9"/>
      <c r="AW9"/>
    </row>
    <row r="10" spans="1:49" x14ac:dyDescent="0.35">
      <c r="A10" s="48" t="s">
        <v>599</v>
      </c>
      <c r="B10" t="s">
        <v>608</v>
      </c>
      <c r="C10" s="49">
        <v>42.3</v>
      </c>
      <c r="D10" s="49">
        <v>55.8</v>
      </c>
      <c r="E10" s="49">
        <v>22.2</v>
      </c>
      <c r="F10" s="49">
        <v>14.95</v>
      </c>
      <c r="G10" s="49">
        <v>72</v>
      </c>
      <c r="H10" s="47">
        <v>21216</v>
      </c>
      <c r="J10">
        <v>295</v>
      </c>
      <c r="K10" s="49">
        <v>30</v>
      </c>
      <c r="L10">
        <v>10</v>
      </c>
      <c r="M10">
        <v>25</v>
      </c>
      <c r="N10" s="43">
        <v>3</v>
      </c>
      <c r="O10">
        <v>449</v>
      </c>
      <c r="P10" s="21">
        <v>15.46</v>
      </c>
      <c r="Q10">
        <v>17</v>
      </c>
      <c r="R10" s="43"/>
      <c r="S10" s="42">
        <v>1.5543468425444599E-2</v>
      </c>
      <c r="T10" s="21">
        <v>4410.25</v>
      </c>
      <c r="U10" s="4">
        <v>28</v>
      </c>
      <c r="V10" s="40">
        <v>1437.1957210218841</v>
      </c>
      <c r="W10" s="40">
        <v>6.7741125613776584E-2</v>
      </c>
      <c r="X10" s="40">
        <v>469.1759106200285</v>
      </c>
      <c r="Y10" s="40">
        <v>2.2114249180808281E-2</v>
      </c>
      <c r="Z10" s="43">
        <v>1728.1553957818921</v>
      </c>
      <c r="AA10" s="40">
        <v>8.1455288262721165E-2</v>
      </c>
      <c r="AB10" s="43">
        <v>3634.5270274238046</v>
      </c>
      <c r="AC10" s="43">
        <v>0.17131066305730602</v>
      </c>
      <c r="AD10" s="9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V10"/>
      <c r="AW10"/>
    </row>
    <row r="11" spans="1:49" x14ac:dyDescent="0.35">
      <c r="A11" s="48" t="s">
        <v>599</v>
      </c>
      <c r="B11" t="s">
        <v>609</v>
      </c>
      <c r="C11" s="49">
        <v>42.3</v>
      </c>
      <c r="D11" s="49">
        <v>55.8</v>
      </c>
      <c r="E11" s="49">
        <v>22.2</v>
      </c>
      <c r="F11" s="49">
        <v>12.2</v>
      </c>
      <c r="G11" s="49">
        <v>72</v>
      </c>
      <c r="H11" s="47">
        <v>21216</v>
      </c>
      <c r="J11">
        <v>295</v>
      </c>
      <c r="K11" s="49">
        <v>30</v>
      </c>
      <c r="L11">
        <v>10</v>
      </c>
      <c r="M11">
        <v>25</v>
      </c>
      <c r="N11" s="43">
        <v>3</v>
      </c>
      <c r="O11">
        <v>366</v>
      </c>
      <c r="P11" s="21">
        <v>15.46</v>
      </c>
      <c r="Q11">
        <v>17</v>
      </c>
      <c r="R11" s="43"/>
      <c r="S11" s="42">
        <v>1.5543468425444599E-2</v>
      </c>
      <c r="T11" s="21">
        <v>3599</v>
      </c>
      <c r="U11" s="4">
        <v>28</v>
      </c>
      <c r="V11" s="40">
        <v>1437.1957210218841</v>
      </c>
      <c r="W11" s="40">
        <v>6.7741125613776584E-2</v>
      </c>
      <c r="X11" s="40">
        <v>469.1759106200285</v>
      </c>
      <c r="Y11" s="40">
        <v>2.2114249180808281E-2</v>
      </c>
      <c r="Z11" s="43">
        <v>1728.1553957818921</v>
      </c>
      <c r="AA11" s="40">
        <v>8.1455288262721165E-2</v>
      </c>
      <c r="AB11" s="43">
        <v>3634.5270274238046</v>
      </c>
      <c r="AC11" s="43">
        <v>0.17131066305730602</v>
      </c>
      <c r="AD11" s="9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V11"/>
      <c r="AW11"/>
    </row>
    <row r="12" spans="1:49" x14ac:dyDescent="0.35">
      <c r="A12" s="48" t="s">
        <v>599</v>
      </c>
      <c r="B12" t="s">
        <v>610</v>
      </c>
      <c r="C12" s="49">
        <v>42.3</v>
      </c>
      <c r="D12" s="49">
        <v>55.8</v>
      </c>
      <c r="E12" s="49">
        <v>22.2</v>
      </c>
      <c r="F12" s="49">
        <v>12.2</v>
      </c>
      <c r="G12" s="49">
        <v>72</v>
      </c>
      <c r="H12" s="47">
        <v>21216</v>
      </c>
      <c r="J12">
        <v>295</v>
      </c>
      <c r="K12" s="49">
        <v>30</v>
      </c>
      <c r="L12">
        <v>10</v>
      </c>
      <c r="M12">
        <v>25</v>
      </c>
      <c r="N12" s="43">
        <v>3</v>
      </c>
      <c r="O12">
        <v>366</v>
      </c>
      <c r="P12" s="21">
        <v>15.46</v>
      </c>
      <c r="Q12">
        <v>17</v>
      </c>
      <c r="R12" s="43"/>
      <c r="S12" s="42">
        <v>1.5543468425444599E-2</v>
      </c>
      <c r="T12" s="21">
        <v>3599</v>
      </c>
      <c r="U12" s="4">
        <v>28</v>
      </c>
      <c r="V12" s="40">
        <v>1437.1957210218841</v>
      </c>
      <c r="W12" s="40">
        <v>6.7741125613776584E-2</v>
      </c>
      <c r="X12" s="40">
        <v>469.1759106200285</v>
      </c>
      <c r="Y12" s="40">
        <v>2.2114249180808281E-2</v>
      </c>
      <c r="Z12" s="43">
        <v>1728.1553957818921</v>
      </c>
      <c r="AA12" s="40">
        <v>8.1455288262721165E-2</v>
      </c>
      <c r="AB12" s="43">
        <v>3634.5270274238046</v>
      </c>
      <c r="AC12" s="43">
        <v>0.17131066305730602</v>
      </c>
      <c r="AD12" s="9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V12"/>
      <c r="AW12"/>
    </row>
    <row r="13" spans="1:49" x14ac:dyDescent="0.35">
      <c r="A13" s="48" t="s">
        <v>599</v>
      </c>
      <c r="B13" t="s">
        <v>611</v>
      </c>
      <c r="C13" s="49">
        <v>42.3</v>
      </c>
      <c r="D13" s="49">
        <v>55.8</v>
      </c>
      <c r="E13" s="49">
        <v>22.2</v>
      </c>
      <c r="F13" s="49">
        <v>12.2</v>
      </c>
      <c r="G13" s="49">
        <v>72</v>
      </c>
      <c r="H13" s="47">
        <v>21216</v>
      </c>
      <c r="J13">
        <v>295</v>
      </c>
      <c r="K13" s="49">
        <v>30</v>
      </c>
      <c r="L13">
        <v>10</v>
      </c>
      <c r="M13">
        <v>25</v>
      </c>
      <c r="N13" s="43">
        <v>3</v>
      </c>
      <c r="O13">
        <v>366</v>
      </c>
      <c r="P13" s="21">
        <v>15.46</v>
      </c>
      <c r="Q13">
        <v>17</v>
      </c>
      <c r="R13" s="43"/>
      <c r="S13" s="42">
        <v>1.5543468425444599E-2</v>
      </c>
      <c r="T13" s="21">
        <v>3599</v>
      </c>
      <c r="U13" s="4">
        <v>28</v>
      </c>
      <c r="V13" s="40">
        <v>1437.1957210218841</v>
      </c>
      <c r="W13" s="40">
        <v>6.7741125613776584E-2</v>
      </c>
      <c r="X13" s="40">
        <v>469.1759106200285</v>
      </c>
      <c r="Y13" s="40">
        <v>2.2114249180808281E-2</v>
      </c>
      <c r="Z13" s="43">
        <v>1728.1553957818921</v>
      </c>
      <c r="AA13" s="40">
        <v>8.1455288262721165E-2</v>
      </c>
      <c r="AB13" s="43">
        <v>3634.5270274238046</v>
      </c>
      <c r="AC13" s="43">
        <v>0.17131066305730602</v>
      </c>
      <c r="AD13" s="9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V13"/>
      <c r="AW13"/>
    </row>
    <row r="14" spans="1:49" x14ac:dyDescent="0.35">
      <c r="A14" s="48" t="s">
        <v>599</v>
      </c>
      <c r="B14" t="s">
        <v>612</v>
      </c>
      <c r="C14" s="49">
        <v>40.299999999999997</v>
      </c>
      <c r="D14" s="49">
        <v>44.2</v>
      </c>
      <c r="E14" s="49">
        <v>21.7</v>
      </c>
      <c r="F14" s="49">
        <v>14.2</v>
      </c>
      <c r="G14" s="49">
        <v>70</v>
      </c>
      <c r="H14" s="47">
        <v>46592</v>
      </c>
      <c r="J14">
        <v>666</v>
      </c>
      <c r="K14" s="49">
        <v>41</v>
      </c>
      <c r="L14">
        <v>17</v>
      </c>
      <c r="M14">
        <v>56</v>
      </c>
      <c r="N14" s="43">
        <v>5</v>
      </c>
      <c r="O14">
        <v>583</v>
      </c>
      <c r="P14" s="21">
        <v>25.74</v>
      </c>
      <c r="Q14">
        <v>17</v>
      </c>
      <c r="R14" s="43"/>
      <c r="S14" s="42">
        <v>2.5878970069271999E-2</v>
      </c>
      <c r="T14" s="21">
        <v>9457.1999999999989</v>
      </c>
      <c r="U14" s="4">
        <v>28</v>
      </c>
      <c r="V14" s="40">
        <v>2392.8472095150969</v>
      </c>
      <c r="W14" s="40">
        <v>5.1357469297628279E-2</v>
      </c>
      <c r="X14" s="40">
        <v>781.15057822506901</v>
      </c>
      <c r="Y14" s="40">
        <v>1.6765766187866352E-2</v>
      </c>
      <c r="Z14" s="43">
        <v>2877.2781298464442</v>
      </c>
      <c r="AA14" s="40">
        <v>6.1754767553366334E-2</v>
      </c>
      <c r="AB14" s="43">
        <v>6051.2759175866104</v>
      </c>
      <c r="AC14" s="43">
        <v>0.12987800303886096</v>
      </c>
      <c r="AD14" s="9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V14"/>
      <c r="AW14"/>
    </row>
    <row r="15" spans="1:49" x14ac:dyDescent="0.35">
      <c r="A15" s="48" t="s">
        <v>599</v>
      </c>
      <c r="B15" t="s">
        <v>613</v>
      </c>
      <c r="C15" s="49">
        <v>40.299999999999997</v>
      </c>
      <c r="D15" s="49">
        <v>44.2</v>
      </c>
      <c r="E15" s="49">
        <v>21.7</v>
      </c>
      <c r="F15" s="49">
        <v>14.2</v>
      </c>
      <c r="G15" s="49">
        <v>70</v>
      </c>
      <c r="H15" s="47">
        <v>46592</v>
      </c>
      <c r="J15">
        <v>666</v>
      </c>
      <c r="K15" s="49">
        <v>41</v>
      </c>
      <c r="L15">
        <v>17</v>
      </c>
      <c r="M15">
        <v>56</v>
      </c>
      <c r="N15" s="43">
        <v>5</v>
      </c>
      <c r="O15">
        <v>583</v>
      </c>
      <c r="P15" s="21">
        <v>25.74</v>
      </c>
      <c r="Q15">
        <v>17</v>
      </c>
      <c r="R15" s="43"/>
      <c r="S15" s="42">
        <v>2.5878970069271999E-2</v>
      </c>
      <c r="T15" s="21">
        <v>9457.1999999999989</v>
      </c>
      <c r="U15" s="4">
        <v>28</v>
      </c>
      <c r="V15" s="40">
        <v>2392.8472095150969</v>
      </c>
      <c r="W15" s="40">
        <v>5.1357469297628279E-2</v>
      </c>
      <c r="X15" s="40">
        <v>781.15057822506901</v>
      </c>
      <c r="Y15" s="40">
        <v>1.6765766187866352E-2</v>
      </c>
      <c r="Z15" s="43">
        <v>2877.2781298464442</v>
      </c>
      <c r="AA15" s="40">
        <v>6.1754767553366334E-2</v>
      </c>
      <c r="AB15" s="43">
        <v>6051.2759175866104</v>
      </c>
      <c r="AC15" s="43">
        <v>0.12987800303886096</v>
      </c>
      <c r="AD15" s="9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V15"/>
      <c r="AW15"/>
    </row>
    <row r="16" spans="1:49" x14ac:dyDescent="0.35">
      <c r="A16" s="48" t="s">
        <v>599</v>
      </c>
      <c r="B16" t="s">
        <v>614</v>
      </c>
      <c r="C16" s="49">
        <v>40.299999999999997</v>
      </c>
      <c r="D16" s="49">
        <v>44.2</v>
      </c>
      <c r="E16" s="49">
        <v>21.7</v>
      </c>
      <c r="F16" s="49">
        <v>14.2</v>
      </c>
      <c r="G16" s="49">
        <v>70</v>
      </c>
      <c r="H16" s="47">
        <v>46592</v>
      </c>
      <c r="J16">
        <v>666</v>
      </c>
      <c r="K16" s="49">
        <v>41</v>
      </c>
      <c r="L16">
        <v>17</v>
      </c>
      <c r="M16">
        <v>56</v>
      </c>
      <c r="N16" s="43">
        <v>5</v>
      </c>
      <c r="O16">
        <v>583</v>
      </c>
      <c r="P16" s="21">
        <v>25.74</v>
      </c>
      <c r="Q16">
        <v>17</v>
      </c>
      <c r="R16" s="43"/>
      <c r="S16" s="42">
        <v>2.5878970069271999E-2</v>
      </c>
      <c r="T16" s="21">
        <v>9457.1999999999989</v>
      </c>
      <c r="U16" s="4">
        <v>28</v>
      </c>
      <c r="V16" s="40">
        <v>2392.8472095150969</v>
      </c>
      <c r="W16" s="40">
        <v>5.1357469297628279E-2</v>
      </c>
      <c r="X16" s="40">
        <v>781.15057822506901</v>
      </c>
      <c r="Y16" s="40">
        <v>1.6765766187866352E-2</v>
      </c>
      <c r="Z16" s="43">
        <v>2877.2781298464442</v>
      </c>
      <c r="AA16" s="40">
        <v>6.1754767553366334E-2</v>
      </c>
      <c r="AB16" s="43">
        <v>6051.2759175866104</v>
      </c>
      <c r="AC16" s="43">
        <v>0.12987800303886096</v>
      </c>
      <c r="AD16" s="9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V16"/>
      <c r="AW16"/>
    </row>
    <row r="17" spans="1:49" x14ac:dyDescent="0.35">
      <c r="A17" s="48" t="s">
        <v>599</v>
      </c>
      <c r="B17" t="s">
        <v>615</v>
      </c>
      <c r="C17" s="49">
        <v>40.299999999999997</v>
      </c>
      <c r="D17" s="49">
        <v>44.2</v>
      </c>
      <c r="E17" s="49">
        <v>21.7</v>
      </c>
      <c r="F17" s="49">
        <v>14.2</v>
      </c>
      <c r="G17" s="49">
        <v>70</v>
      </c>
      <c r="H17" s="47">
        <v>46592</v>
      </c>
      <c r="J17">
        <v>666</v>
      </c>
      <c r="K17" s="49">
        <v>41</v>
      </c>
      <c r="L17">
        <v>17</v>
      </c>
      <c r="M17">
        <v>56</v>
      </c>
      <c r="N17" s="43">
        <v>5</v>
      </c>
      <c r="O17">
        <v>583</v>
      </c>
      <c r="P17" s="21">
        <v>25.74</v>
      </c>
      <c r="Q17">
        <v>17</v>
      </c>
      <c r="R17" s="43"/>
      <c r="S17" s="42">
        <v>2.5878970069271999E-2</v>
      </c>
      <c r="T17" s="21">
        <v>9457.1999999999989</v>
      </c>
      <c r="U17" s="4">
        <v>28</v>
      </c>
      <c r="V17" s="40">
        <v>2392.8472095150969</v>
      </c>
      <c r="W17" s="40">
        <v>5.1357469297628279E-2</v>
      </c>
      <c r="X17" s="40">
        <v>781.15057822506901</v>
      </c>
      <c r="Y17" s="40">
        <v>1.6765766187866352E-2</v>
      </c>
      <c r="Z17" s="43">
        <v>2877.2781298464442</v>
      </c>
      <c r="AA17" s="40">
        <v>6.1754767553366334E-2</v>
      </c>
      <c r="AB17" s="43">
        <v>6051.2759175866104</v>
      </c>
      <c r="AC17" s="43">
        <v>0.12987800303886096</v>
      </c>
      <c r="AD17" s="9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V17"/>
      <c r="AW17"/>
    </row>
    <row r="18" spans="1:49" x14ac:dyDescent="0.35">
      <c r="A18" s="48" t="s">
        <v>599</v>
      </c>
      <c r="B18" t="s">
        <v>616</v>
      </c>
      <c r="C18" s="49">
        <v>40.299999999999997</v>
      </c>
      <c r="D18" s="49">
        <v>44.2</v>
      </c>
      <c r="E18" s="49">
        <v>21.7</v>
      </c>
      <c r="F18" s="49">
        <v>14.2</v>
      </c>
      <c r="G18" s="49">
        <v>70</v>
      </c>
      <c r="H18" s="47">
        <v>46592</v>
      </c>
      <c r="J18">
        <v>666</v>
      </c>
      <c r="K18" s="49">
        <v>41</v>
      </c>
      <c r="L18">
        <v>17</v>
      </c>
      <c r="M18">
        <v>56</v>
      </c>
      <c r="N18" s="43">
        <v>5</v>
      </c>
      <c r="O18">
        <v>583</v>
      </c>
      <c r="P18" s="21">
        <v>25.74</v>
      </c>
      <c r="Q18">
        <v>17</v>
      </c>
      <c r="R18" s="43"/>
      <c r="S18" s="42">
        <v>2.5878970069271999E-2</v>
      </c>
      <c r="T18" s="21">
        <v>9457.1999999999989</v>
      </c>
      <c r="U18" s="4">
        <v>28</v>
      </c>
      <c r="V18" s="40">
        <v>2392.8472095150969</v>
      </c>
      <c r="W18" s="40">
        <v>5.1357469297628279E-2</v>
      </c>
      <c r="X18" s="40">
        <v>781.15057822506901</v>
      </c>
      <c r="Y18" s="40">
        <v>1.6765766187866352E-2</v>
      </c>
      <c r="Z18" s="43">
        <v>2877.2781298464442</v>
      </c>
      <c r="AA18" s="40">
        <v>6.1754767553366334E-2</v>
      </c>
      <c r="AB18" s="43">
        <v>6051.2759175866104</v>
      </c>
      <c r="AC18" s="43">
        <v>0.12987800303886096</v>
      </c>
      <c r="AD18" s="9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V18"/>
      <c r="AW18"/>
    </row>
    <row r="19" spans="1:49" x14ac:dyDescent="0.35">
      <c r="A19" s="48" t="s">
        <v>599</v>
      </c>
      <c r="B19" t="s">
        <v>617</v>
      </c>
      <c r="C19" s="49">
        <v>40.299999999999997</v>
      </c>
      <c r="D19" s="49">
        <v>44.2</v>
      </c>
      <c r="E19" s="49">
        <v>21.7</v>
      </c>
      <c r="F19" s="49">
        <v>14.2</v>
      </c>
      <c r="G19" s="49">
        <v>70</v>
      </c>
      <c r="H19" s="47">
        <v>46592</v>
      </c>
      <c r="J19">
        <v>666</v>
      </c>
      <c r="K19" s="49">
        <v>41</v>
      </c>
      <c r="L19">
        <v>17</v>
      </c>
      <c r="M19">
        <v>56</v>
      </c>
      <c r="N19" s="43">
        <v>5</v>
      </c>
      <c r="O19">
        <v>583</v>
      </c>
      <c r="P19" s="21">
        <v>25.74</v>
      </c>
      <c r="Q19">
        <v>17</v>
      </c>
      <c r="R19" s="43"/>
      <c r="S19" s="42">
        <v>2.5878970069271999E-2</v>
      </c>
      <c r="T19" s="21">
        <v>9457.1999999999989</v>
      </c>
      <c r="U19" s="4">
        <v>28</v>
      </c>
      <c r="V19" s="40">
        <v>2392.8472095150969</v>
      </c>
      <c r="W19" s="40">
        <v>5.1357469297628279E-2</v>
      </c>
      <c r="X19" s="40">
        <v>781.15057822506901</v>
      </c>
      <c r="Y19" s="40">
        <v>1.6765766187866352E-2</v>
      </c>
      <c r="Z19" s="43">
        <v>2877.2781298464442</v>
      </c>
      <c r="AA19" s="40">
        <v>6.1754767553366334E-2</v>
      </c>
      <c r="AB19" s="43">
        <v>6051.2759175866104</v>
      </c>
      <c r="AC19" s="43">
        <v>0.12987800303886096</v>
      </c>
      <c r="AD19" s="9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V19"/>
      <c r="AW19"/>
    </row>
    <row r="20" spans="1:49" x14ac:dyDescent="0.35">
      <c r="A20" s="48" t="s">
        <v>599</v>
      </c>
      <c r="B20" t="s">
        <v>618</v>
      </c>
      <c r="C20" s="49">
        <v>34.200000000000003</v>
      </c>
      <c r="D20" s="49">
        <v>35.799999999999997</v>
      </c>
      <c r="E20" s="49">
        <v>25.3</v>
      </c>
      <c r="F20" s="49">
        <v>15.8</v>
      </c>
      <c r="G20" s="49">
        <v>40</v>
      </c>
      <c r="H20" s="47">
        <v>24960</v>
      </c>
      <c r="J20">
        <v>624</v>
      </c>
      <c r="K20" s="49">
        <v>51</v>
      </c>
      <c r="L20">
        <v>13</v>
      </c>
      <c r="M20">
        <v>52</v>
      </c>
      <c r="N20" s="43">
        <v>4</v>
      </c>
      <c r="O20">
        <v>806</v>
      </c>
      <c r="P20" s="21">
        <v>19.329999999999998</v>
      </c>
      <c r="Q20">
        <v>17</v>
      </c>
      <c r="R20" s="43"/>
      <c r="S20" s="42">
        <v>1.9434362526768799E-2</v>
      </c>
      <c r="T20" s="21">
        <v>9859.2000000000007</v>
      </c>
      <c r="U20" s="4">
        <v>28</v>
      </c>
      <c r="V20" s="40">
        <v>1796.9594623126234</v>
      </c>
      <c r="W20" s="40">
        <v>7.1993568201627542E-2</v>
      </c>
      <c r="X20" s="40">
        <v>586.62162692659751</v>
      </c>
      <c r="Y20" s="40">
        <v>2.3502469027507914E-2</v>
      </c>
      <c r="Z20" s="43">
        <v>2160.7531565630106</v>
      </c>
      <c r="AA20" s="40">
        <v>8.6568636080248826E-2</v>
      </c>
      <c r="AB20" s="43">
        <v>4544.3342458022316</v>
      </c>
      <c r="AC20" s="43">
        <v>0.18206467330938428</v>
      </c>
      <c r="AD20" s="9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V20"/>
      <c r="AW20"/>
    </row>
    <row r="21" spans="1:49" x14ac:dyDescent="0.35">
      <c r="A21" s="48" t="s">
        <v>599</v>
      </c>
      <c r="B21" t="s">
        <v>619</v>
      </c>
      <c r="C21" s="49">
        <v>34.200000000000003</v>
      </c>
      <c r="D21" s="49">
        <v>35.799999999999997</v>
      </c>
      <c r="E21" s="49">
        <v>25.3</v>
      </c>
      <c r="F21" s="49">
        <v>14.6</v>
      </c>
      <c r="G21" s="49">
        <v>40</v>
      </c>
      <c r="H21" s="47">
        <v>24960</v>
      </c>
      <c r="J21">
        <v>624</v>
      </c>
      <c r="K21" s="49">
        <v>51</v>
      </c>
      <c r="L21">
        <v>13</v>
      </c>
      <c r="M21">
        <v>52</v>
      </c>
      <c r="N21" s="43">
        <v>4</v>
      </c>
      <c r="O21">
        <v>745</v>
      </c>
      <c r="P21" s="21">
        <v>19.329999999999998</v>
      </c>
      <c r="Q21">
        <v>17</v>
      </c>
      <c r="R21" s="43"/>
      <c r="S21" s="42">
        <v>1.9434362526768799E-2</v>
      </c>
      <c r="T21" s="21">
        <v>9110.4</v>
      </c>
      <c r="U21" s="4">
        <v>28</v>
      </c>
      <c r="V21" s="40">
        <v>1796.9594623126234</v>
      </c>
      <c r="W21" s="40">
        <v>7.1993568201627542E-2</v>
      </c>
      <c r="X21" s="40">
        <v>586.62162692659751</v>
      </c>
      <c r="Y21" s="40">
        <v>2.3502469027507914E-2</v>
      </c>
      <c r="Z21" s="43">
        <v>2160.7531565630106</v>
      </c>
      <c r="AA21" s="40">
        <v>8.6568636080248826E-2</v>
      </c>
      <c r="AB21" s="43">
        <v>4544.3342458022316</v>
      </c>
      <c r="AC21" s="43">
        <v>0.18206467330938428</v>
      </c>
      <c r="AD21" s="9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V21"/>
      <c r="AW21"/>
    </row>
    <row r="22" spans="1:49" x14ac:dyDescent="0.35">
      <c r="A22" s="48" t="s">
        <v>599</v>
      </c>
      <c r="B22" t="s">
        <v>620</v>
      </c>
      <c r="C22" s="49">
        <v>34.200000000000003</v>
      </c>
      <c r="D22" s="49">
        <v>35.799999999999997</v>
      </c>
      <c r="E22" s="49">
        <v>25.3</v>
      </c>
      <c r="F22" s="49">
        <v>14.2</v>
      </c>
      <c r="G22" s="49">
        <v>40</v>
      </c>
      <c r="H22" s="47">
        <v>24960</v>
      </c>
      <c r="J22">
        <v>624</v>
      </c>
      <c r="K22" s="49">
        <v>51</v>
      </c>
      <c r="L22">
        <v>13</v>
      </c>
      <c r="M22">
        <v>52</v>
      </c>
      <c r="N22" s="43">
        <v>4</v>
      </c>
      <c r="O22">
        <v>725</v>
      </c>
      <c r="P22" s="21">
        <v>19.329999999999998</v>
      </c>
      <c r="Q22">
        <v>17</v>
      </c>
      <c r="R22" s="43"/>
      <c r="S22" s="42">
        <v>1.9434362526768799E-2</v>
      </c>
      <c r="T22" s="21">
        <v>8860.7999999999993</v>
      </c>
      <c r="U22" s="4">
        <v>28</v>
      </c>
      <c r="V22" s="40">
        <v>1796.9594623126234</v>
      </c>
      <c r="W22" s="40">
        <v>7.1993568201627542E-2</v>
      </c>
      <c r="X22" s="40">
        <v>586.62162692659751</v>
      </c>
      <c r="Y22" s="40">
        <v>2.3502469027507914E-2</v>
      </c>
      <c r="Z22" s="43">
        <v>2160.7531565630106</v>
      </c>
      <c r="AA22" s="40">
        <v>8.6568636080248826E-2</v>
      </c>
      <c r="AB22" s="43">
        <v>4544.3342458022316</v>
      </c>
      <c r="AC22" s="43">
        <v>0.18206467330938428</v>
      </c>
      <c r="AD22" s="9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V22"/>
      <c r="AW22"/>
    </row>
    <row r="23" spans="1:49" x14ac:dyDescent="0.35">
      <c r="A23" s="48" t="s">
        <v>599</v>
      </c>
      <c r="B23" t="s">
        <v>621</v>
      </c>
      <c r="C23" s="49">
        <v>34.200000000000003</v>
      </c>
      <c r="D23" s="49">
        <v>35.799999999999997</v>
      </c>
      <c r="E23" s="49">
        <v>25.3</v>
      </c>
      <c r="F23" s="49">
        <v>14.2</v>
      </c>
      <c r="G23" s="49">
        <v>40</v>
      </c>
      <c r="H23" s="47">
        <v>24960</v>
      </c>
      <c r="J23">
        <v>624</v>
      </c>
      <c r="K23" s="49">
        <v>51</v>
      </c>
      <c r="L23">
        <v>13</v>
      </c>
      <c r="M23">
        <v>52</v>
      </c>
      <c r="N23" s="43">
        <v>4</v>
      </c>
      <c r="O23">
        <v>725</v>
      </c>
      <c r="P23" s="21">
        <v>19.329999999999998</v>
      </c>
      <c r="Q23">
        <v>17</v>
      </c>
      <c r="R23" s="43"/>
      <c r="S23" s="42">
        <v>1.9434362526768799E-2</v>
      </c>
      <c r="T23" s="21">
        <v>8860.7999999999993</v>
      </c>
      <c r="U23" s="4">
        <v>28</v>
      </c>
      <c r="V23" s="40">
        <v>1796.9594623126234</v>
      </c>
      <c r="W23" s="40">
        <v>7.1993568201627542E-2</v>
      </c>
      <c r="X23" s="40">
        <v>586.62162692659751</v>
      </c>
      <c r="Y23" s="40">
        <v>2.3502469027507914E-2</v>
      </c>
      <c r="Z23" s="43">
        <v>2160.7531565630106</v>
      </c>
      <c r="AA23" s="40">
        <v>8.6568636080248826E-2</v>
      </c>
      <c r="AB23" s="43">
        <v>4544.3342458022316</v>
      </c>
      <c r="AC23" s="43">
        <v>0.18206467330938428</v>
      </c>
      <c r="AD23" s="9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V23"/>
      <c r="AW23"/>
    </row>
    <row r="24" spans="1:49" x14ac:dyDescent="0.35">
      <c r="A24" s="48" t="s">
        <v>599</v>
      </c>
      <c r="B24" t="s">
        <v>622</v>
      </c>
      <c r="C24" s="49">
        <v>34.200000000000003</v>
      </c>
      <c r="D24" s="49">
        <v>35.799999999999997</v>
      </c>
      <c r="E24" s="49">
        <v>25.3</v>
      </c>
      <c r="F24" s="49">
        <v>14.14</v>
      </c>
      <c r="G24" s="49">
        <v>40</v>
      </c>
      <c r="H24" s="47">
        <v>24960</v>
      </c>
      <c r="J24">
        <v>624</v>
      </c>
      <c r="K24" s="49">
        <v>51</v>
      </c>
      <c r="L24">
        <v>13</v>
      </c>
      <c r="M24">
        <v>52</v>
      </c>
      <c r="N24" s="43">
        <v>4</v>
      </c>
      <c r="O24">
        <v>722</v>
      </c>
      <c r="P24" s="21">
        <v>19.329999999999998</v>
      </c>
      <c r="Q24">
        <v>17</v>
      </c>
      <c r="R24" s="43"/>
      <c r="S24" s="42">
        <v>1.9434362526768799E-2</v>
      </c>
      <c r="T24" s="21">
        <v>8823.36</v>
      </c>
      <c r="U24" s="4">
        <v>28</v>
      </c>
      <c r="V24" s="40">
        <v>1796.9594623126234</v>
      </c>
      <c r="W24" s="40">
        <v>7.1993568201627542E-2</v>
      </c>
      <c r="X24" s="40">
        <v>586.62162692659751</v>
      </c>
      <c r="Y24" s="40">
        <v>2.3502469027507914E-2</v>
      </c>
      <c r="Z24" s="43">
        <v>2160.7531565630106</v>
      </c>
      <c r="AA24" s="40">
        <v>8.6568636080248826E-2</v>
      </c>
      <c r="AB24" s="43">
        <v>4544.3342458022316</v>
      </c>
      <c r="AC24" s="43">
        <v>0.18206467330938428</v>
      </c>
      <c r="AD24" s="9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V24"/>
      <c r="AW24"/>
    </row>
    <row r="25" spans="1:49" x14ac:dyDescent="0.35">
      <c r="A25" s="48" t="s">
        <v>599</v>
      </c>
      <c r="B25" t="s">
        <v>623</v>
      </c>
      <c r="C25" s="49">
        <v>34.200000000000003</v>
      </c>
      <c r="D25" s="49">
        <v>35.799999999999997</v>
      </c>
      <c r="E25" s="49">
        <v>25.3</v>
      </c>
      <c r="F25" s="49">
        <v>14.14</v>
      </c>
      <c r="G25" s="49">
        <v>40</v>
      </c>
      <c r="H25" s="47">
        <v>24960</v>
      </c>
      <c r="J25">
        <v>624</v>
      </c>
      <c r="K25" s="49">
        <v>51</v>
      </c>
      <c r="L25">
        <v>13</v>
      </c>
      <c r="M25">
        <v>52</v>
      </c>
      <c r="N25" s="43">
        <v>4</v>
      </c>
      <c r="O25">
        <v>722</v>
      </c>
      <c r="P25" s="21">
        <v>19.329999999999998</v>
      </c>
      <c r="Q25">
        <v>17</v>
      </c>
      <c r="R25" s="43"/>
      <c r="S25" s="42">
        <v>1.9434362526768799E-2</v>
      </c>
      <c r="T25" s="21">
        <v>8823.36</v>
      </c>
      <c r="U25" s="4">
        <v>28</v>
      </c>
      <c r="V25" s="40">
        <v>1796.9594623126234</v>
      </c>
      <c r="W25" s="40">
        <v>7.1993568201627542E-2</v>
      </c>
      <c r="X25" s="40">
        <v>586.62162692659751</v>
      </c>
      <c r="Y25" s="40">
        <v>2.3502469027507914E-2</v>
      </c>
      <c r="Z25" s="43">
        <v>2160.7531565630106</v>
      </c>
      <c r="AA25" s="40">
        <v>8.6568636080248826E-2</v>
      </c>
      <c r="AB25" s="43">
        <v>4544.3342458022316</v>
      </c>
      <c r="AC25" s="43">
        <v>0.18206467330938428</v>
      </c>
      <c r="AD25" s="9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V25"/>
      <c r="AW25"/>
    </row>
    <row r="26" spans="1:49" x14ac:dyDescent="0.35">
      <c r="A26" s="48" t="s">
        <v>599</v>
      </c>
      <c r="B26" t="s">
        <v>624</v>
      </c>
      <c r="C26" s="49">
        <v>35.1</v>
      </c>
      <c r="D26" s="49">
        <v>44.1</v>
      </c>
      <c r="E26" s="49">
        <v>19.5</v>
      </c>
      <c r="F26" s="49">
        <v>14.14</v>
      </c>
      <c r="G26" s="49">
        <v>24</v>
      </c>
      <c r="H26" s="47">
        <v>16224</v>
      </c>
      <c r="J26">
        <v>676</v>
      </c>
      <c r="K26" s="49">
        <v>52</v>
      </c>
      <c r="L26">
        <v>13</v>
      </c>
      <c r="M26">
        <v>57</v>
      </c>
      <c r="N26" s="43">
        <v>4</v>
      </c>
      <c r="O26">
        <v>736</v>
      </c>
      <c r="P26" s="21">
        <v>20.399999999999999</v>
      </c>
      <c r="Q26">
        <v>17</v>
      </c>
      <c r="R26" s="43"/>
      <c r="S26" s="42">
        <v>2.0510139448840298E-2</v>
      </c>
      <c r="T26" s="21">
        <v>9558.6400000000012</v>
      </c>
      <c r="U26" s="4">
        <v>28</v>
      </c>
      <c r="V26" s="40">
        <v>1896.4290238581204</v>
      </c>
      <c r="W26" s="40">
        <v>0.116890349103681</v>
      </c>
      <c r="X26" s="40">
        <v>619.09369836019516</v>
      </c>
      <c r="Y26" s="40">
        <v>3.8159128350603748E-2</v>
      </c>
      <c r="Z26" s="43">
        <v>2280.3602893887924</v>
      </c>
      <c r="AA26" s="40">
        <v>0.14055475156489106</v>
      </c>
      <c r="AB26" s="43">
        <v>4795.8830116071076</v>
      </c>
      <c r="AC26" s="43">
        <v>0.29560422901917582</v>
      </c>
      <c r="AD26" s="9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</row>
    <row r="27" spans="1:49" x14ac:dyDescent="0.35">
      <c r="A27" s="48" t="s">
        <v>599</v>
      </c>
      <c r="B27" t="s">
        <v>625</v>
      </c>
      <c r="C27" s="49">
        <v>35.1</v>
      </c>
      <c r="D27" s="49">
        <v>44.1</v>
      </c>
      <c r="E27" s="49">
        <v>19.5</v>
      </c>
      <c r="F27" s="49">
        <v>14.14</v>
      </c>
      <c r="G27" s="49">
        <v>24</v>
      </c>
      <c r="H27" s="47">
        <v>16224</v>
      </c>
      <c r="J27">
        <v>676</v>
      </c>
      <c r="K27" s="49">
        <v>52</v>
      </c>
      <c r="L27">
        <v>13</v>
      </c>
      <c r="M27">
        <v>57</v>
      </c>
      <c r="N27" s="43">
        <v>4</v>
      </c>
      <c r="O27">
        <v>736</v>
      </c>
      <c r="P27" s="21">
        <v>20.399999999999999</v>
      </c>
      <c r="Q27">
        <v>17</v>
      </c>
      <c r="R27" s="43"/>
      <c r="S27" s="42">
        <v>2.0510139448840298E-2</v>
      </c>
      <c r="T27" s="21">
        <v>9558.6400000000012</v>
      </c>
      <c r="U27" s="4">
        <v>28</v>
      </c>
      <c r="V27" s="40">
        <v>1896.4290238581204</v>
      </c>
      <c r="W27" s="40">
        <v>0.116890349103681</v>
      </c>
      <c r="X27" s="40">
        <v>619.09369836019516</v>
      </c>
      <c r="Y27" s="40">
        <v>3.8159128350603748E-2</v>
      </c>
      <c r="Z27" s="43">
        <v>2280.3602893887924</v>
      </c>
      <c r="AA27" s="40">
        <v>0.14055475156489106</v>
      </c>
      <c r="AB27" s="43">
        <v>4795.8830116071076</v>
      </c>
      <c r="AC27" s="43">
        <v>0.29560422901917582</v>
      </c>
      <c r="AD27" s="9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</row>
    <row r="28" spans="1:49" x14ac:dyDescent="0.35">
      <c r="A28" s="48" t="s">
        <v>599</v>
      </c>
      <c r="B28" t="s">
        <v>626</v>
      </c>
      <c r="C28" s="49">
        <v>35.1</v>
      </c>
      <c r="D28" s="49">
        <v>44.1</v>
      </c>
      <c r="E28" s="49">
        <v>19.5</v>
      </c>
      <c r="F28" s="49">
        <v>14.14</v>
      </c>
      <c r="G28" s="49">
        <v>24</v>
      </c>
      <c r="H28" s="47">
        <v>16224</v>
      </c>
      <c r="J28">
        <v>676</v>
      </c>
      <c r="K28" s="49">
        <v>52</v>
      </c>
      <c r="L28">
        <v>13</v>
      </c>
      <c r="M28">
        <v>57</v>
      </c>
      <c r="N28" s="43">
        <v>4</v>
      </c>
      <c r="O28">
        <v>736</v>
      </c>
      <c r="P28" s="21">
        <v>20.399999999999999</v>
      </c>
      <c r="Q28">
        <v>17</v>
      </c>
      <c r="R28" s="43"/>
      <c r="S28" s="42">
        <v>2.0510139448840298E-2</v>
      </c>
      <c r="T28" s="21">
        <v>9558.6400000000012</v>
      </c>
      <c r="U28" s="4">
        <v>28</v>
      </c>
      <c r="V28" s="40">
        <v>1896.4290238581204</v>
      </c>
      <c r="W28" s="40">
        <v>0.116890349103681</v>
      </c>
      <c r="X28" s="40">
        <v>619.09369836019516</v>
      </c>
      <c r="Y28" s="40">
        <v>3.8159128350603748E-2</v>
      </c>
      <c r="Z28" s="43">
        <v>2280.3602893887924</v>
      </c>
      <c r="AA28" s="40">
        <v>0.14055475156489106</v>
      </c>
      <c r="AB28" s="43">
        <v>4795.8830116071076</v>
      </c>
      <c r="AC28" s="43">
        <v>0.29560422901917582</v>
      </c>
      <c r="AD28" s="9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</row>
    <row r="29" spans="1:49" x14ac:dyDescent="0.35">
      <c r="A29" s="48" t="s">
        <v>599</v>
      </c>
      <c r="B29" t="s">
        <v>627</v>
      </c>
      <c r="C29" s="49">
        <v>35.1</v>
      </c>
      <c r="D29" s="49">
        <v>44.1</v>
      </c>
      <c r="E29" s="49">
        <v>19.5</v>
      </c>
      <c r="F29" s="49">
        <v>14.14</v>
      </c>
      <c r="G29" s="49">
        <v>24</v>
      </c>
      <c r="H29" s="47">
        <v>16224</v>
      </c>
      <c r="J29">
        <v>676</v>
      </c>
      <c r="K29" s="49">
        <v>52</v>
      </c>
      <c r="L29">
        <v>13</v>
      </c>
      <c r="M29">
        <v>57</v>
      </c>
      <c r="N29" s="43">
        <v>4</v>
      </c>
      <c r="O29">
        <v>736</v>
      </c>
      <c r="P29" s="21">
        <v>20.399999999999999</v>
      </c>
      <c r="Q29">
        <v>17</v>
      </c>
      <c r="R29" s="43"/>
      <c r="S29" s="42">
        <v>2.0510139448840298E-2</v>
      </c>
      <c r="T29" s="21">
        <v>9558.6400000000012</v>
      </c>
      <c r="U29" s="4">
        <v>28</v>
      </c>
      <c r="V29" s="40">
        <v>1896.4290238581204</v>
      </c>
      <c r="W29" s="40">
        <v>0.116890349103681</v>
      </c>
      <c r="X29" s="40">
        <v>619.09369836019516</v>
      </c>
      <c r="Y29" s="40">
        <v>3.8159128350603748E-2</v>
      </c>
      <c r="Z29" s="43">
        <v>2280.3602893887924</v>
      </c>
      <c r="AA29" s="40">
        <v>0.14055475156489106</v>
      </c>
      <c r="AB29" s="43">
        <v>4795.8830116071076</v>
      </c>
      <c r="AC29" s="43">
        <v>0.29560422901917582</v>
      </c>
      <c r="AD29" s="9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</row>
    <row r="30" spans="1:49" x14ac:dyDescent="0.35">
      <c r="A30" s="48" t="s">
        <v>599</v>
      </c>
      <c r="B30" t="s">
        <v>628</v>
      </c>
      <c r="C30" s="49">
        <v>35.1</v>
      </c>
      <c r="D30" s="49">
        <v>44.1</v>
      </c>
      <c r="E30" s="49">
        <v>19.5</v>
      </c>
      <c r="F30" s="49">
        <v>14.14</v>
      </c>
      <c r="G30" s="49">
        <v>24</v>
      </c>
      <c r="H30" s="47">
        <v>16224</v>
      </c>
      <c r="J30">
        <v>676</v>
      </c>
      <c r="K30" s="49">
        <v>52</v>
      </c>
      <c r="L30">
        <v>13</v>
      </c>
      <c r="M30">
        <v>57</v>
      </c>
      <c r="N30" s="43">
        <v>4</v>
      </c>
      <c r="O30">
        <v>736</v>
      </c>
      <c r="P30" s="21">
        <v>20.399999999999999</v>
      </c>
      <c r="Q30">
        <v>17</v>
      </c>
      <c r="R30" s="43"/>
      <c r="S30" s="42">
        <v>2.0510139448840298E-2</v>
      </c>
      <c r="T30" s="21">
        <v>9558.6400000000012</v>
      </c>
      <c r="U30" s="4">
        <v>28</v>
      </c>
      <c r="V30" s="40">
        <v>1896.4290238581204</v>
      </c>
      <c r="W30" s="40">
        <v>0.116890349103681</v>
      </c>
      <c r="X30" s="40">
        <v>619.09369836019516</v>
      </c>
      <c r="Y30" s="40">
        <v>3.8159128350603748E-2</v>
      </c>
      <c r="Z30" s="43">
        <v>2280.3602893887924</v>
      </c>
      <c r="AA30" s="40">
        <v>0.14055475156489106</v>
      </c>
      <c r="AB30" s="43">
        <v>4795.8830116071076</v>
      </c>
      <c r="AC30" s="43">
        <v>0.29560422901917582</v>
      </c>
      <c r="AD30" s="9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</row>
    <row r="31" spans="1:49" x14ac:dyDescent="0.35">
      <c r="A31" s="48" t="s">
        <v>599</v>
      </c>
      <c r="B31" t="s">
        <v>629</v>
      </c>
      <c r="C31" s="49">
        <v>35.1</v>
      </c>
      <c r="D31" s="49">
        <v>44.1</v>
      </c>
      <c r="E31" s="49">
        <v>19.5</v>
      </c>
      <c r="F31" s="49">
        <v>14.14</v>
      </c>
      <c r="G31" s="49">
        <v>24</v>
      </c>
      <c r="H31" s="47">
        <v>16224</v>
      </c>
      <c r="J31">
        <v>676</v>
      </c>
      <c r="K31" s="49">
        <v>52</v>
      </c>
      <c r="L31">
        <v>13</v>
      </c>
      <c r="M31">
        <v>57</v>
      </c>
      <c r="N31" s="43">
        <v>4</v>
      </c>
      <c r="O31">
        <v>736</v>
      </c>
      <c r="P31" s="21">
        <v>20.399999999999999</v>
      </c>
      <c r="Q31">
        <v>17</v>
      </c>
      <c r="R31" s="43"/>
      <c r="S31" s="42">
        <v>2.0510139448840298E-2</v>
      </c>
      <c r="T31" s="21">
        <v>9558.6400000000012</v>
      </c>
      <c r="U31" s="4">
        <v>28</v>
      </c>
      <c r="V31" s="40">
        <v>1896.4290238581204</v>
      </c>
      <c r="W31" s="40">
        <v>0.116890349103681</v>
      </c>
      <c r="X31" s="40">
        <v>619.09369836019516</v>
      </c>
      <c r="Y31" s="40">
        <v>3.8159128350603748E-2</v>
      </c>
      <c r="Z31" s="43">
        <v>2280.3602893887924</v>
      </c>
      <c r="AA31" s="40">
        <v>0.14055475156489106</v>
      </c>
      <c r="AB31" s="43">
        <v>4795.8830116071076</v>
      </c>
      <c r="AC31" s="43">
        <v>0.29560422901917582</v>
      </c>
      <c r="AD31" s="9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</row>
    <row r="32" spans="1:49" x14ac:dyDescent="0.35">
      <c r="A32" s="48" t="s">
        <v>599</v>
      </c>
      <c r="B32" t="s">
        <v>630</v>
      </c>
      <c r="C32" s="49">
        <v>35</v>
      </c>
      <c r="D32" s="49">
        <v>43.8</v>
      </c>
      <c r="E32" s="49">
        <v>33.4</v>
      </c>
      <c r="F32" s="49">
        <v>14.14</v>
      </c>
      <c r="G32" s="49">
        <v>84</v>
      </c>
      <c r="H32" s="47">
        <v>19136</v>
      </c>
      <c r="J32">
        <v>228</v>
      </c>
      <c r="K32" s="49">
        <v>31</v>
      </c>
      <c r="L32">
        <v>8</v>
      </c>
      <c r="M32">
        <v>19</v>
      </c>
      <c r="N32" s="43">
        <v>2</v>
      </c>
      <c r="O32">
        <v>439</v>
      </c>
      <c r="P32" s="21">
        <v>11.67</v>
      </c>
      <c r="Q32">
        <v>17</v>
      </c>
      <c r="R32" s="43"/>
      <c r="S32" s="42">
        <v>1.17330062435277E-2</v>
      </c>
      <c r="T32" s="21">
        <v>3223.92</v>
      </c>
      <c r="U32" s="4">
        <v>28</v>
      </c>
      <c r="V32" s="40">
        <v>1084.8689562953018</v>
      </c>
      <c r="W32" s="40">
        <v>5.6692566696033751E-2</v>
      </c>
      <c r="X32" s="40">
        <v>354.15801273840401</v>
      </c>
      <c r="Y32" s="40">
        <v>1.8507421234239339E-2</v>
      </c>
      <c r="Z32" s="43">
        <v>1304.500224370935</v>
      </c>
      <c r="AA32" s="40">
        <v>6.8169953196641667E-2</v>
      </c>
      <c r="AB32" s="43">
        <v>2743.5271934046409</v>
      </c>
      <c r="AC32" s="43">
        <v>0.14336994112691476</v>
      </c>
      <c r="AD32" s="9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</row>
    <row r="33" spans="1:47" x14ac:dyDescent="0.35">
      <c r="A33" s="48" t="s">
        <v>599</v>
      </c>
      <c r="B33" t="s">
        <v>631</v>
      </c>
      <c r="C33" s="49">
        <v>35</v>
      </c>
      <c r="D33" s="49">
        <v>43.8</v>
      </c>
      <c r="E33" s="49">
        <v>33.4</v>
      </c>
      <c r="F33" s="49">
        <v>14.14</v>
      </c>
      <c r="G33" s="49">
        <v>84</v>
      </c>
      <c r="H33" s="47">
        <v>19136</v>
      </c>
      <c r="J33">
        <v>228</v>
      </c>
      <c r="K33" s="49">
        <v>31</v>
      </c>
      <c r="L33">
        <v>8</v>
      </c>
      <c r="M33">
        <v>19</v>
      </c>
      <c r="N33" s="43">
        <v>2</v>
      </c>
      <c r="O33">
        <v>439</v>
      </c>
      <c r="P33" s="21">
        <v>11.67</v>
      </c>
      <c r="Q33">
        <v>17</v>
      </c>
      <c r="R33" s="43"/>
      <c r="S33" s="42">
        <v>1.17330062435277E-2</v>
      </c>
      <c r="T33" s="21">
        <v>3223.92</v>
      </c>
      <c r="U33" s="4">
        <v>28</v>
      </c>
      <c r="V33" s="40">
        <v>1084.8689562953018</v>
      </c>
      <c r="W33" s="40">
        <v>5.6692566696033751E-2</v>
      </c>
      <c r="X33" s="40">
        <v>354.15801273840401</v>
      </c>
      <c r="Y33" s="40">
        <v>1.8507421234239339E-2</v>
      </c>
      <c r="Z33" s="43">
        <v>1304.500224370935</v>
      </c>
      <c r="AA33" s="40">
        <v>6.8169953196641667E-2</v>
      </c>
      <c r="AB33" s="43">
        <v>2743.5271934046409</v>
      </c>
      <c r="AC33" s="43">
        <v>0.14336994112691476</v>
      </c>
      <c r="AD33" s="9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</row>
    <row r="34" spans="1:47" x14ac:dyDescent="0.35">
      <c r="A34" s="48" t="s">
        <v>599</v>
      </c>
      <c r="B34" t="s">
        <v>632</v>
      </c>
      <c r="C34" s="49">
        <v>35</v>
      </c>
      <c r="D34" s="49">
        <v>43.8</v>
      </c>
      <c r="E34" s="49">
        <v>33.4</v>
      </c>
      <c r="F34" s="49">
        <v>14.14</v>
      </c>
      <c r="G34" s="49">
        <v>84</v>
      </c>
      <c r="H34" s="47">
        <v>19136</v>
      </c>
      <c r="J34">
        <v>228</v>
      </c>
      <c r="K34" s="49">
        <v>31</v>
      </c>
      <c r="L34">
        <v>8</v>
      </c>
      <c r="M34">
        <v>19</v>
      </c>
      <c r="N34" s="43">
        <v>2</v>
      </c>
      <c r="O34">
        <v>439</v>
      </c>
      <c r="P34" s="21">
        <v>11.67</v>
      </c>
      <c r="Q34">
        <v>17</v>
      </c>
      <c r="R34" s="43"/>
      <c r="S34" s="42">
        <v>1.17330062435277E-2</v>
      </c>
      <c r="T34" s="21">
        <v>3223.92</v>
      </c>
      <c r="U34" s="4">
        <v>28</v>
      </c>
      <c r="V34" s="40">
        <v>1084.8689562953018</v>
      </c>
      <c r="W34" s="40">
        <v>5.6692566696033751E-2</v>
      </c>
      <c r="X34" s="40">
        <v>354.15801273840401</v>
      </c>
      <c r="Y34" s="40">
        <v>1.8507421234239339E-2</v>
      </c>
      <c r="Z34" s="43">
        <v>1304.500224370935</v>
      </c>
      <c r="AA34" s="40">
        <v>6.8169953196641667E-2</v>
      </c>
      <c r="AB34" s="43">
        <v>2743.5271934046409</v>
      </c>
      <c r="AC34" s="43">
        <v>0.14336994112691476</v>
      </c>
      <c r="AD34" s="9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</row>
    <row r="35" spans="1:47" x14ac:dyDescent="0.35">
      <c r="A35" s="48" t="s">
        <v>599</v>
      </c>
      <c r="B35" t="s">
        <v>633</v>
      </c>
      <c r="C35" s="49">
        <v>35</v>
      </c>
      <c r="D35" s="49">
        <v>43.8</v>
      </c>
      <c r="E35" s="49">
        <v>33.4</v>
      </c>
      <c r="F35" s="49">
        <v>14.14</v>
      </c>
      <c r="G35" s="49">
        <v>84</v>
      </c>
      <c r="H35" s="47">
        <v>19136</v>
      </c>
      <c r="J35">
        <v>228</v>
      </c>
      <c r="K35" s="49">
        <v>31</v>
      </c>
      <c r="L35">
        <v>8</v>
      </c>
      <c r="M35">
        <v>19</v>
      </c>
      <c r="N35" s="43">
        <v>2</v>
      </c>
      <c r="O35">
        <v>439</v>
      </c>
      <c r="P35" s="21">
        <v>11.67</v>
      </c>
      <c r="Q35">
        <v>17</v>
      </c>
      <c r="R35" s="43"/>
      <c r="S35" s="42">
        <v>1.17330062435277E-2</v>
      </c>
      <c r="T35" s="21">
        <v>3223.92</v>
      </c>
      <c r="U35" s="4">
        <v>28</v>
      </c>
      <c r="V35" s="40">
        <v>1084.8689562953018</v>
      </c>
      <c r="W35" s="40">
        <v>5.6692566696033751E-2</v>
      </c>
      <c r="X35" s="40">
        <v>354.15801273840401</v>
      </c>
      <c r="Y35" s="40">
        <v>1.8507421234239339E-2</v>
      </c>
      <c r="Z35" s="43">
        <v>1304.500224370935</v>
      </c>
      <c r="AA35" s="40">
        <v>6.8169953196641667E-2</v>
      </c>
      <c r="AB35" s="43">
        <v>2743.5271934046409</v>
      </c>
      <c r="AC35" s="43">
        <v>0.14336994112691476</v>
      </c>
      <c r="AD35" s="9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</row>
    <row r="36" spans="1:47" x14ac:dyDescent="0.35">
      <c r="A36" s="48" t="s">
        <v>599</v>
      </c>
      <c r="B36" t="s">
        <v>634</v>
      </c>
      <c r="C36" s="49">
        <v>35</v>
      </c>
      <c r="D36" s="49">
        <v>43.8</v>
      </c>
      <c r="E36" s="49">
        <v>33.4</v>
      </c>
      <c r="F36" s="49">
        <v>14.14</v>
      </c>
      <c r="G36" s="49">
        <v>84</v>
      </c>
      <c r="H36" s="47">
        <v>19136</v>
      </c>
      <c r="J36">
        <v>228</v>
      </c>
      <c r="K36" s="49">
        <v>31</v>
      </c>
      <c r="L36">
        <v>8</v>
      </c>
      <c r="M36">
        <v>19</v>
      </c>
      <c r="N36" s="43">
        <v>2</v>
      </c>
      <c r="O36">
        <v>439</v>
      </c>
      <c r="P36" s="21">
        <v>11.67</v>
      </c>
      <c r="Q36">
        <v>17</v>
      </c>
      <c r="R36" s="43"/>
      <c r="S36" s="42">
        <v>1.17330062435277E-2</v>
      </c>
      <c r="T36" s="21">
        <v>3223.92</v>
      </c>
      <c r="U36" s="4">
        <v>28</v>
      </c>
      <c r="V36" s="40">
        <v>1084.8689562953018</v>
      </c>
      <c r="W36" s="40">
        <v>5.6692566696033751E-2</v>
      </c>
      <c r="X36" s="40">
        <v>354.15801273840401</v>
      </c>
      <c r="Y36" s="40">
        <v>1.8507421234239339E-2</v>
      </c>
      <c r="Z36" s="43">
        <v>1304.500224370935</v>
      </c>
      <c r="AA36" s="40">
        <v>6.8169953196641667E-2</v>
      </c>
      <c r="AB36" s="43">
        <v>2743.5271934046409</v>
      </c>
      <c r="AC36" s="43">
        <v>0.14336994112691476</v>
      </c>
      <c r="AD36" s="9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</row>
    <row r="37" spans="1:47" x14ac:dyDescent="0.35">
      <c r="A37" s="48" t="s">
        <v>599</v>
      </c>
      <c r="B37" t="s">
        <v>635</v>
      </c>
      <c r="C37" s="49">
        <v>35</v>
      </c>
      <c r="D37" s="49">
        <v>43.8</v>
      </c>
      <c r="E37" s="49">
        <v>33.4</v>
      </c>
      <c r="F37" s="49">
        <v>14.14</v>
      </c>
      <c r="G37" s="49">
        <v>84</v>
      </c>
      <c r="H37" s="47">
        <v>19136</v>
      </c>
      <c r="J37">
        <v>228</v>
      </c>
      <c r="K37" s="49">
        <v>31</v>
      </c>
      <c r="L37">
        <v>8</v>
      </c>
      <c r="M37">
        <v>19</v>
      </c>
      <c r="N37" s="43">
        <v>2</v>
      </c>
      <c r="O37">
        <v>439</v>
      </c>
      <c r="P37" s="21">
        <v>11.67</v>
      </c>
      <c r="Q37">
        <v>17</v>
      </c>
      <c r="R37" s="43"/>
      <c r="S37" s="42">
        <v>1.17330062435277E-2</v>
      </c>
      <c r="T37" s="21">
        <v>3223.92</v>
      </c>
      <c r="U37" s="4">
        <v>28</v>
      </c>
      <c r="V37" s="40">
        <v>1084.8689562953018</v>
      </c>
      <c r="W37" s="40">
        <v>5.6692566696033751E-2</v>
      </c>
      <c r="X37" s="40">
        <v>354.15801273840401</v>
      </c>
      <c r="Y37" s="40">
        <v>1.8507421234239339E-2</v>
      </c>
      <c r="Z37" s="43">
        <v>1304.500224370935</v>
      </c>
      <c r="AA37" s="40">
        <v>6.8169953196641667E-2</v>
      </c>
      <c r="AB37" s="43">
        <v>2743.5271934046409</v>
      </c>
      <c r="AC37" s="43">
        <v>0.14336994112691476</v>
      </c>
      <c r="AD37" s="9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</row>
    <row r="38" spans="1:47" x14ac:dyDescent="0.35">
      <c r="A38" s="48" t="s">
        <v>599</v>
      </c>
      <c r="B38" t="s">
        <v>636</v>
      </c>
      <c r="C38" s="49">
        <v>27.7</v>
      </c>
      <c r="D38" s="49">
        <v>51.3</v>
      </c>
      <c r="E38" s="49">
        <v>32.4</v>
      </c>
      <c r="F38" s="49">
        <v>14.14</v>
      </c>
      <c r="G38" s="49">
        <v>24</v>
      </c>
      <c r="H38" s="47">
        <v>19136</v>
      </c>
      <c r="J38">
        <v>798</v>
      </c>
      <c r="K38" s="49">
        <v>34</v>
      </c>
      <c r="L38">
        <v>24</v>
      </c>
      <c r="M38">
        <v>67</v>
      </c>
      <c r="N38" s="43">
        <v>6</v>
      </c>
      <c r="O38">
        <v>481</v>
      </c>
      <c r="P38" s="21">
        <v>36.74</v>
      </c>
      <c r="Q38">
        <v>17</v>
      </c>
      <c r="R38" s="43"/>
      <c r="S38" s="42">
        <v>3.6938358987764298E-2</v>
      </c>
      <c r="T38" s="21">
        <v>11283.720000000001</v>
      </c>
      <c r="U38" s="4">
        <v>28</v>
      </c>
      <c r="V38" s="40">
        <v>3415.4314870856501</v>
      </c>
      <c r="W38" s="40">
        <v>0.17848199660773673</v>
      </c>
      <c r="X38" s="40">
        <v>1114.9756116545855</v>
      </c>
      <c r="Y38" s="40">
        <v>5.8265865993655179E-2</v>
      </c>
      <c r="Z38" s="43">
        <v>4106.8841682423599</v>
      </c>
      <c r="AA38" s="40">
        <v>0.21461560243741429</v>
      </c>
      <c r="AB38" s="43">
        <v>8637.2912669825964</v>
      </c>
      <c r="AC38" s="43">
        <v>0.4513634650388062</v>
      </c>
      <c r="AD38" s="9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</row>
    <row r="39" spans="1:47" x14ac:dyDescent="0.35">
      <c r="A39" s="48" t="s">
        <v>599</v>
      </c>
      <c r="B39" t="s">
        <v>637</v>
      </c>
      <c r="C39" s="49">
        <v>35</v>
      </c>
      <c r="D39" s="49">
        <v>43.7</v>
      </c>
      <c r="E39" s="49">
        <v>45.2</v>
      </c>
      <c r="F39" s="49">
        <v>14.14</v>
      </c>
      <c r="G39" s="49">
        <v>24</v>
      </c>
      <c r="H39" s="47">
        <v>19136</v>
      </c>
      <c r="J39">
        <v>798</v>
      </c>
      <c r="K39" s="49">
        <v>23</v>
      </c>
      <c r="L39">
        <v>35</v>
      </c>
      <c r="M39">
        <v>67</v>
      </c>
      <c r="N39" s="43">
        <v>9</v>
      </c>
      <c r="O39">
        <v>326</v>
      </c>
      <c r="P39" s="21">
        <v>55.17</v>
      </c>
      <c r="Q39">
        <v>17</v>
      </c>
      <c r="R39" s="43"/>
      <c r="S39" s="42">
        <v>5.5467862421201899E-2</v>
      </c>
      <c r="T39" s="21">
        <v>11283.720000000001</v>
      </c>
      <c r="U39" s="4">
        <v>28</v>
      </c>
      <c r="V39" s="40">
        <v>5128.7249630515917</v>
      </c>
      <c r="W39" s="40">
        <v>0.26801447340361578</v>
      </c>
      <c r="X39" s="40">
        <v>1674.2842813005859</v>
      </c>
      <c r="Y39" s="40">
        <v>8.7493952827162727E-2</v>
      </c>
      <c r="Z39" s="43">
        <v>6167.0331943911578</v>
      </c>
      <c r="AA39" s="40">
        <v>0.32227389184736399</v>
      </c>
      <c r="AB39" s="43">
        <v>12970.042438743334</v>
      </c>
      <c r="AC39" s="43">
        <v>0.67778231807814249</v>
      </c>
      <c r="AD39" s="9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</row>
    <row r="40" spans="1:47" x14ac:dyDescent="0.35">
      <c r="A40" s="48" t="s">
        <v>599</v>
      </c>
      <c r="B40" t="s">
        <v>638</v>
      </c>
      <c r="C40" s="49">
        <v>22.5</v>
      </c>
      <c r="D40" s="49">
        <v>34</v>
      </c>
      <c r="E40" s="49">
        <v>25.5</v>
      </c>
      <c r="F40" s="49">
        <v>14.14</v>
      </c>
      <c r="G40" s="49">
        <v>4</v>
      </c>
      <c r="H40" s="47">
        <v>19136</v>
      </c>
      <c r="J40">
        <v>4784</v>
      </c>
      <c r="K40" s="49">
        <v>80</v>
      </c>
      <c r="L40">
        <v>60</v>
      </c>
      <c r="M40">
        <v>399</v>
      </c>
      <c r="N40" s="43">
        <v>15</v>
      </c>
      <c r="O40">
        <v>1132</v>
      </c>
      <c r="P40" s="21">
        <v>93.32</v>
      </c>
      <c r="Q40">
        <v>17</v>
      </c>
      <c r="R40" s="43"/>
      <c r="S40" s="42">
        <v>9.3823833988518401E-2</v>
      </c>
      <c r="T40" s="21">
        <v>67645.760000000009</v>
      </c>
      <c r="U40" s="4">
        <v>28</v>
      </c>
      <c r="V40" s="40">
        <v>8675.2331620803761</v>
      </c>
      <c r="W40" s="40">
        <v>0.45334621457359825</v>
      </c>
      <c r="X40" s="40">
        <v>2832.0501926947732</v>
      </c>
      <c r="Y40" s="40">
        <v>0.14799593398279542</v>
      </c>
      <c r="Z40" s="43">
        <v>10431.53050028245</v>
      </c>
      <c r="AA40" s="40">
        <v>0.54512596677897418</v>
      </c>
      <c r="AB40" s="43">
        <v>21938.813855057597</v>
      </c>
      <c r="AC40" s="43">
        <v>1.146468115335368</v>
      </c>
      <c r="AD40" s="9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</row>
    <row r="41" spans="1:47" x14ac:dyDescent="0.35">
      <c r="C41" s="50"/>
      <c r="D41" s="50"/>
      <c r="E41" s="50"/>
      <c r="F41" s="50"/>
      <c r="G41" s="50"/>
      <c r="H41" s="51"/>
      <c r="J41">
        <f>SUM(J2:J40)</f>
        <v>28778</v>
      </c>
      <c r="K41" s="50"/>
      <c r="L41">
        <f>SUM(L2:L40)</f>
        <v>653</v>
      </c>
      <c r="M41">
        <f>SUM(M2:M40)</f>
        <v>2411</v>
      </c>
      <c r="P41" s="21">
        <f>SUM(P2:P40)</f>
        <v>994.62999999999965</v>
      </c>
      <c r="Q41" s="4">
        <f>SUM(Q2:Q40)</f>
        <v>663</v>
      </c>
      <c r="R41" s="40">
        <f>SUM(R2:R40)</f>
        <v>0</v>
      </c>
      <c r="S41" s="46"/>
      <c r="T41" s="21">
        <f>SUM(T2:T40)</f>
        <v>392070.58999999997</v>
      </c>
      <c r="U41" s="4"/>
      <c r="V41" s="40">
        <f>SUM(V2:V40)</f>
        <v>92463.000000000058</v>
      </c>
      <c r="W41" s="40"/>
      <c r="X41" s="40">
        <f>SUM(X2:X40)</f>
        <v>30184.763000000028</v>
      </c>
      <c r="Y41" s="40"/>
      <c r="Z41" s="40">
        <f>SUM(Z2:Z40)</f>
        <v>111182.09581542999</v>
      </c>
      <c r="AA41" s="40"/>
      <c r="AB41" s="40">
        <f>SUM(AB2:AB40)</f>
        <v>233829.85881543002</v>
      </c>
      <c r="AC41" s="40"/>
      <c r="AD41" s="45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</row>
    <row r="42" spans="1:47" x14ac:dyDescent="0.35">
      <c r="C42" s="50"/>
      <c r="D42" s="50"/>
      <c r="E42" s="50"/>
      <c r="F42" s="50"/>
      <c r="G42" s="50"/>
      <c r="H42" s="47"/>
      <c r="K42" s="50"/>
      <c r="S42" s="21"/>
      <c r="U42" s="54"/>
      <c r="W42" s="21"/>
      <c r="X42" s="21"/>
      <c r="Y42" s="21"/>
      <c r="Z42" s="21"/>
      <c r="AA42" s="21"/>
      <c r="AB42" s="21"/>
      <c r="AC42" s="21"/>
      <c r="AD42" s="21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</row>
    <row r="43" spans="1:47" x14ac:dyDescent="0.35">
      <c r="C43" s="50"/>
      <c r="D43" s="50"/>
      <c r="E43" s="50"/>
      <c r="F43" s="50"/>
      <c r="G43" s="50"/>
      <c r="H43" s="47"/>
      <c r="K43" s="50"/>
      <c r="S43" s="21"/>
      <c r="U43" s="54"/>
      <c r="W43" s="21"/>
      <c r="X43" s="21"/>
      <c r="Y43" s="21"/>
      <c r="Z43" s="21"/>
      <c r="AA43" s="21"/>
      <c r="AB43" s="21"/>
      <c r="AC43" s="21"/>
      <c r="AD43" s="21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</row>
    <row r="44" spans="1:47" x14ac:dyDescent="0.35">
      <c r="C44" s="50"/>
      <c r="D44" s="50"/>
      <c r="E44" s="50"/>
      <c r="F44" s="50"/>
      <c r="G44" s="50"/>
      <c r="H44" s="47"/>
      <c r="K44" s="50"/>
      <c r="S44" s="21"/>
      <c r="U44" s="54"/>
      <c r="W44" s="21"/>
      <c r="X44" s="21"/>
      <c r="Y44" s="21"/>
      <c r="Z44" s="21"/>
      <c r="AA44" s="21"/>
      <c r="AB44" s="21"/>
      <c r="AC44" s="21"/>
      <c r="AD44" s="21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</row>
    <row r="45" spans="1:47" x14ac:dyDescent="0.35">
      <c r="C45" s="50"/>
      <c r="D45" s="50"/>
      <c r="E45" s="50"/>
      <c r="F45" s="50"/>
      <c r="G45" s="50"/>
      <c r="H45" s="47"/>
      <c r="K45" s="50"/>
      <c r="S45" s="21"/>
      <c r="U45" s="54"/>
      <c r="W45" s="21"/>
      <c r="X45" s="21"/>
      <c r="Y45" s="21"/>
      <c r="Z45" s="21"/>
      <c r="AA45" s="21"/>
      <c r="AB45" s="21"/>
      <c r="AC45" s="21"/>
      <c r="AD45" s="21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</row>
    <row r="46" spans="1:47" x14ac:dyDescent="0.35">
      <c r="C46" s="50"/>
      <c r="D46" s="50"/>
      <c r="E46" s="50"/>
      <c r="F46" s="50"/>
      <c r="G46" s="50"/>
      <c r="H46" s="47"/>
      <c r="K46" s="50"/>
      <c r="S46" s="21"/>
      <c r="U46" s="54"/>
      <c r="W46" s="21"/>
      <c r="X46" s="21"/>
      <c r="Y46" s="21"/>
      <c r="Z46" s="21"/>
      <c r="AA46" s="21"/>
      <c r="AB46" s="21"/>
      <c r="AC46" s="21"/>
      <c r="AD46" s="21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</row>
    <row r="47" spans="1:47" x14ac:dyDescent="0.35">
      <c r="C47" s="50"/>
      <c r="D47" s="50"/>
      <c r="E47" s="50"/>
      <c r="F47" s="50"/>
      <c r="G47" s="50"/>
      <c r="H47" s="47"/>
      <c r="K47" s="50"/>
      <c r="S47" s="21"/>
      <c r="U47" s="54"/>
      <c r="W47" s="21"/>
      <c r="X47" s="21"/>
      <c r="Y47" s="21"/>
      <c r="Z47" s="21"/>
      <c r="AA47" s="21"/>
      <c r="AB47" s="21"/>
      <c r="AC47" s="21"/>
      <c r="AD47" s="21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</row>
    <row r="48" spans="1:47" x14ac:dyDescent="0.35">
      <c r="C48" s="50"/>
      <c r="D48" s="50"/>
      <c r="E48" s="50"/>
      <c r="F48" s="50"/>
      <c r="G48" s="50"/>
      <c r="H48" s="47"/>
      <c r="K48" s="50"/>
      <c r="S48" s="21"/>
      <c r="U48" s="54"/>
      <c r="W48" s="21"/>
      <c r="X48" s="21"/>
      <c r="Y48" s="21"/>
      <c r="Z48" s="21"/>
      <c r="AA48" s="21"/>
      <c r="AB48" s="21"/>
      <c r="AC48" s="21"/>
      <c r="AD48" s="21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</row>
    <row r="49" spans="3:47" x14ac:dyDescent="0.35">
      <c r="C49" s="50"/>
      <c r="D49" s="50"/>
      <c r="E49" s="50"/>
      <c r="F49" s="50"/>
      <c r="G49" s="50"/>
      <c r="H49" s="47"/>
      <c r="K49" s="50"/>
      <c r="S49" s="21"/>
      <c r="U49" s="54"/>
      <c r="W49" s="21"/>
      <c r="X49" s="21"/>
      <c r="Y49" s="21"/>
      <c r="Z49" s="21"/>
      <c r="AA49" s="21"/>
      <c r="AB49" s="21"/>
      <c r="AC49" s="21"/>
      <c r="AD49" s="21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</row>
    <row r="50" spans="3:47" x14ac:dyDescent="0.35">
      <c r="C50" s="50"/>
      <c r="D50" s="50"/>
      <c r="E50" s="50"/>
      <c r="F50" s="50"/>
      <c r="H50" s="47"/>
      <c r="K50" s="50"/>
      <c r="S50" s="21"/>
      <c r="U50" s="54"/>
      <c r="W50" s="21"/>
      <c r="X50" s="21"/>
      <c r="Y50" s="21"/>
      <c r="Z50" s="21"/>
      <c r="AA50" s="21"/>
      <c r="AB50" s="21"/>
      <c r="AC50" s="21"/>
      <c r="AD50" s="21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</row>
    <row r="51" spans="3:47" x14ac:dyDescent="0.35">
      <c r="C51" s="50"/>
      <c r="D51" s="50"/>
      <c r="E51" s="50"/>
      <c r="F51" s="50"/>
      <c r="H51" s="47"/>
      <c r="K51" s="50"/>
      <c r="S51" s="21"/>
      <c r="U51" s="54"/>
      <c r="W51" s="21"/>
      <c r="X51" s="21"/>
      <c r="Y51" s="21"/>
      <c r="Z51" s="21"/>
      <c r="AA51" s="21"/>
      <c r="AB51" s="21"/>
      <c r="AC51" s="21"/>
      <c r="AD51" s="21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</row>
    <row r="52" spans="3:47" x14ac:dyDescent="0.35">
      <c r="C52" s="50"/>
      <c r="D52" s="50"/>
      <c r="E52" s="50"/>
      <c r="F52" s="50"/>
      <c r="H52" s="47"/>
      <c r="K52" s="50"/>
      <c r="S52" s="21"/>
      <c r="U52" s="54"/>
      <c r="W52" s="21"/>
      <c r="X52" s="21"/>
      <c r="Y52" s="21"/>
      <c r="Z52" s="21"/>
      <c r="AA52" s="21"/>
      <c r="AB52" s="21"/>
      <c r="AC52" s="21"/>
      <c r="AD52" s="21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</row>
    <row r="53" spans="3:47" x14ac:dyDescent="0.35">
      <c r="C53" s="50"/>
      <c r="D53" s="50"/>
      <c r="E53" s="50"/>
      <c r="F53" s="50"/>
      <c r="H53" s="47"/>
      <c r="S53" s="21"/>
      <c r="U53" s="54"/>
      <c r="W53" s="21"/>
      <c r="X53" s="21"/>
      <c r="Y53" s="21"/>
      <c r="Z53" s="21"/>
      <c r="AA53" s="21"/>
      <c r="AB53" s="21"/>
      <c r="AC53" s="21"/>
      <c r="AD53" s="21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</row>
    <row r="54" spans="3:47" x14ac:dyDescent="0.35">
      <c r="C54" s="50"/>
      <c r="D54" s="50"/>
      <c r="E54" s="50"/>
      <c r="F54" s="50"/>
      <c r="S54" s="21"/>
      <c r="U54" s="54"/>
      <c r="W54" s="21"/>
      <c r="X54" s="21"/>
      <c r="Y54" s="21"/>
      <c r="Z54" s="21"/>
      <c r="AA54" s="21"/>
      <c r="AB54" s="21"/>
      <c r="AC54" s="21"/>
      <c r="AD54" s="21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</row>
    <row r="55" spans="3:47" x14ac:dyDescent="0.35">
      <c r="S55" s="21"/>
      <c r="U55" s="54"/>
      <c r="W55" s="21"/>
      <c r="X55" s="21"/>
      <c r="Y55" s="21"/>
      <c r="Z55" s="21"/>
      <c r="AA55" s="21"/>
      <c r="AB55" s="21"/>
      <c r="AC55" s="21"/>
      <c r="AD55" s="21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</row>
    <row r="56" spans="3:47" x14ac:dyDescent="0.35">
      <c r="S56" s="21"/>
      <c r="U56" s="54"/>
      <c r="W56" s="21"/>
      <c r="X56" s="21"/>
      <c r="Y56" s="21"/>
      <c r="Z56" s="21"/>
      <c r="AA56" s="21"/>
      <c r="AB56" s="21"/>
      <c r="AC56" s="21"/>
      <c r="AD56" s="21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</row>
    <row r="57" spans="3:47" x14ac:dyDescent="0.35">
      <c r="S57" s="21"/>
      <c r="U57" s="54"/>
      <c r="W57" s="21"/>
      <c r="X57" s="21"/>
      <c r="Y57" s="21"/>
      <c r="Z57" s="21"/>
      <c r="AA57" s="21"/>
      <c r="AB57" s="21"/>
      <c r="AC57" s="21"/>
      <c r="AD57" s="21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</row>
    <row r="58" spans="3:47" x14ac:dyDescent="0.35">
      <c r="S58" s="21"/>
      <c r="U58" s="54"/>
      <c r="W58" s="21"/>
      <c r="X58" s="21"/>
      <c r="Y58" s="21"/>
      <c r="Z58" s="21"/>
      <c r="AA58" s="21"/>
      <c r="AB58" s="21"/>
      <c r="AC58" s="21"/>
      <c r="AD58" s="21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</row>
    <row r="59" spans="3:47" x14ac:dyDescent="0.35">
      <c r="S59" s="21"/>
      <c r="U59" s="54"/>
      <c r="W59" s="21"/>
      <c r="X59" s="21"/>
      <c r="Y59" s="21"/>
      <c r="Z59" s="21"/>
      <c r="AA59" s="21"/>
      <c r="AB59" s="21"/>
      <c r="AC59" s="21"/>
      <c r="AD59" s="21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</row>
    <row r="60" spans="3:47" x14ac:dyDescent="0.35">
      <c r="S60" s="21"/>
      <c r="U60" s="54"/>
      <c r="W60" s="21"/>
      <c r="X60" s="21"/>
      <c r="Y60" s="21"/>
      <c r="Z60" s="21"/>
      <c r="AA60" s="21"/>
      <c r="AB60" s="21"/>
      <c r="AC60" s="21"/>
      <c r="AD60" s="21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</row>
    <row r="61" spans="3:47" x14ac:dyDescent="0.35">
      <c r="S61" s="21"/>
      <c r="U61" s="54"/>
      <c r="W61" s="21"/>
      <c r="X61" s="21"/>
      <c r="Y61" s="21"/>
      <c r="Z61" s="21"/>
      <c r="AA61" s="21"/>
      <c r="AB61" s="21"/>
      <c r="AC61" s="21"/>
      <c r="AD61" s="21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</row>
    <row r="62" spans="3:47" x14ac:dyDescent="0.35">
      <c r="S62" s="21"/>
      <c r="U62" s="54"/>
      <c r="W62" s="21"/>
      <c r="X62" s="21"/>
      <c r="Y62" s="21"/>
      <c r="Z62" s="21"/>
      <c r="AA62" s="21"/>
      <c r="AB62" s="21"/>
      <c r="AC62" s="21"/>
      <c r="AD62" s="21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</row>
    <row r="63" spans="3:47" x14ac:dyDescent="0.35">
      <c r="S63" s="21"/>
      <c r="U63" s="54"/>
      <c r="W63" s="21"/>
      <c r="X63" s="21"/>
      <c r="Y63" s="21"/>
      <c r="Z63" s="21"/>
      <c r="AA63" s="21"/>
      <c r="AB63" s="21"/>
      <c r="AC63" s="21"/>
      <c r="AD63" s="21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</row>
    <row r="64" spans="3:47" x14ac:dyDescent="0.35">
      <c r="S64" s="21"/>
      <c r="U64" s="54"/>
      <c r="W64" s="21"/>
      <c r="X64" s="21"/>
      <c r="Y64" s="21"/>
      <c r="Z64" s="21"/>
      <c r="AA64" s="21"/>
      <c r="AB64" s="21"/>
      <c r="AC64" s="21"/>
      <c r="AD64" s="21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</row>
    <row r="65" spans="19:47" x14ac:dyDescent="0.35">
      <c r="S65" s="21"/>
      <c r="U65" s="54"/>
      <c r="W65" s="21"/>
      <c r="X65" s="21"/>
      <c r="Y65" s="21"/>
      <c r="Z65" s="21"/>
      <c r="AA65" s="21"/>
      <c r="AB65" s="21"/>
      <c r="AC65" s="21"/>
      <c r="AD65" s="21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</row>
    <row r="66" spans="19:47" x14ac:dyDescent="0.35">
      <c r="S66" s="21"/>
      <c r="U66" s="54"/>
      <c r="W66" s="21"/>
      <c r="X66" s="21"/>
      <c r="Y66" s="21"/>
      <c r="Z66" s="21"/>
      <c r="AA66" s="21"/>
      <c r="AB66" s="21"/>
      <c r="AC66" s="21"/>
      <c r="AD66" s="21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</row>
    <row r="67" spans="19:47" x14ac:dyDescent="0.35">
      <c r="S67" s="21"/>
      <c r="U67" s="54"/>
      <c r="W67" s="21"/>
      <c r="X67" s="21"/>
      <c r="Y67" s="21"/>
      <c r="Z67" s="21"/>
      <c r="AA67" s="21"/>
      <c r="AB67" s="21"/>
      <c r="AC67" s="21"/>
      <c r="AD67" s="21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</row>
    <row r="68" spans="19:47" x14ac:dyDescent="0.35">
      <c r="S68" s="21"/>
      <c r="U68" s="54"/>
      <c r="W68" s="21"/>
      <c r="X68" s="21"/>
      <c r="Y68" s="21"/>
      <c r="Z68" s="21"/>
      <c r="AA68" s="21"/>
      <c r="AB68" s="21"/>
      <c r="AC68" s="21"/>
      <c r="AD68" s="21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</row>
    <row r="69" spans="19:47" x14ac:dyDescent="0.35">
      <c r="S69" s="21"/>
      <c r="U69" s="54"/>
      <c r="W69" s="21"/>
      <c r="X69" s="21"/>
      <c r="Y69" s="21"/>
      <c r="Z69" s="21"/>
      <c r="AA69" s="21"/>
      <c r="AB69" s="21"/>
      <c r="AC69" s="21"/>
      <c r="AD69" s="21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</row>
    <row r="70" spans="19:47" x14ac:dyDescent="0.35">
      <c r="S70" s="21"/>
      <c r="U70" s="54"/>
      <c r="W70" s="21"/>
      <c r="X70" s="21"/>
      <c r="Y70" s="21"/>
      <c r="Z70" s="21"/>
      <c r="AA70" s="21"/>
      <c r="AB70" s="21"/>
      <c r="AC70" s="21"/>
      <c r="AD70" s="21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</row>
    <row r="71" spans="19:47" x14ac:dyDescent="0.35">
      <c r="S71" s="21"/>
      <c r="U71" s="54"/>
      <c r="W71" s="21"/>
      <c r="X71" s="21"/>
      <c r="Y71" s="21"/>
      <c r="Z71" s="21"/>
      <c r="AA71" s="21"/>
      <c r="AB71" s="21"/>
      <c r="AC71" s="21"/>
      <c r="AD71" s="21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</row>
    <row r="72" spans="19:47" x14ac:dyDescent="0.35">
      <c r="S72" s="21"/>
      <c r="U72" s="54"/>
      <c r="W72" s="21"/>
      <c r="X72" s="21"/>
      <c r="Y72" s="21"/>
      <c r="Z72" s="21"/>
      <c r="AA72" s="21"/>
      <c r="AB72" s="21"/>
      <c r="AC72" s="21"/>
      <c r="AD72" s="21"/>
      <c r="AO72" s="40"/>
      <c r="AP72" s="40"/>
      <c r="AQ72" s="40"/>
      <c r="AR72" s="40"/>
      <c r="AS72" s="40"/>
      <c r="AT72" s="40"/>
      <c r="AU72" s="40"/>
    </row>
    <row r="73" spans="19:47" x14ac:dyDescent="0.35">
      <c r="S73" s="21"/>
      <c r="U73" s="54"/>
      <c r="W73" s="21"/>
      <c r="X73" s="21"/>
      <c r="Y73" s="21"/>
      <c r="Z73" s="21"/>
      <c r="AA73" s="21"/>
      <c r="AB73" s="21"/>
      <c r="AC73" s="21"/>
      <c r="AD73" s="21"/>
      <c r="AO73" s="40"/>
      <c r="AP73" s="40"/>
      <c r="AQ73" s="40"/>
      <c r="AR73" s="40"/>
      <c r="AS73" s="40"/>
      <c r="AT73" s="40"/>
      <c r="AU73" s="40"/>
    </row>
    <row r="74" spans="19:47" x14ac:dyDescent="0.35">
      <c r="S74" s="21"/>
      <c r="U74" s="54"/>
      <c r="W74" s="21"/>
      <c r="X74" s="21"/>
      <c r="Y74" s="21"/>
      <c r="Z74" s="21"/>
      <c r="AA74" s="21"/>
      <c r="AB74" s="21"/>
      <c r="AC74" s="21"/>
      <c r="AD74" s="21"/>
      <c r="AO74" s="40"/>
      <c r="AP74" s="40"/>
      <c r="AQ74" s="40"/>
      <c r="AR74" s="40"/>
      <c r="AS74" s="40"/>
      <c r="AT74" s="40"/>
      <c r="AU74" s="40"/>
    </row>
    <row r="75" spans="19:47" x14ac:dyDescent="0.35">
      <c r="S75" s="21"/>
      <c r="U75" s="54"/>
      <c r="W75" s="21"/>
      <c r="X75" s="21"/>
      <c r="Y75" s="21"/>
      <c r="Z75" s="21"/>
      <c r="AA75" s="21"/>
      <c r="AB75" s="21"/>
      <c r="AC75" s="21"/>
      <c r="AD75" s="21"/>
      <c r="AO75" s="40"/>
      <c r="AP75" s="40"/>
      <c r="AQ75" s="40"/>
      <c r="AR75" s="40"/>
      <c r="AS75" s="40"/>
      <c r="AT75" s="40"/>
      <c r="AU75" s="40"/>
    </row>
    <row r="76" spans="19:47" x14ac:dyDescent="0.35">
      <c r="S76" s="21"/>
      <c r="U76" s="54"/>
      <c r="W76" s="21"/>
      <c r="X76" s="21"/>
      <c r="Y76" s="21"/>
      <c r="Z76" s="21"/>
      <c r="AA76" s="21"/>
      <c r="AB76" s="21"/>
      <c r="AC76" s="21"/>
      <c r="AD76" s="21"/>
      <c r="AO76" s="40"/>
      <c r="AP76" s="40"/>
      <c r="AQ76" s="40"/>
      <c r="AR76" s="40"/>
      <c r="AS76" s="40"/>
      <c r="AT76" s="40"/>
      <c r="AU76" s="40"/>
    </row>
    <row r="77" spans="19:47" x14ac:dyDescent="0.35">
      <c r="S77" s="21"/>
      <c r="U77" s="54"/>
      <c r="W77" s="21"/>
      <c r="X77" s="21"/>
      <c r="Y77" s="21"/>
      <c r="Z77" s="21"/>
      <c r="AA77" s="21"/>
      <c r="AB77" s="21"/>
      <c r="AC77" s="21"/>
      <c r="AD77" s="21"/>
      <c r="AO77" s="40"/>
      <c r="AP77" s="40"/>
      <c r="AQ77" s="40"/>
      <c r="AR77" s="40"/>
      <c r="AS77" s="40"/>
      <c r="AT77" s="40"/>
      <c r="AU77" s="40"/>
    </row>
    <row r="78" spans="19:47" x14ac:dyDescent="0.35">
      <c r="S78" s="21"/>
      <c r="U78" s="54"/>
      <c r="W78" s="21"/>
      <c r="X78" s="21"/>
      <c r="Y78" s="21"/>
      <c r="Z78" s="21"/>
      <c r="AA78" s="21"/>
      <c r="AB78" s="21"/>
      <c r="AC78" s="21"/>
      <c r="AD78" s="21"/>
      <c r="AQ78" s="40"/>
      <c r="AR78" s="40"/>
      <c r="AS78" s="40"/>
      <c r="AT78" s="40"/>
      <c r="AU78" s="40"/>
    </row>
    <row r="79" spans="19:47" x14ac:dyDescent="0.35">
      <c r="S79" s="21"/>
      <c r="U79" s="54"/>
      <c r="W79" s="21"/>
      <c r="X79" s="21"/>
      <c r="Y79" s="21"/>
      <c r="Z79" s="21"/>
      <c r="AA79" s="21"/>
      <c r="AB79" s="21"/>
      <c r="AC79" s="21"/>
      <c r="AD79" s="21"/>
      <c r="AQ79" s="40"/>
      <c r="AR79" s="40"/>
      <c r="AS79" s="40"/>
      <c r="AT79" s="40"/>
      <c r="AU79" s="40"/>
    </row>
    <row r="80" spans="19:47" x14ac:dyDescent="0.35">
      <c r="S80" s="21"/>
      <c r="U80" s="54"/>
      <c r="W80" s="21"/>
      <c r="X80" s="21"/>
      <c r="Y80" s="21"/>
      <c r="Z80" s="21"/>
      <c r="AA80" s="21"/>
      <c r="AB80" s="21"/>
      <c r="AC80" s="21"/>
      <c r="AD80" s="21"/>
      <c r="AQ80" s="40"/>
      <c r="AR80" s="40"/>
      <c r="AS80" s="40"/>
      <c r="AT80" s="40"/>
      <c r="AU80" s="40"/>
    </row>
    <row r="81" spans="19:47" x14ac:dyDescent="0.35">
      <c r="S81" s="21"/>
      <c r="U81" s="54"/>
      <c r="W81" s="21"/>
      <c r="X81" s="21"/>
      <c r="Y81" s="21"/>
      <c r="Z81" s="21"/>
      <c r="AA81" s="21"/>
      <c r="AB81" s="21"/>
      <c r="AC81" s="21"/>
      <c r="AD81" s="21"/>
      <c r="AQ81" s="40"/>
      <c r="AR81" s="40"/>
      <c r="AS81" s="40"/>
      <c r="AT81" s="40"/>
      <c r="AU81" s="40"/>
    </row>
    <row r="82" spans="19:47" x14ac:dyDescent="0.35">
      <c r="S82" s="21"/>
      <c r="U82" s="54"/>
      <c r="W82" s="21"/>
      <c r="X82" s="21"/>
      <c r="Y82" s="21"/>
      <c r="Z82" s="21"/>
      <c r="AA82" s="21"/>
      <c r="AB82" s="21"/>
      <c r="AC82" s="21"/>
      <c r="AD82" s="21"/>
      <c r="AQ82" s="40"/>
      <c r="AR82" s="40"/>
      <c r="AS82" s="40"/>
      <c r="AT82" s="40"/>
      <c r="AU82" s="40"/>
    </row>
    <row r="83" spans="19:47" x14ac:dyDescent="0.35">
      <c r="S83" s="21"/>
      <c r="U83" s="54"/>
      <c r="W83" s="21"/>
      <c r="X83" s="21"/>
      <c r="Y83" s="21"/>
      <c r="Z83" s="21"/>
      <c r="AA83" s="21"/>
      <c r="AB83" s="21"/>
      <c r="AC83" s="21"/>
      <c r="AD83" s="21"/>
      <c r="AQ83" s="40"/>
      <c r="AR83" s="40"/>
      <c r="AS83" s="40"/>
      <c r="AT83" s="40"/>
      <c r="AU83" s="40"/>
    </row>
    <row r="84" spans="19:47" x14ac:dyDescent="0.35">
      <c r="S84" s="21"/>
      <c r="U84" s="54"/>
      <c r="W84" s="21"/>
      <c r="X84" s="21"/>
      <c r="Y84" s="21"/>
      <c r="Z84" s="21"/>
      <c r="AA84" s="21"/>
      <c r="AB84" s="21"/>
      <c r="AC84" s="21"/>
      <c r="AD84" s="21"/>
      <c r="AQ84" s="40"/>
      <c r="AR84" s="40"/>
      <c r="AS84" s="40"/>
      <c r="AT84" s="40"/>
      <c r="AU84" s="40"/>
    </row>
    <row r="85" spans="19:47" x14ac:dyDescent="0.35">
      <c r="S85" s="21"/>
      <c r="U85" s="54"/>
      <c r="W85" s="21"/>
      <c r="X85" s="21"/>
      <c r="Y85" s="21"/>
      <c r="Z85" s="21"/>
      <c r="AA85" s="21"/>
      <c r="AB85" s="21"/>
      <c r="AC85" s="21"/>
      <c r="AD85" s="21"/>
      <c r="AQ85" s="40"/>
      <c r="AR85" s="40"/>
      <c r="AS85" s="40"/>
      <c r="AT85" s="40"/>
      <c r="AU85" s="40"/>
    </row>
    <row r="86" spans="19:47" x14ac:dyDescent="0.35">
      <c r="S86" s="21"/>
      <c r="W86" s="21"/>
      <c r="X86" s="21"/>
      <c r="Y86" s="21"/>
      <c r="Z86" s="21"/>
      <c r="AA86" s="21"/>
      <c r="AB86" s="21"/>
      <c r="AC86" s="21"/>
      <c r="AD86" s="21"/>
      <c r="AQ86" s="40"/>
      <c r="AR86" s="40"/>
      <c r="AS86" s="40"/>
      <c r="AT86" s="40"/>
      <c r="AU86" s="40"/>
    </row>
    <row r="87" spans="19:47" x14ac:dyDescent="0.35">
      <c r="S87" s="21"/>
      <c r="W87" s="21"/>
      <c r="X87" s="21"/>
      <c r="Y87" s="21"/>
      <c r="Z87" s="21"/>
      <c r="AA87" s="21"/>
      <c r="AB87" s="21"/>
      <c r="AC87" s="21"/>
      <c r="AD87" s="21"/>
      <c r="AQ87" s="40"/>
      <c r="AR87" s="40"/>
      <c r="AS87" s="40"/>
      <c r="AT87" s="40"/>
      <c r="AU87" s="40"/>
    </row>
    <row r="88" spans="19:47" x14ac:dyDescent="0.35">
      <c r="S88" s="21"/>
      <c r="W88" s="21"/>
      <c r="X88" s="21"/>
      <c r="Y88" s="21"/>
      <c r="Z88" s="21"/>
      <c r="AA88" s="21"/>
      <c r="AB88" s="21"/>
      <c r="AC88" s="21"/>
      <c r="AD88" s="21"/>
      <c r="AQ88" s="40"/>
      <c r="AR88" s="40"/>
      <c r="AS88" s="40"/>
      <c r="AT88" s="40"/>
      <c r="AU88" s="40"/>
    </row>
    <row r="89" spans="19:47" x14ac:dyDescent="0.35">
      <c r="S89" s="21"/>
      <c r="W89" s="21"/>
      <c r="X89" s="21"/>
      <c r="Y89" s="21"/>
      <c r="Z89" s="21"/>
      <c r="AA89" s="21"/>
      <c r="AB89" s="21"/>
      <c r="AC89" s="21"/>
      <c r="AD89" s="21"/>
      <c r="AQ89" s="40"/>
      <c r="AR89" s="40"/>
      <c r="AS89" s="40"/>
      <c r="AT89" s="40"/>
      <c r="AU89" s="40"/>
    </row>
    <row r="90" spans="19:47" x14ac:dyDescent="0.35">
      <c r="S90" s="21"/>
      <c r="W90" s="21"/>
      <c r="X90" s="21"/>
      <c r="Y90" s="21"/>
      <c r="Z90" s="21"/>
      <c r="AA90" s="21"/>
      <c r="AB90" s="21"/>
      <c r="AC90" s="21"/>
      <c r="AD90" s="21"/>
      <c r="AQ90" s="40"/>
      <c r="AR90" s="40"/>
      <c r="AS90" s="40"/>
      <c r="AT90" s="40"/>
      <c r="AU90" s="40"/>
    </row>
    <row r="91" spans="19:47" x14ac:dyDescent="0.35">
      <c r="S91" s="21"/>
      <c r="W91" s="21"/>
      <c r="X91" s="21"/>
      <c r="Y91" s="21"/>
      <c r="Z91" s="21"/>
      <c r="AA91" s="21"/>
      <c r="AB91" s="21"/>
      <c r="AC91" s="21"/>
      <c r="AD91" s="21"/>
      <c r="AQ91" s="40"/>
      <c r="AR91" s="40"/>
      <c r="AS91" s="40"/>
      <c r="AT91" s="40"/>
      <c r="AU91" s="40"/>
    </row>
    <row r="92" spans="19:47" x14ac:dyDescent="0.35">
      <c r="S92" s="21"/>
      <c r="W92" s="21"/>
      <c r="X92" s="21"/>
      <c r="Y92" s="21"/>
      <c r="Z92" s="21"/>
      <c r="AA92" s="21"/>
      <c r="AB92" s="21"/>
      <c r="AC92" s="21"/>
      <c r="AD92" s="21"/>
      <c r="AQ92" s="40"/>
      <c r="AR92" s="40"/>
      <c r="AS92" s="40"/>
      <c r="AT92" s="40"/>
      <c r="AU92" s="40"/>
    </row>
    <row r="93" spans="19:47" x14ac:dyDescent="0.35">
      <c r="S93" s="21"/>
      <c r="W93" s="21"/>
      <c r="X93" s="21"/>
      <c r="Y93" s="21"/>
      <c r="Z93" s="21"/>
      <c r="AA93" s="21"/>
      <c r="AB93" s="21"/>
      <c r="AC93" s="21"/>
      <c r="AD93" s="21"/>
      <c r="AQ93" s="40"/>
      <c r="AR93" s="40"/>
      <c r="AS93" s="40"/>
      <c r="AT93" s="40"/>
      <c r="AU93" s="40"/>
    </row>
    <row r="94" spans="19:47" x14ac:dyDescent="0.35">
      <c r="S94" s="21"/>
      <c r="W94" s="21"/>
      <c r="X94" s="21"/>
      <c r="Y94" s="21"/>
      <c r="Z94" s="21"/>
      <c r="AA94" s="21"/>
      <c r="AB94" s="21"/>
      <c r="AC94" s="21"/>
      <c r="AD94" s="21"/>
      <c r="AT94" s="41"/>
      <c r="AU94" s="41"/>
    </row>
    <row r="95" spans="19:47" x14ac:dyDescent="0.35">
      <c r="S95" s="21"/>
      <c r="W95" s="21"/>
      <c r="X95" s="21"/>
      <c r="Y95" s="21"/>
      <c r="Z95" s="21"/>
      <c r="AA95" s="21"/>
      <c r="AB95" s="21"/>
      <c r="AC95" s="21"/>
      <c r="AD95" s="21"/>
      <c r="AT95" s="41"/>
      <c r="AU95" s="41"/>
    </row>
    <row r="96" spans="19:47" x14ac:dyDescent="0.35">
      <c r="S96" s="21"/>
      <c r="W96" s="21"/>
      <c r="X96" s="21"/>
      <c r="Y96" s="21"/>
      <c r="Z96" s="21"/>
      <c r="AA96" s="21"/>
      <c r="AB96" s="21"/>
      <c r="AC96" s="21"/>
      <c r="AD96" s="21"/>
      <c r="AT96" s="41"/>
      <c r="AU96" s="41"/>
    </row>
    <row r="97" spans="19:47" x14ac:dyDescent="0.35">
      <c r="S97" s="21"/>
      <c r="W97" s="21"/>
      <c r="X97" s="21"/>
      <c r="Y97" s="21"/>
      <c r="Z97" s="21"/>
      <c r="AA97" s="21"/>
      <c r="AB97" s="21"/>
      <c r="AC97" s="21"/>
      <c r="AD97" s="21"/>
      <c r="AT97" s="41"/>
      <c r="AU97" s="41"/>
    </row>
    <row r="98" spans="19:47" x14ac:dyDescent="0.35">
      <c r="S98" s="21"/>
      <c r="W98" s="21"/>
      <c r="X98" s="21"/>
      <c r="Y98" s="21"/>
      <c r="Z98" s="21"/>
      <c r="AA98" s="21"/>
      <c r="AB98" s="21"/>
      <c r="AC98" s="21"/>
      <c r="AD98" s="21"/>
      <c r="AT98" s="41"/>
      <c r="AU98" s="41"/>
    </row>
    <row r="99" spans="19:47" x14ac:dyDescent="0.35">
      <c r="S99" s="21"/>
      <c r="W99" s="21"/>
      <c r="X99" s="21"/>
      <c r="Y99" s="21"/>
      <c r="Z99" s="21"/>
      <c r="AA99" s="21"/>
      <c r="AB99" s="21"/>
      <c r="AC99" s="21"/>
      <c r="AD99" s="21"/>
      <c r="AT99" s="41"/>
      <c r="AU99" s="41"/>
    </row>
    <row r="100" spans="19:47" x14ac:dyDescent="0.35">
      <c r="S100" s="21"/>
      <c r="W100" s="21"/>
      <c r="X100" s="21"/>
      <c r="Y100" s="21"/>
      <c r="Z100" s="21"/>
      <c r="AA100" s="21"/>
      <c r="AB100" s="21"/>
      <c r="AC100" s="21"/>
      <c r="AD100" s="21"/>
      <c r="AT100" s="41"/>
      <c r="AU100" s="41"/>
    </row>
    <row r="101" spans="19:47" x14ac:dyDescent="0.35">
      <c r="S101" s="21"/>
      <c r="W101" s="21"/>
      <c r="X101" s="21"/>
      <c r="Y101" s="21"/>
      <c r="Z101" s="21"/>
      <c r="AA101" s="21"/>
      <c r="AB101" s="21"/>
      <c r="AC101" s="21"/>
      <c r="AD101" s="21"/>
      <c r="AT101" s="41"/>
      <c r="AU101" s="41"/>
    </row>
    <row r="102" spans="19:47" x14ac:dyDescent="0.35">
      <c r="S102" s="21"/>
      <c r="W102" s="21"/>
      <c r="X102" s="21"/>
      <c r="Y102" s="21"/>
      <c r="Z102" s="21"/>
      <c r="AA102" s="21"/>
      <c r="AB102" s="21"/>
      <c r="AC102" s="21"/>
      <c r="AD102" s="21"/>
      <c r="AT102" s="41"/>
      <c r="AU102" s="41"/>
    </row>
    <row r="103" spans="19:47" x14ac:dyDescent="0.35">
      <c r="S103" s="21"/>
      <c r="W103" s="21"/>
      <c r="X103" s="21"/>
      <c r="Y103" s="21"/>
      <c r="Z103" s="21"/>
      <c r="AA103" s="21"/>
      <c r="AB103" s="21"/>
      <c r="AC103" s="21"/>
      <c r="AD103" s="21"/>
      <c r="AT103" s="41"/>
      <c r="AU103" s="41"/>
    </row>
    <row r="104" spans="19:47" x14ac:dyDescent="0.35">
      <c r="S104" s="21"/>
      <c r="W104" s="21"/>
      <c r="X104" s="21"/>
      <c r="Y104" s="21"/>
      <c r="Z104" s="21"/>
      <c r="AA104" s="21"/>
      <c r="AB104" s="21"/>
      <c r="AC104" s="21"/>
      <c r="AD104" s="21"/>
      <c r="AT104" s="41"/>
      <c r="AU104" s="41"/>
    </row>
    <row r="105" spans="19:47" x14ac:dyDescent="0.35">
      <c r="S105" s="21"/>
      <c r="W105" s="21"/>
      <c r="X105" s="21"/>
      <c r="Y105" s="21"/>
      <c r="Z105" s="21"/>
      <c r="AA105" s="21"/>
      <c r="AB105" s="21"/>
      <c r="AC105" s="21"/>
      <c r="AD105" s="21"/>
      <c r="AT105" s="41"/>
      <c r="AU105" s="41"/>
    </row>
    <row r="106" spans="19:47" x14ac:dyDescent="0.35">
      <c r="S106" s="21"/>
      <c r="W106" s="21"/>
      <c r="X106" s="21"/>
      <c r="Y106" s="21"/>
      <c r="Z106" s="21"/>
      <c r="AA106" s="21"/>
      <c r="AB106" s="21"/>
      <c r="AC106" s="21"/>
      <c r="AD106" s="21"/>
      <c r="AT106" s="41"/>
      <c r="AU106" s="41"/>
    </row>
    <row r="107" spans="19:47" x14ac:dyDescent="0.35">
      <c r="S107" s="21"/>
      <c r="W107" s="21"/>
      <c r="X107" s="21"/>
      <c r="Y107" s="21"/>
      <c r="Z107" s="21"/>
      <c r="AA107" s="21"/>
      <c r="AB107" s="21"/>
      <c r="AC107" s="21"/>
      <c r="AD107" s="21"/>
      <c r="AT107" s="41"/>
      <c r="AU107" s="41"/>
    </row>
    <row r="108" spans="19:47" x14ac:dyDescent="0.35">
      <c r="S108" s="21"/>
      <c r="W108" s="21"/>
      <c r="X108" s="21"/>
      <c r="Y108" s="21"/>
      <c r="Z108" s="21"/>
      <c r="AA108" s="21"/>
      <c r="AB108" s="21"/>
      <c r="AC108" s="21"/>
      <c r="AD108" s="21"/>
      <c r="AT108" s="41"/>
      <c r="AU108" s="41"/>
    </row>
    <row r="109" spans="19:47" x14ac:dyDescent="0.35">
      <c r="S109" s="21">
        <f>SUM(S40:S108)</f>
        <v>9.3823833988518401E-2</v>
      </c>
      <c r="W109" s="21"/>
      <c r="X109" s="21"/>
      <c r="Y109" s="21"/>
      <c r="Z109" s="21"/>
      <c r="AA109" s="21"/>
      <c r="AB109" s="21"/>
      <c r="AC109" s="21"/>
      <c r="AD109" s="21"/>
      <c r="AT109" s="41"/>
      <c r="AU109" s="41"/>
    </row>
    <row r="110" spans="19:47" x14ac:dyDescent="0.35">
      <c r="W110" s="21"/>
      <c r="X110" s="21"/>
      <c r="Y110" s="21"/>
      <c r="Z110" s="21"/>
      <c r="AA110" s="21"/>
      <c r="AB110" s="21"/>
      <c r="AC110" s="21"/>
      <c r="AD110" s="21"/>
      <c r="AT110" s="41"/>
      <c r="AU110" s="41"/>
    </row>
    <row r="111" spans="19:47" x14ac:dyDescent="0.35">
      <c r="W111" s="21"/>
      <c r="X111" s="21"/>
      <c r="Y111" s="21"/>
      <c r="Z111" s="21"/>
      <c r="AA111" s="21"/>
      <c r="AB111" s="21"/>
      <c r="AC111" s="21"/>
      <c r="AD111" s="21"/>
      <c r="AT111" s="41"/>
      <c r="AU111" s="41"/>
    </row>
    <row r="112" spans="19:47" x14ac:dyDescent="0.35">
      <c r="W112" s="21"/>
      <c r="X112" s="21"/>
      <c r="Y112" s="21"/>
      <c r="Z112" s="21"/>
      <c r="AA112" s="21"/>
      <c r="AB112" s="21"/>
      <c r="AC112" s="21"/>
      <c r="AD112" s="21"/>
      <c r="AT112" s="41"/>
      <c r="AU112" s="41"/>
    </row>
    <row r="113" spans="23:47" x14ac:dyDescent="0.35">
      <c r="W113" s="21"/>
      <c r="X113" s="21"/>
      <c r="Y113" s="21"/>
      <c r="Z113" s="21"/>
      <c r="AA113" s="21"/>
      <c r="AB113" s="21"/>
      <c r="AC113" s="21"/>
      <c r="AD113" s="21"/>
      <c r="AT113" s="41"/>
      <c r="AU113" s="41"/>
    </row>
    <row r="114" spans="23:47" x14ac:dyDescent="0.35">
      <c r="W114" s="21"/>
      <c r="X114" s="21"/>
      <c r="Y114" s="21"/>
      <c r="Z114" s="21"/>
      <c r="AA114" s="21"/>
      <c r="AB114" s="21"/>
      <c r="AC114" s="21"/>
      <c r="AD114" s="21"/>
      <c r="AT114" s="41"/>
      <c r="AU114" s="41"/>
    </row>
    <row r="115" spans="23:47" x14ac:dyDescent="0.35">
      <c r="W115" s="21"/>
      <c r="X115" s="21"/>
      <c r="Y115" s="21"/>
      <c r="Z115" s="21"/>
      <c r="AA115" s="21"/>
      <c r="AB115" s="21"/>
      <c r="AC115" s="21"/>
      <c r="AD115" s="21"/>
      <c r="AT115" s="41"/>
      <c r="AU115" s="41"/>
    </row>
    <row r="116" spans="23:47" x14ac:dyDescent="0.35">
      <c r="W116" s="21"/>
      <c r="X116" s="21"/>
      <c r="Y116" s="21"/>
      <c r="Z116" s="21"/>
      <c r="AA116" s="21"/>
      <c r="AB116" s="21"/>
      <c r="AC116" s="21"/>
      <c r="AD116" s="21"/>
      <c r="AT116" s="41"/>
      <c r="AU116" s="41"/>
    </row>
    <row r="117" spans="23:47" x14ac:dyDescent="0.35">
      <c r="W117" s="21"/>
      <c r="X117" s="21"/>
      <c r="Y117" s="21"/>
      <c r="Z117" s="21"/>
      <c r="AA117" s="21"/>
      <c r="AB117" s="21"/>
      <c r="AC117" s="21"/>
      <c r="AD117" s="21"/>
      <c r="AT117" s="41"/>
      <c r="AU117" s="41"/>
    </row>
    <row r="118" spans="23:47" x14ac:dyDescent="0.35">
      <c r="W118" s="21"/>
      <c r="X118" s="21"/>
      <c r="Y118" s="21"/>
      <c r="Z118" s="21"/>
      <c r="AA118" s="21"/>
      <c r="AB118" s="21"/>
      <c r="AC118" s="21"/>
      <c r="AD118" s="21"/>
      <c r="AT118" s="41"/>
      <c r="AU118" s="41"/>
    </row>
    <row r="119" spans="23:47" x14ac:dyDescent="0.35">
      <c r="W119" s="21"/>
      <c r="X119" s="21"/>
      <c r="Y119" s="21"/>
      <c r="Z119" s="21"/>
      <c r="AA119" s="21"/>
      <c r="AB119" s="21"/>
      <c r="AC119" s="21"/>
      <c r="AD119" s="21"/>
      <c r="AT119" s="41"/>
      <c r="AU119" s="41"/>
    </row>
    <row r="120" spans="23:47" x14ac:dyDescent="0.35">
      <c r="W120" s="21"/>
      <c r="X120" s="21"/>
      <c r="Y120" s="21"/>
      <c r="Z120" s="21"/>
      <c r="AA120" s="21"/>
      <c r="AB120" s="21"/>
      <c r="AC120" s="21"/>
      <c r="AD120" s="21"/>
      <c r="AT120" s="41"/>
      <c r="AU120" s="41"/>
    </row>
    <row r="121" spans="23:47" x14ac:dyDescent="0.35">
      <c r="W121" s="21"/>
      <c r="X121" s="21"/>
      <c r="Y121" s="21"/>
      <c r="Z121" s="21"/>
      <c r="AA121" s="21"/>
      <c r="AB121" s="21"/>
      <c r="AC121" s="21"/>
      <c r="AD121" s="21"/>
      <c r="AT121" s="41"/>
      <c r="AU121" s="41"/>
    </row>
    <row r="122" spans="23:47" x14ac:dyDescent="0.35">
      <c r="AT122" s="41"/>
      <c r="AU122" s="41"/>
    </row>
    <row r="123" spans="23:47" x14ac:dyDescent="0.35">
      <c r="AT123" s="41"/>
      <c r="AU123" s="41"/>
    </row>
    <row r="124" spans="23:47" x14ac:dyDescent="0.35">
      <c r="AT124" s="41"/>
      <c r="AU124" s="41"/>
    </row>
    <row r="125" spans="23:47" x14ac:dyDescent="0.35">
      <c r="AT125" s="41"/>
      <c r="AU125" s="41"/>
    </row>
    <row r="126" spans="23:47" x14ac:dyDescent="0.35">
      <c r="AT126" s="41"/>
      <c r="AU126" s="41"/>
    </row>
    <row r="127" spans="23:47" x14ac:dyDescent="0.35">
      <c r="AT127" s="41"/>
      <c r="AU127" s="41"/>
    </row>
    <row r="128" spans="23:47" x14ac:dyDescent="0.35">
      <c r="AT128" s="41"/>
      <c r="AU128" s="41"/>
    </row>
    <row r="129" spans="46:47" x14ac:dyDescent="0.35">
      <c r="AT129" s="41"/>
      <c r="AU129" s="41"/>
    </row>
    <row r="130" spans="46:47" x14ac:dyDescent="0.35">
      <c r="AT130" s="41"/>
      <c r="AU130" s="41"/>
    </row>
    <row r="131" spans="46:47" x14ac:dyDescent="0.35">
      <c r="AT131" s="41"/>
      <c r="AU131" s="41"/>
    </row>
    <row r="132" spans="46:47" x14ac:dyDescent="0.35">
      <c r="AT132" s="41"/>
      <c r="AU132" s="41"/>
    </row>
    <row r="133" spans="46:47" x14ac:dyDescent="0.35">
      <c r="AT133" s="41"/>
      <c r="AU133" s="41"/>
    </row>
    <row r="134" spans="46:47" x14ac:dyDescent="0.35">
      <c r="AT134" s="41"/>
      <c r="AU134" s="41"/>
    </row>
    <row r="135" spans="46:47" x14ac:dyDescent="0.35">
      <c r="AT135" s="41"/>
      <c r="AU135" s="41"/>
    </row>
    <row r="136" spans="46:47" x14ac:dyDescent="0.35">
      <c r="AT136" s="41"/>
      <c r="AU136" s="41"/>
    </row>
    <row r="137" spans="46:47" x14ac:dyDescent="0.35">
      <c r="AT137" s="41"/>
      <c r="AU137" s="41"/>
    </row>
    <row r="138" spans="46:47" x14ac:dyDescent="0.35">
      <c r="AT138" s="41"/>
      <c r="AU138" s="41"/>
    </row>
    <row r="139" spans="46:47" x14ac:dyDescent="0.35">
      <c r="AT139" s="41"/>
      <c r="AU139" s="41"/>
    </row>
    <row r="140" spans="46:47" x14ac:dyDescent="0.35">
      <c r="AT140" s="41"/>
      <c r="AU140" s="41"/>
    </row>
    <row r="141" spans="46:47" x14ac:dyDescent="0.35">
      <c r="AT141" s="41"/>
      <c r="AU141" s="41"/>
    </row>
    <row r="142" spans="46:47" x14ac:dyDescent="0.35">
      <c r="AT142" s="41"/>
      <c r="AU142" s="41"/>
    </row>
    <row r="143" spans="46:47" x14ac:dyDescent="0.35">
      <c r="AT143" s="41"/>
      <c r="AU143" s="41"/>
    </row>
    <row r="144" spans="46:47" x14ac:dyDescent="0.35">
      <c r="AT144" s="41"/>
      <c r="AU144" s="41"/>
    </row>
    <row r="145" spans="46:47" x14ac:dyDescent="0.35">
      <c r="AT145" s="41"/>
      <c r="AU145" s="41"/>
    </row>
    <row r="146" spans="46:47" x14ac:dyDescent="0.35">
      <c r="AT146" s="41"/>
      <c r="AU146" s="41"/>
    </row>
    <row r="147" spans="46:47" x14ac:dyDescent="0.35">
      <c r="AT147" s="41"/>
      <c r="AU147" s="41"/>
    </row>
    <row r="148" spans="46:47" x14ac:dyDescent="0.35">
      <c r="AT148" s="41"/>
      <c r="AU148" s="41"/>
    </row>
    <row r="149" spans="46:47" x14ac:dyDescent="0.35">
      <c r="AT149" s="41"/>
      <c r="AU149" s="41"/>
    </row>
    <row r="150" spans="46:47" x14ac:dyDescent="0.35">
      <c r="AT150" s="41"/>
      <c r="AU150" s="41"/>
    </row>
    <row r="151" spans="46:47" x14ac:dyDescent="0.35">
      <c r="AT151" s="41"/>
      <c r="AU151" s="41"/>
    </row>
    <row r="152" spans="46:47" x14ac:dyDescent="0.35">
      <c r="AT152" s="41"/>
      <c r="AU152" s="41"/>
    </row>
    <row r="153" spans="46:47" x14ac:dyDescent="0.35">
      <c r="AT153" s="41"/>
      <c r="AU153" s="41"/>
    </row>
    <row r="154" spans="46:47" x14ac:dyDescent="0.35">
      <c r="AT154" s="41"/>
      <c r="AU154" s="41"/>
    </row>
    <row r="155" spans="46:47" x14ac:dyDescent="0.35">
      <c r="AT155" s="41"/>
      <c r="AU155" s="41"/>
    </row>
    <row r="156" spans="46:47" x14ac:dyDescent="0.35">
      <c r="AT156" s="41"/>
      <c r="AU156" s="41"/>
    </row>
    <row r="157" spans="46:47" x14ac:dyDescent="0.35">
      <c r="AT157" s="41"/>
      <c r="AU157" s="41"/>
    </row>
    <row r="158" spans="46:47" x14ac:dyDescent="0.35">
      <c r="AT158" s="41"/>
      <c r="AU158" s="41"/>
    </row>
    <row r="159" spans="46:47" x14ac:dyDescent="0.35">
      <c r="AT159" s="41"/>
      <c r="AU159" s="41"/>
    </row>
    <row r="160" spans="46:47" x14ac:dyDescent="0.35">
      <c r="AT160" s="41"/>
      <c r="AU160" s="41"/>
    </row>
    <row r="161" spans="46:47" x14ac:dyDescent="0.35">
      <c r="AT161" s="41"/>
      <c r="AU161" s="41"/>
    </row>
    <row r="162" spans="46:47" x14ac:dyDescent="0.35">
      <c r="AT162" s="41"/>
      <c r="AU162" s="41"/>
    </row>
    <row r="163" spans="46:47" x14ac:dyDescent="0.35">
      <c r="AT163" s="41"/>
      <c r="AU163" s="41"/>
    </row>
    <row r="164" spans="46:47" x14ac:dyDescent="0.35">
      <c r="AT164" s="41"/>
      <c r="AU164" s="41"/>
    </row>
    <row r="165" spans="46:47" x14ac:dyDescent="0.35">
      <c r="AT165" s="41"/>
      <c r="AU165" s="41"/>
    </row>
    <row r="166" spans="46:47" x14ac:dyDescent="0.35">
      <c r="AT166" s="41"/>
      <c r="AU166" s="41"/>
    </row>
    <row r="167" spans="46:47" x14ac:dyDescent="0.35">
      <c r="AT167" s="41"/>
      <c r="AU167" s="41"/>
    </row>
    <row r="168" spans="46:47" x14ac:dyDescent="0.35">
      <c r="AT168" s="41"/>
      <c r="AU168" s="41"/>
    </row>
    <row r="169" spans="46:47" x14ac:dyDescent="0.35">
      <c r="AT169" s="41"/>
      <c r="AU169" s="41"/>
    </row>
    <row r="170" spans="46:47" x14ac:dyDescent="0.35">
      <c r="AT170" s="41"/>
      <c r="AU170" s="41"/>
    </row>
    <row r="171" spans="46:47" x14ac:dyDescent="0.35">
      <c r="AT171" s="41"/>
      <c r="AU171" s="41"/>
    </row>
    <row r="172" spans="46:47" x14ac:dyDescent="0.35">
      <c r="AT172" s="41"/>
      <c r="AU172" s="41"/>
    </row>
    <row r="173" spans="46:47" x14ac:dyDescent="0.35">
      <c r="AT173" s="41"/>
      <c r="AU173" s="41"/>
    </row>
    <row r="174" spans="46:47" x14ac:dyDescent="0.35">
      <c r="AT174" s="41"/>
      <c r="AU174" s="41"/>
    </row>
    <row r="175" spans="46:47" x14ac:dyDescent="0.35">
      <c r="AT175" s="41"/>
      <c r="AU175" s="41"/>
    </row>
    <row r="176" spans="46:47" x14ac:dyDescent="0.35">
      <c r="AT176" s="41"/>
      <c r="AU176" s="41"/>
    </row>
    <row r="177" spans="46:47" x14ac:dyDescent="0.35">
      <c r="AT177" s="41"/>
      <c r="AU177" s="41"/>
    </row>
    <row r="178" spans="46:47" x14ac:dyDescent="0.35">
      <c r="AT178" s="41"/>
      <c r="AU178" s="41"/>
    </row>
    <row r="179" spans="46:47" x14ac:dyDescent="0.35">
      <c r="AT179" s="41"/>
      <c r="AU179" s="41"/>
    </row>
    <row r="180" spans="46:47" x14ac:dyDescent="0.35">
      <c r="AT180" s="41"/>
      <c r="AU180" s="41"/>
    </row>
    <row r="181" spans="46:47" x14ac:dyDescent="0.35">
      <c r="AT181" s="41"/>
      <c r="AU181" s="41"/>
    </row>
    <row r="182" spans="46:47" x14ac:dyDescent="0.35">
      <c r="AT182" s="41"/>
      <c r="AU182" s="41"/>
    </row>
    <row r="183" spans="46:47" x14ac:dyDescent="0.35">
      <c r="AT183" s="41"/>
      <c r="AU183" s="41"/>
    </row>
    <row r="184" spans="46:47" x14ac:dyDescent="0.35">
      <c r="AT184" s="41"/>
      <c r="AU184" s="41"/>
    </row>
    <row r="185" spans="46:47" x14ac:dyDescent="0.35">
      <c r="AT185" s="41"/>
      <c r="AU185" s="41"/>
    </row>
    <row r="186" spans="46:47" x14ac:dyDescent="0.35">
      <c r="AT186" s="41"/>
      <c r="AU186" s="41"/>
    </row>
    <row r="187" spans="46:47" x14ac:dyDescent="0.35">
      <c r="AT187" s="41"/>
      <c r="AU187" s="41"/>
    </row>
    <row r="188" spans="46:47" x14ac:dyDescent="0.35">
      <c r="AT188" s="41"/>
      <c r="AU188" s="41"/>
    </row>
    <row r="189" spans="46:47" x14ac:dyDescent="0.35">
      <c r="AT189" s="41"/>
      <c r="AU189" s="41"/>
    </row>
    <row r="190" spans="46:47" x14ac:dyDescent="0.35">
      <c r="AT190" s="41"/>
      <c r="AU190" s="41"/>
    </row>
    <row r="191" spans="46:47" x14ac:dyDescent="0.35">
      <c r="AT191" s="41"/>
      <c r="AU191" s="41"/>
    </row>
    <row r="192" spans="46:47" x14ac:dyDescent="0.35">
      <c r="AT192" s="41"/>
      <c r="AU192" s="41"/>
    </row>
    <row r="193" spans="46:47" x14ac:dyDescent="0.35">
      <c r="AT193" s="41"/>
      <c r="AU193" s="41"/>
    </row>
    <row r="194" spans="46:47" x14ac:dyDescent="0.35">
      <c r="AT194" s="41"/>
      <c r="AU194" s="41"/>
    </row>
    <row r="195" spans="46:47" x14ac:dyDescent="0.35">
      <c r="AT195" s="41"/>
      <c r="AU195" s="41"/>
    </row>
    <row r="196" spans="46:47" x14ac:dyDescent="0.35">
      <c r="AT196" s="41"/>
      <c r="AU196" s="41"/>
    </row>
    <row r="197" spans="46:47" x14ac:dyDescent="0.35">
      <c r="AU197" s="41"/>
    </row>
    <row r="198" spans="46:47" x14ac:dyDescent="0.35">
      <c r="AU198" s="41"/>
    </row>
  </sheetData>
  <phoneticPr fontId="1" type="noConversion"/>
  <conditionalFormatting sqref="W2:W80">
    <cfRule type="colorScale" priority="115">
      <colorScale>
        <cfvo type="min"/>
        <cfvo type="max"/>
        <color theme="0"/>
        <color rgb="FFC00000"/>
      </colorScale>
    </cfRule>
  </conditionalFormatting>
  <conditionalFormatting sqref="AA2:AA74">
    <cfRule type="colorScale" priority="117">
      <colorScale>
        <cfvo type="min"/>
        <cfvo type="max"/>
        <color theme="0"/>
        <color rgb="FFC00000"/>
      </colorScale>
    </cfRule>
  </conditionalFormatting>
  <conditionalFormatting sqref="Y2:Y73">
    <cfRule type="colorScale" priority="119">
      <colorScale>
        <cfvo type="min"/>
        <cfvo type="max"/>
        <color theme="0"/>
        <color rgb="FFC00000"/>
      </colorScale>
    </cfRule>
  </conditionalFormatting>
  <conditionalFormatting sqref="AC2:AC70">
    <cfRule type="colorScale" priority="121">
      <colorScale>
        <cfvo type="min"/>
        <cfvo type="max"/>
        <color theme="0"/>
        <color rgb="FFC00000"/>
      </colorScale>
    </cfRule>
  </conditionalFormatting>
  <conditionalFormatting sqref="AD2:AD76">
    <cfRule type="colorScale" priority="123">
      <colorScale>
        <cfvo type="min"/>
        <cfvo type="max"/>
        <color theme="0"/>
        <color rgb="FFC00000"/>
      </colorScale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0EEAE-461F-41DE-BA00-9C03B41F7C38}">
  <sheetPr codeName="Sheet7"/>
  <dimension ref="A1:I263"/>
  <sheetViews>
    <sheetView topLeftCell="A10" workbookViewId="0">
      <selection sqref="A1:I263"/>
    </sheetView>
  </sheetViews>
  <sheetFormatPr defaultRowHeight="14.5" x14ac:dyDescent="0.35"/>
  <cols>
    <col min="1" max="1" width="18.26953125" bestFit="1" customWidth="1"/>
    <col min="2" max="2" width="10.54296875" bestFit="1" customWidth="1"/>
    <col min="3" max="3" width="12.36328125" bestFit="1" customWidth="1"/>
    <col min="4" max="4" width="10.453125" bestFit="1" customWidth="1"/>
    <col min="5" max="5" width="12.453125" bestFit="1" customWidth="1"/>
    <col min="6" max="6" width="13.453125" bestFit="1" customWidth="1"/>
    <col min="7" max="7" width="14.453125" bestFit="1" customWidth="1"/>
    <col min="8" max="8" width="15.54296875" bestFit="1" customWidth="1"/>
    <col min="9" max="9" width="11.81640625" bestFit="1" customWidth="1"/>
  </cols>
  <sheetData>
    <row r="1" spans="1:9" x14ac:dyDescent="0.35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</row>
    <row r="2" spans="1:9" x14ac:dyDescent="0.35">
      <c r="A2" t="s">
        <v>100</v>
      </c>
      <c r="B2">
        <v>15</v>
      </c>
      <c r="C2">
        <v>75</v>
      </c>
      <c r="D2">
        <v>0.51</v>
      </c>
      <c r="E2">
        <v>0.37790000000000001</v>
      </c>
      <c r="F2">
        <v>0.33439999999999998</v>
      </c>
      <c r="G2">
        <v>0.3004</v>
      </c>
      <c r="H2">
        <v>0.27850000000000003</v>
      </c>
      <c r="I2">
        <v>0.26779999999999998</v>
      </c>
    </row>
    <row r="3" spans="1:9" x14ac:dyDescent="0.35">
      <c r="A3" t="s">
        <v>101</v>
      </c>
      <c r="B3">
        <v>20</v>
      </c>
      <c r="C3">
        <v>75</v>
      </c>
      <c r="D3">
        <v>1.1127</v>
      </c>
      <c r="E3">
        <v>0.73609999999999998</v>
      </c>
      <c r="F3">
        <v>0.61270000000000002</v>
      </c>
      <c r="G3">
        <v>0.4738</v>
      </c>
      <c r="H3">
        <v>0.43140000000000001</v>
      </c>
      <c r="I3">
        <v>0.41060000000000002</v>
      </c>
    </row>
    <row r="4" spans="1:9" x14ac:dyDescent="0.35">
      <c r="A4" t="s">
        <v>102</v>
      </c>
      <c r="B4">
        <v>30</v>
      </c>
      <c r="C4">
        <v>90</v>
      </c>
      <c r="D4">
        <v>1.8635999999999999</v>
      </c>
      <c r="E4">
        <v>1.3433999999999999</v>
      </c>
      <c r="F4">
        <v>1.1917</v>
      </c>
      <c r="G4">
        <v>1.1077999999999999</v>
      </c>
      <c r="H4">
        <v>1.0529999999999999</v>
      </c>
      <c r="I4">
        <v>1.0407999999999999</v>
      </c>
    </row>
    <row r="5" spans="1:9" x14ac:dyDescent="0.35">
      <c r="A5" t="s">
        <v>103</v>
      </c>
      <c r="B5">
        <v>30</v>
      </c>
      <c r="C5">
        <v>90</v>
      </c>
      <c r="D5">
        <v>2.3439000000000001</v>
      </c>
      <c r="E5">
        <v>1.9187000000000001</v>
      </c>
      <c r="F5">
        <v>1.5662</v>
      </c>
      <c r="G5">
        <v>1.4825999999999999</v>
      </c>
      <c r="H5">
        <v>1.4563999999999999</v>
      </c>
      <c r="I5">
        <v>1.4439</v>
      </c>
    </row>
    <row r="6" spans="1:9" x14ac:dyDescent="0.35">
      <c r="A6" t="s">
        <v>104</v>
      </c>
      <c r="B6">
        <v>30</v>
      </c>
      <c r="C6">
        <v>90</v>
      </c>
      <c r="D6">
        <v>0.75270000000000004</v>
      </c>
      <c r="E6">
        <v>0.45319999999999999</v>
      </c>
      <c r="F6">
        <v>0.3553</v>
      </c>
      <c r="G6">
        <v>0.31740000000000002</v>
      </c>
      <c r="H6">
        <v>0.26550000000000001</v>
      </c>
      <c r="I6">
        <v>0.24</v>
      </c>
    </row>
    <row r="7" spans="1:9" x14ac:dyDescent="0.35">
      <c r="A7" t="s">
        <v>105</v>
      </c>
      <c r="B7">
        <v>20</v>
      </c>
      <c r="C7">
        <v>75</v>
      </c>
      <c r="D7">
        <v>0.76990000000000003</v>
      </c>
      <c r="E7">
        <v>0.50519999999999998</v>
      </c>
      <c r="F7">
        <v>0.41820000000000002</v>
      </c>
      <c r="G7">
        <v>0.38490000000000002</v>
      </c>
      <c r="H7">
        <v>0.33900000000000002</v>
      </c>
      <c r="I7">
        <v>0.31640000000000001</v>
      </c>
    </row>
    <row r="8" spans="1:9" x14ac:dyDescent="0.35">
      <c r="A8" t="s">
        <v>106</v>
      </c>
      <c r="B8">
        <v>30</v>
      </c>
      <c r="C8">
        <v>90</v>
      </c>
      <c r="D8">
        <v>2.0777000000000001</v>
      </c>
      <c r="E8">
        <v>1.3306</v>
      </c>
      <c r="F8">
        <v>1.1113999999999999</v>
      </c>
      <c r="G8">
        <v>1.0770999999999999</v>
      </c>
      <c r="H8">
        <v>1.0067999999999999</v>
      </c>
      <c r="I8">
        <v>0.99609999999999999</v>
      </c>
    </row>
    <row r="9" spans="1:9" x14ac:dyDescent="0.35">
      <c r="A9" t="s">
        <v>107</v>
      </c>
      <c r="B9">
        <v>30</v>
      </c>
      <c r="C9">
        <v>90</v>
      </c>
      <c r="D9">
        <v>1.0587</v>
      </c>
      <c r="E9">
        <v>0.70730000000000004</v>
      </c>
      <c r="F9">
        <v>0.59219999999999995</v>
      </c>
      <c r="G9">
        <v>0.55059999999999998</v>
      </c>
      <c r="H9">
        <v>0.48909999999999998</v>
      </c>
      <c r="I9">
        <v>0.4587</v>
      </c>
    </row>
    <row r="10" spans="1:9" x14ac:dyDescent="0.35">
      <c r="A10" t="s">
        <v>108</v>
      </c>
      <c r="B10">
        <v>30</v>
      </c>
      <c r="C10">
        <v>90</v>
      </c>
      <c r="D10">
        <v>1.5377000000000001</v>
      </c>
      <c r="E10">
        <v>1.0681</v>
      </c>
      <c r="F10">
        <v>0.8569</v>
      </c>
      <c r="G10">
        <v>0.71709999999999996</v>
      </c>
      <c r="H10">
        <v>0.61639999999999995</v>
      </c>
      <c r="I10">
        <v>0.60389999999999999</v>
      </c>
    </row>
    <row r="11" spans="1:9" x14ac:dyDescent="0.35">
      <c r="A11" t="s">
        <v>109</v>
      </c>
      <c r="B11">
        <v>30</v>
      </c>
      <c r="C11">
        <v>90</v>
      </c>
      <c r="D11">
        <v>1.8925000000000001</v>
      </c>
      <c r="E11">
        <v>1.5003</v>
      </c>
      <c r="F11">
        <v>1.3433999999999999</v>
      </c>
      <c r="G11">
        <v>1.2267999999999999</v>
      </c>
      <c r="H11">
        <v>1.1408</v>
      </c>
      <c r="I11">
        <v>1.1291</v>
      </c>
    </row>
    <row r="12" spans="1:9" x14ac:dyDescent="0.35">
      <c r="A12" t="s">
        <v>110</v>
      </c>
      <c r="B12">
        <v>30</v>
      </c>
      <c r="C12">
        <v>90</v>
      </c>
      <c r="D12">
        <v>0.87350000000000005</v>
      </c>
      <c r="E12">
        <v>0.49919999999999998</v>
      </c>
      <c r="F12">
        <v>0.37690000000000001</v>
      </c>
      <c r="G12">
        <v>0.3327</v>
      </c>
      <c r="H12">
        <v>0.26700000000000002</v>
      </c>
      <c r="I12">
        <v>0.23480000000000001</v>
      </c>
    </row>
    <row r="13" spans="1:9" x14ac:dyDescent="0.35">
      <c r="A13" t="s">
        <v>111</v>
      </c>
      <c r="B13">
        <v>30</v>
      </c>
      <c r="C13">
        <v>90</v>
      </c>
      <c r="D13">
        <v>1.8161</v>
      </c>
      <c r="E13">
        <v>1.2805</v>
      </c>
      <c r="F13">
        <v>1.1054999999999999</v>
      </c>
      <c r="G13">
        <v>1.0421</v>
      </c>
      <c r="H13">
        <v>0.94830000000000003</v>
      </c>
      <c r="I13">
        <v>0.90210000000000001</v>
      </c>
    </row>
    <row r="14" spans="1:9" x14ac:dyDescent="0.35">
      <c r="A14" t="s">
        <v>112</v>
      </c>
      <c r="B14">
        <v>30</v>
      </c>
      <c r="C14">
        <v>90</v>
      </c>
      <c r="D14">
        <v>1.1857</v>
      </c>
      <c r="E14">
        <v>0.78080000000000005</v>
      </c>
      <c r="F14">
        <v>0.64859999999999995</v>
      </c>
      <c r="G14">
        <v>0.60050000000000003</v>
      </c>
      <c r="H14">
        <v>0.52959999999999996</v>
      </c>
      <c r="I14">
        <v>0.49480000000000002</v>
      </c>
    </row>
    <row r="15" spans="1:9" x14ac:dyDescent="0.35">
      <c r="A15" t="s">
        <v>113</v>
      </c>
      <c r="B15">
        <v>20</v>
      </c>
      <c r="C15">
        <v>75</v>
      </c>
      <c r="D15">
        <v>0.81089999999999995</v>
      </c>
      <c r="E15">
        <v>0.56830000000000003</v>
      </c>
      <c r="F15">
        <v>0.48859999999999998</v>
      </c>
      <c r="G15">
        <v>0.4582</v>
      </c>
      <c r="H15">
        <v>0.4158</v>
      </c>
      <c r="I15">
        <v>0.39510000000000001</v>
      </c>
    </row>
    <row r="16" spans="1:9" x14ac:dyDescent="0.35">
      <c r="A16" t="s">
        <v>114</v>
      </c>
      <c r="B16">
        <v>30</v>
      </c>
      <c r="C16">
        <v>90</v>
      </c>
      <c r="D16">
        <v>1.0711999999999999</v>
      </c>
      <c r="E16">
        <v>0.72209999999999996</v>
      </c>
      <c r="F16">
        <v>0.61639999999999995</v>
      </c>
      <c r="G16">
        <v>0.57430000000000003</v>
      </c>
      <c r="H16">
        <v>0.51449999999999996</v>
      </c>
      <c r="I16">
        <v>0.48520000000000002</v>
      </c>
    </row>
    <row r="17" spans="1:9" x14ac:dyDescent="0.35">
      <c r="A17" t="s">
        <v>115</v>
      </c>
      <c r="B17">
        <v>30</v>
      </c>
      <c r="C17">
        <v>90</v>
      </c>
      <c r="D17">
        <v>2.2538</v>
      </c>
      <c r="E17">
        <v>1.4965999999999999</v>
      </c>
      <c r="F17">
        <v>1.1665000000000001</v>
      </c>
      <c r="G17">
        <v>1.0660000000000001</v>
      </c>
      <c r="H17">
        <v>0.9738</v>
      </c>
      <c r="I17">
        <v>0.96160000000000001</v>
      </c>
    </row>
    <row r="18" spans="1:9" x14ac:dyDescent="0.35">
      <c r="A18" t="s">
        <v>116</v>
      </c>
      <c r="B18">
        <v>30</v>
      </c>
      <c r="C18">
        <v>90</v>
      </c>
      <c r="D18">
        <v>1.0087999999999999</v>
      </c>
      <c r="E18">
        <v>0.63219999999999998</v>
      </c>
      <c r="F18">
        <v>0.50880000000000003</v>
      </c>
      <c r="G18">
        <v>0.4642</v>
      </c>
      <c r="H18">
        <v>0.3982</v>
      </c>
      <c r="I18">
        <v>0.36570000000000003</v>
      </c>
    </row>
    <row r="19" spans="1:9" x14ac:dyDescent="0.35">
      <c r="A19" t="s">
        <v>117</v>
      </c>
      <c r="B19">
        <v>30</v>
      </c>
      <c r="C19">
        <v>90</v>
      </c>
      <c r="D19">
        <v>1.319</v>
      </c>
      <c r="E19">
        <v>0.92679999999999996</v>
      </c>
      <c r="F19">
        <v>0.55769999999999997</v>
      </c>
      <c r="G19">
        <v>0.49690000000000001</v>
      </c>
      <c r="H19">
        <v>0.4405</v>
      </c>
      <c r="I19">
        <v>0.42859999999999998</v>
      </c>
    </row>
    <row r="20" spans="1:9" x14ac:dyDescent="0.35">
      <c r="A20" t="s">
        <v>118</v>
      </c>
      <c r="B20">
        <v>30</v>
      </c>
      <c r="C20">
        <v>90</v>
      </c>
      <c r="D20">
        <v>0.84650000000000003</v>
      </c>
      <c r="E20">
        <v>0.62029999999999996</v>
      </c>
      <c r="F20">
        <v>0.50570000000000004</v>
      </c>
      <c r="G20">
        <v>0.46339999999999998</v>
      </c>
      <c r="H20">
        <v>0.36909999999999998</v>
      </c>
      <c r="I20">
        <v>0.3574</v>
      </c>
    </row>
    <row r="21" spans="1:9" x14ac:dyDescent="0.35">
      <c r="A21" t="s">
        <v>119</v>
      </c>
      <c r="B21">
        <v>30</v>
      </c>
      <c r="C21">
        <v>90</v>
      </c>
      <c r="D21">
        <v>1.6592</v>
      </c>
      <c r="E21">
        <v>1.0150999999999999</v>
      </c>
      <c r="F21">
        <v>0.8044</v>
      </c>
      <c r="G21">
        <v>0.72809999999999997</v>
      </c>
      <c r="H21">
        <v>0.61529999999999996</v>
      </c>
      <c r="I21">
        <v>0.5595</v>
      </c>
    </row>
    <row r="22" spans="1:9" x14ac:dyDescent="0.35">
      <c r="A22" t="s">
        <v>120</v>
      </c>
      <c r="B22">
        <v>30</v>
      </c>
      <c r="C22">
        <v>90</v>
      </c>
      <c r="D22">
        <v>1.4109</v>
      </c>
      <c r="E22">
        <v>1.0654999999999999</v>
      </c>
      <c r="F22">
        <v>0.61950000000000005</v>
      </c>
      <c r="G22">
        <v>0.51170000000000004</v>
      </c>
      <c r="H22">
        <v>0.45579999999999998</v>
      </c>
      <c r="I22">
        <v>0.44390000000000002</v>
      </c>
    </row>
    <row r="23" spans="1:9" x14ac:dyDescent="0.35">
      <c r="A23" t="s">
        <v>121</v>
      </c>
      <c r="B23">
        <v>30</v>
      </c>
      <c r="C23">
        <v>90</v>
      </c>
      <c r="D23">
        <v>1.4577</v>
      </c>
      <c r="E23">
        <v>1.0290999999999999</v>
      </c>
      <c r="F23">
        <v>0.91249999999999998</v>
      </c>
      <c r="G23">
        <v>0.84050000000000002</v>
      </c>
      <c r="H23">
        <v>0.80600000000000005</v>
      </c>
      <c r="I23">
        <v>0.79090000000000005</v>
      </c>
    </row>
    <row r="24" spans="1:9" x14ac:dyDescent="0.35">
      <c r="A24" t="s">
        <v>122</v>
      </c>
      <c r="B24">
        <v>30</v>
      </c>
      <c r="C24">
        <v>90</v>
      </c>
      <c r="D24">
        <v>1.2332000000000001</v>
      </c>
      <c r="E24">
        <v>0.75170000000000003</v>
      </c>
      <c r="F24">
        <v>0.59430000000000005</v>
      </c>
      <c r="G24">
        <v>0.53739999999999999</v>
      </c>
      <c r="H24">
        <v>0.45300000000000001</v>
      </c>
      <c r="I24">
        <v>0.41120000000000001</v>
      </c>
    </row>
    <row r="25" spans="1:9" x14ac:dyDescent="0.35">
      <c r="A25" t="s">
        <v>123</v>
      </c>
      <c r="B25">
        <v>20</v>
      </c>
      <c r="C25">
        <v>75</v>
      </c>
      <c r="D25">
        <v>0.84470000000000001</v>
      </c>
      <c r="E25">
        <v>0.60209999999999997</v>
      </c>
      <c r="F25">
        <v>0.52229999999999999</v>
      </c>
      <c r="G25">
        <v>0.4919</v>
      </c>
      <c r="H25">
        <v>0.4496</v>
      </c>
      <c r="I25">
        <v>0.42880000000000001</v>
      </c>
    </row>
    <row r="26" spans="1:9" x14ac:dyDescent="0.35">
      <c r="A26" t="s">
        <v>124</v>
      </c>
      <c r="B26">
        <v>30</v>
      </c>
      <c r="C26">
        <v>90</v>
      </c>
      <c r="D26">
        <v>1.4951000000000001</v>
      </c>
      <c r="E26">
        <v>1.1415999999999999</v>
      </c>
      <c r="F26">
        <v>0.97819999999999996</v>
      </c>
      <c r="G26">
        <v>0.78569999999999995</v>
      </c>
      <c r="H26">
        <v>0.71950000000000003</v>
      </c>
      <c r="I26">
        <v>0.70679999999999998</v>
      </c>
    </row>
    <row r="27" spans="1:9" x14ac:dyDescent="0.35">
      <c r="A27" t="s">
        <v>125</v>
      </c>
      <c r="B27">
        <v>20</v>
      </c>
      <c r="C27">
        <v>75</v>
      </c>
      <c r="D27">
        <v>1.4080999999999999</v>
      </c>
      <c r="E27">
        <v>0.87060000000000004</v>
      </c>
      <c r="F27">
        <v>0.70130000000000003</v>
      </c>
      <c r="G27">
        <v>0.49769999999999998</v>
      </c>
      <c r="H27">
        <v>0.44290000000000002</v>
      </c>
      <c r="I27">
        <v>0.4158</v>
      </c>
    </row>
    <row r="28" spans="1:9" x14ac:dyDescent="0.35">
      <c r="A28" t="s">
        <v>126</v>
      </c>
      <c r="B28">
        <v>30</v>
      </c>
      <c r="C28">
        <v>90</v>
      </c>
      <c r="D28">
        <v>1.0812999999999999</v>
      </c>
      <c r="E28">
        <v>0.70699999999999996</v>
      </c>
      <c r="F28">
        <v>0.5847</v>
      </c>
      <c r="G28">
        <v>0.54049999999999998</v>
      </c>
      <c r="H28">
        <v>0.4748</v>
      </c>
      <c r="I28">
        <v>0.44259999999999999</v>
      </c>
    </row>
    <row r="29" spans="1:9" x14ac:dyDescent="0.35">
      <c r="A29" t="s">
        <v>127</v>
      </c>
      <c r="B29">
        <v>30</v>
      </c>
      <c r="C29">
        <v>90</v>
      </c>
      <c r="D29">
        <v>2.5234000000000001</v>
      </c>
      <c r="E29">
        <v>1.8525</v>
      </c>
      <c r="F29">
        <v>1.3776999999999999</v>
      </c>
      <c r="G29">
        <v>1.2208000000000001</v>
      </c>
      <c r="H29">
        <v>1.1512</v>
      </c>
      <c r="I29">
        <v>1.1384000000000001</v>
      </c>
    </row>
    <row r="30" spans="1:9" x14ac:dyDescent="0.35">
      <c r="A30" t="s">
        <v>128</v>
      </c>
      <c r="B30">
        <v>30</v>
      </c>
      <c r="C30">
        <v>90</v>
      </c>
      <c r="D30">
        <v>2.2023000000000001</v>
      </c>
      <c r="E30">
        <v>1.8576999999999999</v>
      </c>
      <c r="F30">
        <v>1.7618</v>
      </c>
      <c r="G30">
        <v>1.7057</v>
      </c>
      <c r="H30">
        <v>1.6748000000000001</v>
      </c>
      <c r="I30">
        <v>1.6608000000000001</v>
      </c>
    </row>
    <row r="31" spans="1:9" x14ac:dyDescent="0.35">
      <c r="A31" t="s">
        <v>129</v>
      </c>
      <c r="B31">
        <v>30</v>
      </c>
      <c r="C31">
        <v>90</v>
      </c>
      <c r="D31">
        <v>2.0527000000000002</v>
      </c>
      <c r="E31">
        <v>1.6983999999999999</v>
      </c>
      <c r="F31">
        <v>1.2917000000000001</v>
      </c>
      <c r="G31">
        <v>1.1312</v>
      </c>
      <c r="H31">
        <v>1.1000000000000001</v>
      </c>
      <c r="I31">
        <v>1.0860000000000001</v>
      </c>
    </row>
    <row r="32" spans="1:9" x14ac:dyDescent="0.35">
      <c r="A32" t="s">
        <v>130</v>
      </c>
      <c r="B32">
        <v>30</v>
      </c>
      <c r="C32">
        <v>90</v>
      </c>
      <c r="D32">
        <v>1.8152999999999999</v>
      </c>
      <c r="E32">
        <v>1.6171</v>
      </c>
      <c r="F32">
        <v>1.4748000000000001</v>
      </c>
      <c r="G32">
        <v>1.28</v>
      </c>
      <c r="H32">
        <v>1.0750999999999999</v>
      </c>
      <c r="I32">
        <v>1.0633999999999999</v>
      </c>
    </row>
    <row r="33" spans="1:9" x14ac:dyDescent="0.35">
      <c r="A33" t="s">
        <v>131</v>
      </c>
      <c r="B33">
        <v>15</v>
      </c>
      <c r="C33">
        <v>75</v>
      </c>
      <c r="D33">
        <v>0.60809999999999997</v>
      </c>
      <c r="E33">
        <v>0.42099999999999999</v>
      </c>
      <c r="F33">
        <v>0.35980000000000001</v>
      </c>
      <c r="G33">
        <v>0.33539999999999998</v>
      </c>
      <c r="H33">
        <v>0.30309999999999998</v>
      </c>
      <c r="I33">
        <v>0.28710000000000002</v>
      </c>
    </row>
    <row r="34" spans="1:9" x14ac:dyDescent="0.35">
      <c r="A34" t="s">
        <v>132</v>
      </c>
      <c r="B34">
        <v>30</v>
      </c>
      <c r="C34">
        <v>90</v>
      </c>
      <c r="D34">
        <v>1.7797000000000001</v>
      </c>
      <c r="E34">
        <v>1.1153</v>
      </c>
      <c r="F34">
        <v>0.88080000000000003</v>
      </c>
      <c r="G34">
        <v>0.74080000000000001</v>
      </c>
      <c r="H34">
        <v>0.67479999999999996</v>
      </c>
      <c r="I34">
        <v>0.66259999999999997</v>
      </c>
    </row>
    <row r="35" spans="1:9" x14ac:dyDescent="0.35">
      <c r="A35" t="s">
        <v>133</v>
      </c>
      <c r="B35">
        <v>30</v>
      </c>
      <c r="C35">
        <v>90</v>
      </c>
      <c r="D35">
        <v>3.0426000000000002</v>
      </c>
      <c r="E35">
        <v>2.5007999999999999</v>
      </c>
      <c r="F35">
        <v>2.3631000000000002</v>
      </c>
      <c r="G35">
        <v>2.2898999999999998</v>
      </c>
      <c r="H35">
        <v>2.2400000000000002</v>
      </c>
      <c r="I35">
        <v>2.2277999999999998</v>
      </c>
    </row>
    <row r="36" spans="1:9" x14ac:dyDescent="0.35">
      <c r="A36" t="s">
        <v>134</v>
      </c>
      <c r="B36">
        <v>20</v>
      </c>
      <c r="C36">
        <v>75</v>
      </c>
      <c r="D36">
        <v>1.6473</v>
      </c>
      <c r="E36">
        <v>1.4047000000000001</v>
      </c>
      <c r="F36">
        <v>1.3249</v>
      </c>
      <c r="G36">
        <v>1.2945</v>
      </c>
      <c r="H36">
        <v>1.2522</v>
      </c>
      <c r="I36">
        <v>1.2314000000000001</v>
      </c>
    </row>
    <row r="37" spans="1:9" x14ac:dyDescent="0.35">
      <c r="A37" t="s">
        <v>135</v>
      </c>
      <c r="B37">
        <v>30</v>
      </c>
      <c r="C37">
        <v>90</v>
      </c>
      <c r="D37">
        <v>1.4181999999999999</v>
      </c>
      <c r="E37">
        <v>1.0973999999999999</v>
      </c>
      <c r="F37">
        <v>0.98960000000000004</v>
      </c>
      <c r="G37">
        <v>0.9052</v>
      </c>
      <c r="H37">
        <v>0.97350000000000003</v>
      </c>
      <c r="I37">
        <v>0.96160000000000001</v>
      </c>
    </row>
    <row r="38" spans="1:9" x14ac:dyDescent="0.35">
      <c r="A38" t="s">
        <v>136</v>
      </c>
      <c r="B38">
        <v>30</v>
      </c>
      <c r="C38">
        <v>90</v>
      </c>
      <c r="D38">
        <v>1.0821000000000001</v>
      </c>
      <c r="E38">
        <v>0.64680000000000004</v>
      </c>
      <c r="F38">
        <v>0.50470000000000004</v>
      </c>
      <c r="G38">
        <v>0.45300000000000001</v>
      </c>
      <c r="H38">
        <v>0.37659999999999999</v>
      </c>
      <c r="I38">
        <v>0.3392</v>
      </c>
    </row>
    <row r="39" spans="1:9" x14ac:dyDescent="0.35">
      <c r="A39" t="s">
        <v>137</v>
      </c>
      <c r="B39">
        <v>30</v>
      </c>
      <c r="C39">
        <v>90</v>
      </c>
      <c r="D39">
        <v>1.4577</v>
      </c>
      <c r="E39">
        <v>1.0290999999999999</v>
      </c>
      <c r="F39">
        <v>0.91249999999999998</v>
      </c>
      <c r="G39">
        <v>0.84050000000000002</v>
      </c>
      <c r="H39">
        <v>0.80600000000000005</v>
      </c>
      <c r="I39">
        <v>0.79090000000000005</v>
      </c>
    </row>
    <row r="40" spans="1:9" x14ac:dyDescent="0.35">
      <c r="A40" t="s">
        <v>138</v>
      </c>
      <c r="B40">
        <v>30</v>
      </c>
      <c r="C40">
        <v>90</v>
      </c>
      <c r="D40">
        <v>1.8794999999999999</v>
      </c>
      <c r="E40">
        <v>1.5281</v>
      </c>
      <c r="F40">
        <v>1.413</v>
      </c>
      <c r="G40">
        <v>1.3714</v>
      </c>
      <c r="H40">
        <v>1.3099000000000001</v>
      </c>
      <c r="I40">
        <v>1.2795000000000001</v>
      </c>
    </row>
    <row r="41" spans="1:9" x14ac:dyDescent="0.35">
      <c r="A41" t="s">
        <v>139</v>
      </c>
      <c r="B41">
        <v>30</v>
      </c>
      <c r="C41">
        <v>90</v>
      </c>
      <c r="D41">
        <v>1.2927</v>
      </c>
      <c r="E41">
        <v>1.0262</v>
      </c>
      <c r="F41">
        <v>0.89639999999999997</v>
      </c>
      <c r="G41">
        <v>0.80830000000000002</v>
      </c>
      <c r="H41">
        <v>0.77449999999999997</v>
      </c>
      <c r="I41">
        <v>0.76229999999999998</v>
      </c>
    </row>
    <row r="42" spans="1:9" x14ac:dyDescent="0.35">
      <c r="A42" t="s">
        <v>140</v>
      </c>
      <c r="B42">
        <v>30</v>
      </c>
      <c r="C42">
        <v>90</v>
      </c>
      <c r="D42">
        <v>1.4548000000000001</v>
      </c>
      <c r="E42">
        <v>1.1861999999999999</v>
      </c>
      <c r="F42">
        <v>1.0696000000000001</v>
      </c>
      <c r="G42">
        <v>1.0205</v>
      </c>
      <c r="H42">
        <v>0.97660000000000002</v>
      </c>
      <c r="I42">
        <v>0.96489999999999998</v>
      </c>
    </row>
    <row r="43" spans="1:9" x14ac:dyDescent="0.35">
      <c r="A43" t="s">
        <v>141</v>
      </c>
      <c r="B43">
        <v>20</v>
      </c>
      <c r="C43">
        <v>75</v>
      </c>
      <c r="D43">
        <v>0.79169999999999996</v>
      </c>
      <c r="E43">
        <v>0.49220000000000003</v>
      </c>
      <c r="F43">
        <v>0.39429999999999998</v>
      </c>
      <c r="G43">
        <v>0.35639999999999999</v>
      </c>
      <c r="H43">
        <v>0.3044</v>
      </c>
      <c r="I43">
        <v>0.27900000000000003</v>
      </c>
    </row>
    <row r="44" spans="1:9" x14ac:dyDescent="0.35">
      <c r="A44" t="s">
        <v>142</v>
      </c>
      <c r="B44">
        <v>30</v>
      </c>
      <c r="C44">
        <v>90</v>
      </c>
      <c r="D44">
        <v>2.3247</v>
      </c>
      <c r="E44">
        <v>1.8771</v>
      </c>
      <c r="F44">
        <v>1.6595</v>
      </c>
      <c r="G44">
        <v>1.4509000000000001</v>
      </c>
      <c r="H44">
        <v>1.3104</v>
      </c>
      <c r="I44">
        <v>1.2982</v>
      </c>
    </row>
    <row r="45" spans="1:9" x14ac:dyDescent="0.35">
      <c r="A45" t="s">
        <v>143</v>
      </c>
      <c r="B45">
        <v>30</v>
      </c>
      <c r="C45">
        <v>90</v>
      </c>
      <c r="D45">
        <v>1.6560999999999999</v>
      </c>
      <c r="E45">
        <v>1.3047</v>
      </c>
      <c r="F45">
        <v>1.1896</v>
      </c>
      <c r="G45">
        <v>1.1480999999999999</v>
      </c>
      <c r="H45">
        <v>1.0865</v>
      </c>
      <c r="I45">
        <v>1.0561</v>
      </c>
    </row>
    <row r="46" spans="1:9" x14ac:dyDescent="0.35">
      <c r="A46" t="s">
        <v>144</v>
      </c>
      <c r="B46">
        <v>30</v>
      </c>
      <c r="C46">
        <v>90</v>
      </c>
      <c r="D46">
        <v>2.6145</v>
      </c>
      <c r="E46">
        <v>2.1943000000000001</v>
      </c>
      <c r="F46">
        <v>2.0901000000000001</v>
      </c>
      <c r="G46">
        <v>2.0308999999999999</v>
      </c>
      <c r="H46">
        <v>1.9965999999999999</v>
      </c>
      <c r="I46">
        <v>1.9842</v>
      </c>
    </row>
    <row r="47" spans="1:9" x14ac:dyDescent="0.35">
      <c r="A47" t="s">
        <v>145</v>
      </c>
      <c r="B47">
        <v>30</v>
      </c>
      <c r="C47">
        <v>90</v>
      </c>
      <c r="D47">
        <v>2.7875000000000001</v>
      </c>
      <c r="E47">
        <v>2.1579000000000002</v>
      </c>
      <c r="F47">
        <v>2.0331999999999999</v>
      </c>
      <c r="G47">
        <v>1.5984</v>
      </c>
      <c r="H47">
        <v>1.5660000000000001</v>
      </c>
      <c r="I47">
        <v>1.5504</v>
      </c>
    </row>
    <row r="48" spans="1:9" x14ac:dyDescent="0.35">
      <c r="A48" t="s">
        <v>146</v>
      </c>
      <c r="B48">
        <v>30</v>
      </c>
      <c r="C48">
        <v>90</v>
      </c>
      <c r="D48">
        <v>1.7073</v>
      </c>
      <c r="E48">
        <v>1.2938000000000001</v>
      </c>
      <c r="F48">
        <v>1.1187</v>
      </c>
      <c r="G48">
        <v>1.0761000000000001</v>
      </c>
      <c r="H48">
        <v>1.0543</v>
      </c>
      <c r="I48">
        <v>0.98050000000000004</v>
      </c>
    </row>
    <row r="49" spans="1:9" x14ac:dyDescent="0.35">
      <c r="A49" t="s">
        <v>147</v>
      </c>
      <c r="B49">
        <v>30</v>
      </c>
      <c r="C49">
        <v>90</v>
      </c>
      <c r="D49">
        <v>1.8635999999999999</v>
      </c>
      <c r="E49">
        <v>1.3433999999999999</v>
      </c>
      <c r="F49">
        <v>1.1917</v>
      </c>
      <c r="G49">
        <v>1.1077999999999999</v>
      </c>
      <c r="H49">
        <v>1.0529999999999999</v>
      </c>
      <c r="I49">
        <v>1.0407999999999999</v>
      </c>
    </row>
    <row r="50" spans="1:9" x14ac:dyDescent="0.35">
      <c r="A50" t="s">
        <v>148</v>
      </c>
      <c r="B50">
        <v>30</v>
      </c>
      <c r="C50">
        <v>90</v>
      </c>
      <c r="D50">
        <v>3.4491000000000001</v>
      </c>
      <c r="E50">
        <v>2.6469999999999998</v>
      </c>
      <c r="F50">
        <v>2.2681</v>
      </c>
      <c r="G50">
        <v>1.8179000000000001</v>
      </c>
      <c r="H50">
        <v>1.7805</v>
      </c>
      <c r="I50">
        <v>1.7683</v>
      </c>
    </row>
    <row r="51" spans="1:9" x14ac:dyDescent="0.35">
      <c r="A51" t="s">
        <v>149</v>
      </c>
      <c r="B51">
        <v>30</v>
      </c>
      <c r="C51">
        <v>90</v>
      </c>
      <c r="D51">
        <v>2.0905999999999998</v>
      </c>
      <c r="E51">
        <v>1.0025999999999999</v>
      </c>
      <c r="F51">
        <v>0.69769999999999999</v>
      </c>
      <c r="G51">
        <v>0.63949999999999996</v>
      </c>
      <c r="H51">
        <v>0.59219999999999995</v>
      </c>
      <c r="I51">
        <v>0.58160000000000001</v>
      </c>
    </row>
    <row r="52" spans="1:9" x14ac:dyDescent="0.35">
      <c r="A52" t="s">
        <v>150</v>
      </c>
      <c r="B52">
        <v>30</v>
      </c>
      <c r="C52">
        <v>90</v>
      </c>
      <c r="D52">
        <v>1.6634</v>
      </c>
      <c r="E52">
        <v>1.4649000000000001</v>
      </c>
      <c r="F52">
        <v>1.3226</v>
      </c>
      <c r="G52">
        <v>1.1834</v>
      </c>
      <c r="H52">
        <v>1.02</v>
      </c>
      <c r="I52">
        <v>1.0083</v>
      </c>
    </row>
    <row r="53" spans="1:9" x14ac:dyDescent="0.35">
      <c r="A53" t="s">
        <v>151</v>
      </c>
      <c r="B53">
        <v>30</v>
      </c>
      <c r="C53">
        <v>90</v>
      </c>
      <c r="D53">
        <v>0.84079999999999999</v>
      </c>
      <c r="E53">
        <v>0.5696</v>
      </c>
      <c r="F53">
        <v>0.50960000000000005</v>
      </c>
      <c r="G53">
        <v>0.4662</v>
      </c>
      <c r="H53">
        <v>0.43740000000000001</v>
      </c>
      <c r="I53">
        <v>0.42570000000000002</v>
      </c>
    </row>
    <row r="54" spans="1:9" x14ac:dyDescent="0.35">
      <c r="A54" t="s">
        <v>152</v>
      </c>
      <c r="B54">
        <v>30</v>
      </c>
      <c r="C54">
        <v>90</v>
      </c>
      <c r="D54">
        <v>1.4587000000000001</v>
      </c>
      <c r="E54">
        <v>0.91920000000000002</v>
      </c>
      <c r="F54">
        <v>0.78649999999999998</v>
      </c>
      <c r="G54">
        <v>0.6966</v>
      </c>
      <c r="H54">
        <v>0.64729999999999999</v>
      </c>
      <c r="I54">
        <v>0.6351</v>
      </c>
    </row>
    <row r="55" spans="1:9" x14ac:dyDescent="0.35">
      <c r="A55" t="s">
        <v>153</v>
      </c>
      <c r="B55">
        <v>30</v>
      </c>
      <c r="C55">
        <v>90</v>
      </c>
      <c r="D55">
        <v>2.2761</v>
      </c>
      <c r="E55">
        <v>1.9810000000000001</v>
      </c>
      <c r="F55">
        <v>1.8101</v>
      </c>
      <c r="G55">
        <v>1.7344999999999999</v>
      </c>
      <c r="H55">
        <v>1.6465000000000001</v>
      </c>
      <c r="I55">
        <v>1.6343000000000001</v>
      </c>
    </row>
    <row r="56" spans="1:9" x14ac:dyDescent="0.35">
      <c r="A56" t="s">
        <v>154</v>
      </c>
      <c r="B56">
        <v>30</v>
      </c>
      <c r="C56">
        <v>90</v>
      </c>
      <c r="D56">
        <v>2.0527000000000002</v>
      </c>
      <c r="E56">
        <v>1.6983999999999999</v>
      </c>
      <c r="F56">
        <v>1.2917000000000001</v>
      </c>
      <c r="G56">
        <v>1.1312</v>
      </c>
      <c r="H56">
        <v>1.1000000000000001</v>
      </c>
      <c r="I56">
        <v>1.0860000000000001</v>
      </c>
    </row>
    <row r="57" spans="1:9" x14ac:dyDescent="0.35">
      <c r="A57" t="s">
        <v>155</v>
      </c>
      <c r="B57">
        <v>30</v>
      </c>
      <c r="C57">
        <v>90</v>
      </c>
      <c r="D57">
        <v>2.4622999999999999</v>
      </c>
      <c r="E57">
        <v>1.9751000000000001</v>
      </c>
      <c r="F57">
        <v>1.8621000000000001</v>
      </c>
      <c r="G57">
        <v>1.8104</v>
      </c>
      <c r="H57">
        <v>1.7607999999999999</v>
      </c>
      <c r="I57">
        <v>1.7491000000000001</v>
      </c>
    </row>
    <row r="58" spans="1:9" x14ac:dyDescent="0.35">
      <c r="A58" t="s">
        <v>156</v>
      </c>
      <c r="B58">
        <v>30</v>
      </c>
      <c r="C58">
        <v>90</v>
      </c>
      <c r="D58">
        <v>1.5368999999999999</v>
      </c>
      <c r="E58">
        <v>0.85840000000000005</v>
      </c>
      <c r="F58">
        <v>0.67349999999999999</v>
      </c>
      <c r="G58">
        <v>0.56940000000000002</v>
      </c>
      <c r="H58">
        <v>0.49819999999999998</v>
      </c>
      <c r="I58">
        <v>0.48599999999999999</v>
      </c>
    </row>
    <row r="59" spans="1:9" x14ac:dyDescent="0.35">
      <c r="A59" t="s">
        <v>157</v>
      </c>
      <c r="B59">
        <v>30</v>
      </c>
      <c r="C59">
        <v>90</v>
      </c>
      <c r="D59">
        <v>1.7869999999999999</v>
      </c>
      <c r="E59">
        <v>1.3652</v>
      </c>
      <c r="F59">
        <v>1.0862000000000001</v>
      </c>
      <c r="G59">
        <v>0.91010000000000002</v>
      </c>
      <c r="H59">
        <v>0.76990000000000003</v>
      </c>
      <c r="I59">
        <v>0.75739999999999996</v>
      </c>
    </row>
    <row r="60" spans="1:9" x14ac:dyDescent="0.35">
      <c r="A60" t="s">
        <v>158</v>
      </c>
      <c r="B60">
        <v>30</v>
      </c>
      <c r="C60">
        <v>90</v>
      </c>
      <c r="D60">
        <v>1.22</v>
      </c>
      <c r="E60">
        <v>1.0081</v>
      </c>
      <c r="F60">
        <v>0.92100000000000004</v>
      </c>
      <c r="G60">
        <v>0.87870000000000004</v>
      </c>
      <c r="H60">
        <v>0.71919999999999995</v>
      </c>
      <c r="I60">
        <v>0.70750000000000002</v>
      </c>
    </row>
    <row r="61" spans="1:9" x14ac:dyDescent="0.35">
      <c r="A61" t="s">
        <v>159</v>
      </c>
      <c r="B61">
        <v>30</v>
      </c>
      <c r="C61">
        <v>90</v>
      </c>
      <c r="D61">
        <v>2.2774000000000001</v>
      </c>
      <c r="E61">
        <v>1.7675000000000001</v>
      </c>
      <c r="F61">
        <v>1.181</v>
      </c>
      <c r="G61">
        <v>0.99870000000000003</v>
      </c>
      <c r="H61">
        <v>0.92749999999999999</v>
      </c>
      <c r="I61">
        <v>0.9153</v>
      </c>
    </row>
    <row r="62" spans="1:9" x14ac:dyDescent="0.35">
      <c r="A62" t="s">
        <v>160</v>
      </c>
      <c r="B62">
        <v>30</v>
      </c>
      <c r="C62">
        <v>90</v>
      </c>
      <c r="D62">
        <v>0.95479999999999998</v>
      </c>
      <c r="E62">
        <v>0.60340000000000005</v>
      </c>
      <c r="F62">
        <v>0.48830000000000001</v>
      </c>
      <c r="G62">
        <v>0.44679999999999997</v>
      </c>
      <c r="H62">
        <v>0.38519999999999999</v>
      </c>
      <c r="I62">
        <v>0.3548</v>
      </c>
    </row>
    <row r="63" spans="1:9" x14ac:dyDescent="0.35">
      <c r="A63" t="s">
        <v>161</v>
      </c>
      <c r="B63">
        <v>30</v>
      </c>
      <c r="C63">
        <v>90</v>
      </c>
      <c r="D63">
        <v>2.8797000000000001</v>
      </c>
      <c r="E63">
        <v>1.6868000000000001</v>
      </c>
      <c r="F63">
        <v>1.5147999999999999</v>
      </c>
      <c r="G63">
        <v>1.4379</v>
      </c>
      <c r="H63">
        <v>1.4020999999999999</v>
      </c>
      <c r="I63">
        <v>1.3868</v>
      </c>
    </row>
    <row r="64" spans="1:9" x14ac:dyDescent="0.35">
      <c r="A64" t="s">
        <v>162</v>
      </c>
      <c r="B64">
        <v>30</v>
      </c>
      <c r="C64">
        <v>90</v>
      </c>
      <c r="D64">
        <v>1.5322</v>
      </c>
      <c r="E64">
        <v>0.76880000000000004</v>
      </c>
      <c r="F64">
        <v>0.66210000000000002</v>
      </c>
      <c r="G64">
        <v>0.56779999999999997</v>
      </c>
      <c r="H64">
        <v>0.501</v>
      </c>
      <c r="I64">
        <v>0.48880000000000001</v>
      </c>
    </row>
    <row r="65" spans="1:9" x14ac:dyDescent="0.35">
      <c r="A65" t="s">
        <v>163</v>
      </c>
      <c r="B65">
        <v>30</v>
      </c>
      <c r="C65">
        <v>90</v>
      </c>
      <c r="D65">
        <v>1.0122</v>
      </c>
      <c r="E65">
        <v>0.77270000000000005</v>
      </c>
      <c r="F65">
        <v>0.67900000000000005</v>
      </c>
      <c r="G65">
        <v>0.6018</v>
      </c>
      <c r="H65">
        <v>0.41060000000000002</v>
      </c>
      <c r="I65">
        <v>0.39900000000000002</v>
      </c>
    </row>
    <row r="66" spans="1:9" x14ac:dyDescent="0.35">
      <c r="A66" t="s">
        <v>164</v>
      </c>
      <c r="B66">
        <v>30</v>
      </c>
      <c r="C66">
        <v>90</v>
      </c>
      <c r="D66">
        <v>2.4622999999999999</v>
      </c>
      <c r="E66">
        <v>1.9751000000000001</v>
      </c>
      <c r="F66">
        <v>1.8621000000000001</v>
      </c>
      <c r="G66">
        <v>1.8104</v>
      </c>
      <c r="H66">
        <v>1.7607999999999999</v>
      </c>
      <c r="I66">
        <v>1.7491000000000001</v>
      </c>
    </row>
    <row r="67" spans="1:9" x14ac:dyDescent="0.35">
      <c r="A67" t="s">
        <v>165</v>
      </c>
      <c r="B67">
        <v>30</v>
      </c>
      <c r="C67">
        <v>90</v>
      </c>
      <c r="D67">
        <v>1.0168999999999999</v>
      </c>
      <c r="E67">
        <v>0.6119</v>
      </c>
      <c r="F67">
        <v>0.47970000000000002</v>
      </c>
      <c r="G67">
        <v>0.43169999999999997</v>
      </c>
      <c r="H67">
        <v>0.36080000000000001</v>
      </c>
      <c r="I67">
        <v>0.32600000000000001</v>
      </c>
    </row>
    <row r="68" spans="1:9" x14ac:dyDescent="0.35">
      <c r="A68" t="s">
        <v>166</v>
      </c>
      <c r="B68">
        <v>30</v>
      </c>
      <c r="C68">
        <v>90</v>
      </c>
      <c r="D68">
        <v>1.2347999999999999</v>
      </c>
      <c r="E68">
        <v>0.85819999999999996</v>
      </c>
      <c r="F68">
        <v>0.73480000000000001</v>
      </c>
      <c r="G68">
        <v>0.69010000000000005</v>
      </c>
      <c r="H68">
        <v>0.62419999999999998</v>
      </c>
      <c r="I68">
        <v>0.5917</v>
      </c>
    </row>
    <row r="69" spans="1:9" x14ac:dyDescent="0.35">
      <c r="A69" t="s">
        <v>167</v>
      </c>
      <c r="B69">
        <v>30</v>
      </c>
      <c r="C69">
        <v>90</v>
      </c>
      <c r="D69">
        <v>1.587</v>
      </c>
      <c r="E69">
        <v>1.4625999999999999</v>
      </c>
      <c r="F69">
        <v>1.4218</v>
      </c>
      <c r="G69">
        <v>1.407</v>
      </c>
      <c r="H69">
        <v>1.3852</v>
      </c>
      <c r="I69">
        <v>1.3745000000000001</v>
      </c>
    </row>
    <row r="70" spans="1:9" x14ac:dyDescent="0.35">
      <c r="A70" t="s">
        <v>168</v>
      </c>
      <c r="B70">
        <v>30</v>
      </c>
      <c r="C70">
        <v>90</v>
      </c>
      <c r="D70">
        <v>2.3986999999999998</v>
      </c>
      <c r="E70">
        <v>1.7522</v>
      </c>
      <c r="F70">
        <v>1.5758000000000001</v>
      </c>
      <c r="G70">
        <v>1.5278</v>
      </c>
      <c r="H70">
        <v>1.4682999999999999</v>
      </c>
      <c r="I70">
        <v>1.4577</v>
      </c>
    </row>
    <row r="71" spans="1:9" x14ac:dyDescent="0.35">
      <c r="A71" t="s">
        <v>169</v>
      </c>
      <c r="B71">
        <v>30</v>
      </c>
      <c r="C71">
        <v>90</v>
      </c>
      <c r="D71">
        <v>1.5087999999999999</v>
      </c>
      <c r="E71">
        <v>1.3698999999999999</v>
      </c>
      <c r="F71">
        <v>1.1060000000000001</v>
      </c>
      <c r="G71">
        <v>0.90600000000000003</v>
      </c>
      <c r="H71">
        <v>0.79610000000000003</v>
      </c>
      <c r="I71">
        <v>0.78549999999999998</v>
      </c>
    </row>
    <row r="72" spans="1:9" x14ac:dyDescent="0.35">
      <c r="A72" t="s">
        <v>170</v>
      </c>
      <c r="B72">
        <v>30</v>
      </c>
      <c r="C72">
        <v>90</v>
      </c>
      <c r="D72">
        <v>1.4577</v>
      </c>
      <c r="E72">
        <v>1.0290999999999999</v>
      </c>
      <c r="F72">
        <v>0.91249999999999998</v>
      </c>
      <c r="G72">
        <v>0.84050000000000002</v>
      </c>
      <c r="H72">
        <v>0.80600000000000005</v>
      </c>
      <c r="I72">
        <v>0.79090000000000005</v>
      </c>
    </row>
    <row r="73" spans="1:9" x14ac:dyDescent="0.35">
      <c r="A73" t="s">
        <v>171</v>
      </c>
      <c r="B73">
        <v>30</v>
      </c>
      <c r="C73">
        <v>90</v>
      </c>
      <c r="D73">
        <v>3.0426000000000002</v>
      </c>
      <c r="E73">
        <v>2.5007999999999999</v>
      </c>
      <c r="F73">
        <v>2.3631000000000002</v>
      </c>
      <c r="G73">
        <v>2.2898999999999998</v>
      </c>
      <c r="H73">
        <v>2.2400000000000002</v>
      </c>
      <c r="I73">
        <v>2.2277999999999998</v>
      </c>
    </row>
    <row r="74" spans="1:9" x14ac:dyDescent="0.35">
      <c r="A74" t="s">
        <v>172</v>
      </c>
      <c r="B74">
        <v>30</v>
      </c>
      <c r="C74">
        <v>90</v>
      </c>
      <c r="D74">
        <v>1.4577</v>
      </c>
      <c r="E74">
        <v>1.0290999999999999</v>
      </c>
      <c r="F74">
        <v>0.91249999999999998</v>
      </c>
      <c r="G74">
        <v>0.84050000000000002</v>
      </c>
      <c r="H74">
        <v>0.80600000000000005</v>
      </c>
      <c r="I74">
        <v>0.79090000000000005</v>
      </c>
    </row>
    <row r="75" spans="1:9" x14ac:dyDescent="0.35">
      <c r="A75" t="s">
        <v>173</v>
      </c>
      <c r="B75">
        <v>30</v>
      </c>
      <c r="C75">
        <v>90</v>
      </c>
      <c r="D75">
        <v>1.4577</v>
      </c>
      <c r="E75">
        <v>1.0290999999999999</v>
      </c>
      <c r="F75">
        <v>0.91249999999999998</v>
      </c>
      <c r="G75">
        <v>0.84050000000000002</v>
      </c>
      <c r="H75">
        <v>0.80600000000000005</v>
      </c>
      <c r="I75">
        <v>0.79090000000000005</v>
      </c>
    </row>
    <row r="76" spans="1:9" x14ac:dyDescent="0.35">
      <c r="A76" t="s">
        <v>174</v>
      </c>
      <c r="B76">
        <v>30</v>
      </c>
      <c r="C76">
        <v>90</v>
      </c>
      <c r="D76">
        <v>1.0501</v>
      </c>
      <c r="E76">
        <v>0.71789999999999998</v>
      </c>
      <c r="F76">
        <v>0.63380000000000003</v>
      </c>
      <c r="G76">
        <v>0.56440000000000001</v>
      </c>
      <c r="H76">
        <v>0.50080000000000002</v>
      </c>
      <c r="I76">
        <v>0.48909999999999998</v>
      </c>
    </row>
    <row r="77" spans="1:9" x14ac:dyDescent="0.35">
      <c r="A77" t="s">
        <v>175</v>
      </c>
      <c r="B77">
        <v>30</v>
      </c>
      <c r="C77">
        <v>90</v>
      </c>
      <c r="D77">
        <v>1.1256999999999999</v>
      </c>
      <c r="E77">
        <v>0.74909999999999999</v>
      </c>
      <c r="F77">
        <v>0.62570000000000003</v>
      </c>
      <c r="G77">
        <v>0.58099999999999996</v>
      </c>
      <c r="H77">
        <v>0.5151</v>
      </c>
      <c r="I77">
        <v>0.48259999999999997</v>
      </c>
    </row>
    <row r="78" spans="1:9" x14ac:dyDescent="0.35">
      <c r="A78" t="s">
        <v>176</v>
      </c>
      <c r="B78">
        <v>20</v>
      </c>
      <c r="C78">
        <v>75</v>
      </c>
      <c r="D78">
        <v>0.80049999999999999</v>
      </c>
      <c r="E78">
        <v>0.55789999999999995</v>
      </c>
      <c r="F78">
        <v>0.47820000000000001</v>
      </c>
      <c r="G78">
        <v>0.44779999999999998</v>
      </c>
      <c r="H78">
        <v>0.40550000000000003</v>
      </c>
      <c r="I78">
        <v>0.38469999999999999</v>
      </c>
    </row>
    <row r="79" spans="1:9" x14ac:dyDescent="0.35">
      <c r="A79" t="s">
        <v>177</v>
      </c>
      <c r="B79">
        <v>30</v>
      </c>
      <c r="C79">
        <v>90</v>
      </c>
      <c r="D79">
        <v>1.8794999999999999</v>
      </c>
      <c r="E79">
        <v>1.5281</v>
      </c>
      <c r="F79">
        <v>1.413</v>
      </c>
      <c r="G79">
        <v>1.3714</v>
      </c>
      <c r="H79">
        <v>1.3099000000000001</v>
      </c>
      <c r="I79">
        <v>1.2795000000000001</v>
      </c>
    </row>
    <row r="80" spans="1:9" x14ac:dyDescent="0.35">
      <c r="A80" t="s">
        <v>178</v>
      </c>
      <c r="B80">
        <v>30</v>
      </c>
      <c r="C80">
        <v>90</v>
      </c>
      <c r="D80">
        <v>3.1709000000000001</v>
      </c>
      <c r="E80">
        <v>2.6482999999999999</v>
      </c>
      <c r="F80">
        <v>2.3317000000000001</v>
      </c>
      <c r="G80">
        <v>1.9016</v>
      </c>
      <c r="H80">
        <v>1.7332000000000001</v>
      </c>
      <c r="I80">
        <v>1.7210000000000001</v>
      </c>
    </row>
    <row r="81" spans="1:9" x14ac:dyDescent="0.35">
      <c r="A81" t="s">
        <v>179</v>
      </c>
      <c r="B81">
        <v>30</v>
      </c>
      <c r="C81">
        <v>90</v>
      </c>
      <c r="D81">
        <v>1.1309</v>
      </c>
      <c r="E81">
        <v>0.75429999999999997</v>
      </c>
      <c r="F81">
        <v>0.63090000000000002</v>
      </c>
      <c r="G81">
        <v>0.58620000000000005</v>
      </c>
      <c r="H81">
        <v>0.52029999999999998</v>
      </c>
      <c r="I81">
        <v>0.48780000000000001</v>
      </c>
    </row>
    <row r="82" spans="1:9" x14ac:dyDescent="0.35">
      <c r="A82" t="s">
        <v>180</v>
      </c>
      <c r="B82">
        <v>30</v>
      </c>
      <c r="C82">
        <v>90</v>
      </c>
      <c r="D82">
        <v>2.3725000000000001</v>
      </c>
      <c r="E82">
        <v>1.8460000000000001</v>
      </c>
      <c r="F82">
        <v>1.4924999999999999</v>
      </c>
      <c r="G82">
        <v>1.3725000000000001</v>
      </c>
      <c r="H82">
        <v>1.3104</v>
      </c>
      <c r="I82">
        <v>1.2982</v>
      </c>
    </row>
    <row r="83" spans="1:9" x14ac:dyDescent="0.35">
      <c r="A83" t="s">
        <v>181</v>
      </c>
      <c r="B83">
        <v>30</v>
      </c>
      <c r="C83">
        <v>90</v>
      </c>
      <c r="D83">
        <v>2.8431000000000002</v>
      </c>
      <c r="E83">
        <v>2.1417999999999999</v>
      </c>
      <c r="F83">
        <v>1.7487999999999999</v>
      </c>
      <c r="G83">
        <v>1.7094</v>
      </c>
      <c r="H83">
        <v>1.6829000000000001</v>
      </c>
      <c r="I83">
        <v>1.6706000000000001</v>
      </c>
    </row>
    <row r="84" spans="1:9" x14ac:dyDescent="0.35">
      <c r="A84" t="s">
        <v>182</v>
      </c>
      <c r="B84">
        <v>30</v>
      </c>
      <c r="C84">
        <v>90</v>
      </c>
      <c r="D84">
        <v>4.2454999999999998</v>
      </c>
      <c r="E84">
        <v>2.4883000000000002</v>
      </c>
      <c r="F84">
        <v>2.3732000000000002</v>
      </c>
      <c r="G84">
        <v>2.3029000000000002</v>
      </c>
      <c r="H84">
        <v>2.2686000000000002</v>
      </c>
      <c r="I84">
        <v>2.2538</v>
      </c>
    </row>
    <row r="85" spans="1:9" x14ac:dyDescent="0.35">
      <c r="A85" t="s">
        <v>183</v>
      </c>
      <c r="B85">
        <v>30</v>
      </c>
      <c r="C85">
        <v>90</v>
      </c>
      <c r="D85">
        <v>1.0812999999999999</v>
      </c>
      <c r="E85">
        <v>0.70699999999999996</v>
      </c>
      <c r="F85">
        <v>0.5847</v>
      </c>
      <c r="G85">
        <v>0.54049999999999998</v>
      </c>
      <c r="H85">
        <v>0.4748</v>
      </c>
      <c r="I85">
        <v>0.44259999999999999</v>
      </c>
    </row>
    <row r="86" spans="1:9" x14ac:dyDescent="0.35">
      <c r="A86" t="s">
        <v>184</v>
      </c>
      <c r="B86">
        <v>30</v>
      </c>
      <c r="C86">
        <v>90</v>
      </c>
      <c r="D86">
        <v>0.97219999999999995</v>
      </c>
      <c r="E86">
        <v>0.59789999999999999</v>
      </c>
      <c r="F86">
        <v>0.47560000000000002</v>
      </c>
      <c r="G86">
        <v>0.43140000000000001</v>
      </c>
      <c r="H86">
        <v>0.36570000000000003</v>
      </c>
      <c r="I86">
        <v>0.33350000000000002</v>
      </c>
    </row>
    <row r="87" spans="1:9" x14ac:dyDescent="0.35">
      <c r="A87" t="s">
        <v>185</v>
      </c>
      <c r="B87">
        <v>30</v>
      </c>
      <c r="C87">
        <v>90</v>
      </c>
      <c r="D87">
        <v>1.1813</v>
      </c>
      <c r="E87">
        <v>0.92420000000000002</v>
      </c>
      <c r="F87">
        <v>0.67949999999999999</v>
      </c>
      <c r="G87">
        <v>0.61250000000000004</v>
      </c>
      <c r="H87">
        <v>0.56910000000000005</v>
      </c>
      <c r="I87">
        <v>0.55659999999999998</v>
      </c>
    </row>
    <row r="88" spans="1:9" x14ac:dyDescent="0.35">
      <c r="A88" t="s">
        <v>186</v>
      </c>
      <c r="B88">
        <v>30</v>
      </c>
      <c r="C88">
        <v>90</v>
      </c>
      <c r="D88">
        <v>1.0587</v>
      </c>
      <c r="E88">
        <v>0.70730000000000004</v>
      </c>
      <c r="F88">
        <v>0.59219999999999995</v>
      </c>
      <c r="G88">
        <v>0.55059999999999998</v>
      </c>
      <c r="H88">
        <v>0.48909999999999998</v>
      </c>
      <c r="I88">
        <v>0.4587</v>
      </c>
    </row>
    <row r="89" spans="1:9" x14ac:dyDescent="0.35">
      <c r="A89" t="s">
        <v>187</v>
      </c>
      <c r="B89">
        <v>30</v>
      </c>
      <c r="C89">
        <v>90</v>
      </c>
      <c r="D89">
        <v>1.8635999999999999</v>
      </c>
      <c r="E89">
        <v>1.3433999999999999</v>
      </c>
      <c r="F89">
        <v>1.1917</v>
      </c>
      <c r="G89">
        <v>1.1077999999999999</v>
      </c>
      <c r="H89">
        <v>1.0529999999999999</v>
      </c>
      <c r="I89">
        <v>1.0407999999999999</v>
      </c>
    </row>
    <row r="90" spans="1:9" x14ac:dyDescent="0.35">
      <c r="A90" t="s">
        <v>188</v>
      </c>
      <c r="B90">
        <v>20</v>
      </c>
      <c r="C90">
        <v>75</v>
      </c>
      <c r="D90">
        <v>0.90490000000000004</v>
      </c>
      <c r="E90">
        <v>0.64029999999999998</v>
      </c>
      <c r="F90">
        <v>0.55320000000000003</v>
      </c>
      <c r="G90">
        <v>0.52</v>
      </c>
      <c r="H90">
        <v>0.47399999999999998</v>
      </c>
      <c r="I90">
        <v>0.45140000000000002</v>
      </c>
    </row>
    <row r="91" spans="1:9" x14ac:dyDescent="0.35">
      <c r="A91" t="s">
        <v>189</v>
      </c>
      <c r="B91">
        <v>30</v>
      </c>
      <c r="C91">
        <v>90</v>
      </c>
      <c r="D91">
        <v>2.2955999999999999</v>
      </c>
      <c r="E91">
        <v>1.8242</v>
      </c>
      <c r="F91">
        <v>1.6</v>
      </c>
      <c r="G91">
        <v>1.5221</v>
      </c>
      <c r="H91">
        <v>1.4956</v>
      </c>
      <c r="I91">
        <v>1.4834000000000001</v>
      </c>
    </row>
    <row r="92" spans="1:9" x14ac:dyDescent="0.35">
      <c r="A92" t="s">
        <v>190</v>
      </c>
      <c r="B92">
        <v>30</v>
      </c>
      <c r="C92">
        <v>90</v>
      </c>
      <c r="D92">
        <v>1.6927000000000001</v>
      </c>
      <c r="E92">
        <v>1.2514000000000001</v>
      </c>
      <c r="F92">
        <v>1.0587</v>
      </c>
      <c r="G92">
        <v>1.0096000000000001</v>
      </c>
      <c r="H92">
        <v>0.9839</v>
      </c>
      <c r="I92">
        <v>0.97189999999999999</v>
      </c>
    </row>
    <row r="93" spans="1:9" x14ac:dyDescent="0.35">
      <c r="A93" t="s">
        <v>191</v>
      </c>
      <c r="B93">
        <v>30</v>
      </c>
      <c r="C93">
        <v>90</v>
      </c>
      <c r="D93">
        <v>1.633</v>
      </c>
      <c r="E93">
        <v>1.2442</v>
      </c>
      <c r="F93">
        <v>1.1203000000000001</v>
      </c>
      <c r="G93">
        <v>0.97770000000000001</v>
      </c>
      <c r="H93">
        <v>0.93010000000000004</v>
      </c>
      <c r="I93">
        <v>0.91710000000000003</v>
      </c>
    </row>
    <row r="94" spans="1:9" x14ac:dyDescent="0.35">
      <c r="A94" t="s">
        <v>192</v>
      </c>
      <c r="B94">
        <v>30</v>
      </c>
      <c r="C94">
        <v>90</v>
      </c>
      <c r="D94">
        <v>1.4774</v>
      </c>
      <c r="E94">
        <v>1.1449</v>
      </c>
      <c r="F94">
        <v>0.99170000000000003</v>
      </c>
      <c r="G94">
        <v>0.87270000000000003</v>
      </c>
      <c r="H94">
        <v>0.80549999999999999</v>
      </c>
      <c r="I94">
        <v>0.79300000000000004</v>
      </c>
    </row>
    <row r="95" spans="1:9" x14ac:dyDescent="0.35">
      <c r="A95" t="s">
        <v>193</v>
      </c>
      <c r="B95">
        <v>30</v>
      </c>
      <c r="C95">
        <v>90</v>
      </c>
      <c r="D95">
        <v>2.5594999999999999</v>
      </c>
      <c r="E95">
        <v>1.7862</v>
      </c>
      <c r="F95">
        <v>1.3093999999999999</v>
      </c>
      <c r="G95">
        <v>0.86939999999999995</v>
      </c>
      <c r="H95">
        <v>0.83789999999999998</v>
      </c>
      <c r="I95">
        <v>0.82569999999999999</v>
      </c>
    </row>
    <row r="96" spans="1:9" x14ac:dyDescent="0.35">
      <c r="A96" t="s">
        <v>194</v>
      </c>
      <c r="B96">
        <v>30</v>
      </c>
      <c r="C96">
        <v>90</v>
      </c>
      <c r="D96">
        <v>0.92049999999999998</v>
      </c>
      <c r="E96">
        <v>0.54390000000000005</v>
      </c>
      <c r="F96">
        <v>0.42049999999999998</v>
      </c>
      <c r="G96">
        <v>0.37580000000000002</v>
      </c>
      <c r="H96">
        <v>0.30990000000000001</v>
      </c>
      <c r="I96">
        <v>0.27739999999999998</v>
      </c>
    </row>
    <row r="97" spans="1:9" x14ac:dyDescent="0.35">
      <c r="A97" t="s">
        <v>195</v>
      </c>
      <c r="B97">
        <v>30</v>
      </c>
      <c r="C97">
        <v>90</v>
      </c>
      <c r="D97">
        <v>0.95689999999999997</v>
      </c>
      <c r="E97">
        <v>0.58030000000000004</v>
      </c>
      <c r="F97">
        <v>0.45689999999999997</v>
      </c>
      <c r="G97">
        <v>0.41220000000000001</v>
      </c>
      <c r="H97">
        <v>0.34620000000000001</v>
      </c>
      <c r="I97">
        <v>0.31380000000000002</v>
      </c>
    </row>
    <row r="98" spans="1:9" x14ac:dyDescent="0.35">
      <c r="A98" t="s">
        <v>196</v>
      </c>
      <c r="B98">
        <v>30</v>
      </c>
      <c r="C98">
        <v>90</v>
      </c>
      <c r="D98">
        <v>0.99919999999999998</v>
      </c>
      <c r="E98">
        <v>0.65529999999999999</v>
      </c>
      <c r="F98">
        <v>0.57869999999999999</v>
      </c>
      <c r="G98">
        <v>0.51739999999999997</v>
      </c>
      <c r="H98">
        <v>0.48159999999999997</v>
      </c>
      <c r="I98">
        <v>0.46989999999999998</v>
      </c>
    </row>
    <row r="99" spans="1:9" x14ac:dyDescent="0.35">
      <c r="A99" t="s">
        <v>197</v>
      </c>
      <c r="B99">
        <v>30</v>
      </c>
      <c r="C99">
        <v>90</v>
      </c>
      <c r="D99">
        <v>1.3725000000000001</v>
      </c>
      <c r="E99">
        <v>1.1187</v>
      </c>
      <c r="F99">
        <v>1.0042</v>
      </c>
      <c r="G99">
        <v>0.83709999999999996</v>
      </c>
      <c r="H99">
        <v>0.5353</v>
      </c>
      <c r="I99">
        <v>0.52359999999999995</v>
      </c>
    </row>
    <row r="100" spans="1:9" x14ac:dyDescent="0.35">
      <c r="A100" t="s">
        <v>198</v>
      </c>
      <c r="B100">
        <v>30</v>
      </c>
      <c r="C100">
        <v>90</v>
      </c>
      <c r="D100">
        <v>1.5416000000000001</v>
      </c>
      <c r="E100">
        <v>0.91559999999999997</v>
      </c>
      <c r="F100">
        <v>0.71140000000000003</v>
      </c>
      <c r="G100">
        <v>0.6371</v>
      </c>
      <c r="H100">
        <v>0.52749999999999997</v>
      </c>
      <c r="I100">
        <v>0.47349999999999998</v>
      </c>
    </row>
    <row r="101" spans="1:9" x14ac:dyDescent="0.35">
      <c r="A101" t="s">
        <v>199</v>
      </c>
      <c r="B101">
        <v>30</v>
      </c>
      <c r="C101">
        <v>90</v>
      </c>
      <c r="D101">
        <v>1.4360999999999999</v>
      </c>
      <c r="E101">
        <v>0.97319999999999995</v>
      </c>
      <c r="F101">
        <v>0.76549999999999996</v>
      </c>
      <c r="G101">
        <v>0.62809999999999999</v>
      </c>
      <c r="H101">
        <v>0.52880000000000005</v>
      </c>
      <c r="I101">
        <v>0.51639999999999997</v>
      </c>
    </row>
    <row r="102" spans="1:9" x14ac:dyDescent="0.35">
      <c r="A102" t="s">
        <v>200</v>
      </c>
      <c r="B102">
        <v>30</v>
      </c>
      <c r="C102">
        <v>90</v>
      </c>
      <c r="D102">
        <v>1.381</v>
      </c>
      <c r="E102">
        <v>1.099</v>
      </c>
      <c r="F102">
        <v>0.86260000000000003</v>
      </c>
      <c r="G102">
        <v>0.79120000000000001</v>
      </c>
      <c r="H102">
        <v>0.72729999999999995</v>
      </c>
      <c r="I102">
        <v>0.71509999999999996</v>
      </c>
    </row>
    <row r="103" spans="1:9" x14ac:dyDescent="0.35">
      <c r="A103" t="s">
        <v>201</v>
      </c>
      <c r="B103">
        <v>30</v>
      </c>
      <c r="C103">
        <v>90</v>
      </c>
      <c r="D103">
        <v>2.9609999999999999</v>
      </c>
      <c r="E103">
        <v>2.6634000000000002</v>
      </c>
      <c r="F103">
        <v>2.5792000000000002</v>
      </c>
      <c r="G103">
        <v>2.5318999999999998</v>
      </c>
      <c r="H103">
        <v>2.5028999999999999</v>
      </c>
      <c r="I103">
        <v>2.4895999999999998</v>
      </c>
    </row>
    <row r="104" spans="1:9" x14ac:dyDescent="0.35">
      <c r="A104" t="s">
        <v>202</v>
      </c>
      <c r="B104">
        <v>30</v>
      </c>
      <c r="C104">
        <v>90</v>
      </c>
      <c r="D104">
        <v>1.5228999999999999</v>
      </c>
      <c r="E104">
        <v>1.2821</v>
      </c>
      <c r="F104">
        <v>0.96079999999999999</v>
      </c>
      <c r="G104">
        <v>0.75739999999999996</v>
      </c>
      <c r="H104">
        <v>0.73119999999999996</v>
      </c>
      <c r="I104">
        <v>0.71899999999999997</v>
      </c>
    </row>
    <row r="105" spans="1:9" x14ac:dyDescent="0.35">
      <c r="A105" t="s">
        <v>203</v>
      </c>
      <c r="B105">
        <v>30</v>
      </c>
      <c r="C105">
        <v>90</v>
      </c>
      <c r="D105">
        <v>2.2761</v>
      </c>
      <c r="E105">
        <v>1.9810000000000001</v>
      </c>
      <c r="F105">
        <v>1.8101</v>
      </c>
      <c r="G105">
        <v>1.7344999999999999</v>
      </c>
      <c r="H105">
        <v>1.6465000000000001</v>
      </c>
      <c r="I105">
        <v>1.6343000000000001</v>
      </c>
    </row>
    <row r="106" spans="1:9" x14ac:dyDescent="0.35">
      <c r="A106" t="s">
        <v>204</v>
      </c>
      <c r="B106">
        <v>30</v>
      </c>
      <c r="C106">
        <v>90</v>
      </c>
      <c r="D106">
        <v>2.2774000000000001</v>
      </c>
      <c r="E106">
        <v>1.7675000000000001</v>
      </c>
      <c r="F106">
        <v>1.181</v>
      </c>
      <c r="G106">
        <v>0.99870000000000003</v>
      </c>
      <c r="H106">
        <v>0.92749999999999999</v>
      </c>
      <c r="I106">
        <v>0.9153</v>
      </c>
    </row>
    <row r="107" spans="1:9" x14ac:dyDescent="0.35">
      <c r="A107" t="s">
        <v>205</v>
      </c>
      <c r="B107">
        <v>30</v>
      </c>
      <c r="C107">
        <v>90</v>
      </c>
      <c r="D107">
        <v>1.1694</v>
      </c>
      <c r="E107">
        <v>0.70289999999999997</v>
      </c>
      <c r="F107">
        <v>0.55059999999999998</v>
      </c>
      <c r="G107">
        <v>0.49530000000000002</v>
      </c>
      <c r="H107">
        <v>0.4138</v>
      </c>
      <c r="I107">
        <v>0.37319999999999998</v>
      </c>
    </row>
    <row r="108" spans="1:9" x14ac:dyDescent="0.35">
      <c r="A108" t="s">
        <v>206</v>
      </c>
      <c r="B108">
        <v>30</v>
      </c>
      <c r="C108">
        <v>90</v>
      </c>
      <c r="D108">
        <v>1.1644000000000001</v>
      </c>
      <c r="E108">
        <v>0.93710000000000004</v>
      </c>
      <c r="F108">
        <v>0.87380000000000002</v>
      </c>
      <c r="G108">
        <v>0.84909999999999997</v>
      </c>
      <c r="H108">
        <v>0.81820000000000004</v>
      </c>
      <c r="I108">
        <v>0.8075</v>
      </c>
    </row>
    <row r="109" spans="1:9" x14ac:dyDescent="0.35">
      <c r="A109" t="s">
        <v>207</v>
      </c>
      <c r="B109">
        <v>30</v>
      </c>
      <c r="C109">
        <v>90</v>
      </c>
      <c r="D109">
        <v>1.4577</v>
      </c>
      <c r="E109">
        <v>1.0290999999999999</v>
      </c>
      <c r="F109">
        <v>0.91249999999999998</v>
      </c>
      <c r="G109">
        <v>0.84050000000000002</v>
      </c>
      <c r="H109">
        <v>0.80600000000000005</v>
      </c>
      <c r="I109">
        <v>0.79090000000000005</v>
      </c>
    </row>
    <row r="110" spans="1:9" x14ac:dyDescent="0.35">
      <c r="A110" t="s">
        <v>208</v>
      </c>
      <c r="B110">
        <v>30</v>
      </c>
      <c r="C110">
        <v>90</v>
      </c>
      <c r="D110">
        <v>1.3817999999999999</v>
      </c>
      <c r="E110">
        <v>1.1475</v>
      </c>
      <c r="F110">
        <v>0.88390000000000002</v>
      </c>
      <c r="G110">
        <v>0.75739999999999996</v>
      </c>
      <c r="H110">
        <v>0.73119999999999996</v>
      </c>
      <c r="I110">
        <v>0.71899999999999997</v>
      </c>
    </row>
    <row r="111" spans="1:9" x14ac:dyDescent="0.35">
      <c r="A111" t="s">
        <v>209</v>
      </c>
      <c r="B111">
        <v>30</v>
      </c>
      <c r="C111">
        <v>90</v>
      </c>
      <c r="D111">
        <v>1.3545</v>
      </c>
      <c r="E111">
        <v>1.0129999999999999</v>
      </c>
      <c r="F111">
        <v>0.90129999999999999</v>
      </c>
      <c r="G111">
        <v>0.86080000000000001</v>
      </c>
      <c r="H111">
        <v>0.80079999999999996</v>
      </c>
      <c r="I111">
        <v>0.77139999999999997</v>
      </c>
    </row>
    <row r="112" spans="1:9" x14ac:dyDescent="0.35">
      <c r="A112" t="s">
        <v>210</v>
      </c>
      <c r="B112">
        <v>30</v>
      </c>
      <c r="C112">
        <v>90</v>
      </c>
      <c r="D112">
        <v>2.2639</v>
      </c>
      <c r="E112">
        <v>1.8722000000000001</v>
      </c>
      <c r="F112">
        <v>1.8018000000000001</v>
      </c>
      <c r="G112">
        <v>1.6906000000000001</v>
      </c>
      <c r="H112">
        <v>1.6638999999999999</v>
      </c>
      <c r="I112">
        <v>1.6514</v>
      </c>
    </row>
    <row r="113" spans="1:9" x14ac:dyDescent="0.35">
      <c r="A113" t="s">
        <v>211</v>
      </c>
      <c r="B113">
        <v>30</v>
      </c>
      <c r="C113">
        <v>90</v>
      </c>
      <c r="D113">
        <v>1.6700999999999999</v>
      </c>
      <c r="E113">
        <v>1.4083000000000001</v>
      </c>
      <c r="F113">
        <v>1.2397</v>
      </c>
      <c r="G113">
        <v>1.153</v>
      </c>
      <c r="H113">
        <v>1.0430999999999999</v>
      </c>
      <c r="I113">
        <v>1.0325</v>
      </c>
    </row>
    <row r="114" spans="1:9" x14ac:dyDescent="0.35">
      <c r="A114" t="s">
        <v>212</v>
      </c>
      <c r="B114">
        <v>30</v>
      </c>
      <c r="C114">
        <v>90</v>
      </c>
      <c r="D114">
        <v>1.6888000000000001</v>
      </c>
      <c r="E114">
        <v>1.3621000000000001</v>
      </c>
      <c r="F114">
        <v>1.2609999999999999</v>
      </c>
      <c r="G114">
        <v>1.214</v>
      </c>
      <c r="H114">
        <v>1.1778999999999999</v>
      </c>
      <c r="I114">
        <v>1.1657</v>
      </c>
    </row>
    <row r="115" spans="1:9" x14ac:dyDescent="0.35">
      <c r="A115" t="s">
        <v>213</v>
      </c>
      <c r="B115">
        <v>30</v>
      </c>
      <c r="C115">
        <v>90</v>
      </c>
      <c r="D115">
        <v>1.6355999999999999</v>
      </c>
      <c r="E115">
        <v>1.1657</v>
      </c>
      <c r="F115">
        <v>0.93640000000000001</v>
      </c>
      <c r="G115">
        <v>0.80100000000000005</v>
      </c>
      <c r="H115">
        <v>0.71819999999999995</v>
      </c>
      <c r="I115">
        <v>0.70569999999999999</v>
      </c>
    </row>
    <row r="116" spans="1:9" x14ac:dyDescent="0.35">
      <c r="A116" t="s">
        <v>214</v>
      </c>
      <c r="B116">
        <v>30</v>
      </c>
      <c r="C116">
        <v>90</v>
      </c>
      <c r="D116">
        <v>1.6560999999999999</v>
      </c>
      <c r="E116">
        <v>1.3047</v>
      </c>
      <c r="F116">
        <v>1.1896</v>
      </c>
      <c r="G116">
        <v>1.1480999999999999</v>
      </c>
      <c r="H116">
        <v>1.0865</v>
      </c>
      <c r="I116">
        <v>1.0561</v>
      </c>
    </row>
    <row r="117" spans="1:9" x14ac:dyDescent="0.35">
      <c r="A117" t="s">
        <v>215</v>
      </c>
      <c r="B117">
        <v>30</v>
      </c>
      <c r="C117">
        <v>90</v>
      </c>
      <c r="D117">
        <v>3.3065000000000002</v>
      </c>
      <c r="E117">
        <v>2.9916999999999998</v>
      </c>
      <c r="F117">
        <v>2.9034</v>
      </c>
      <c r="G117">
        <v>2.8527</v>
      </c>
      <c r="H117">
        <v>2.8231000000000002</v>
      </c>
      <c r="I117">
        <v>2.8096000000000001</v>
      </c>
    </row>
    <row r="118" spans="1:9" x14ac:dyDescent="0.35">
      <c r="A118" t="s">
        <v>216</v>
      </c>
      <c r="B118">
        <v>30</v>
      </c>
      <c r="C118">
        <v>90</v>
      </c>
      <c r="D118">
        <v>2.3835999999999999</v>
      </c>
      <c r="E118">
        <v>1.8623000000000001</v>
      </c>
      <c r="F118">
        <v>1.7031000000000001</v>
      </c>
      <c r="G118">
        <v>1.6475</v>
      </c>
      <c r="H118">
        <v>1.621</v>
      </c>
      <c r="I118">
        <v>1.6088</v>
      </c>
    </row>
    <row r="119" spans="1:9" x14ac:dyDescent="0.35">
      <c r="A119" t="s">
        <v>217</v>
      </c>
      <c r="B119">
        <v>30</v>
      </c>
      <c r="C119">
        <v>90</v>
      </c>
      <c r="D119">
        <v>2.9003000000000001</v>
      </c>
      <c r="E119">
        <v>2.2054999999999998</v>
      </c>
      <c r="F119">
        <v>2.0951</v>
      </c>
      <c r="G119">
        <v>2.0447000000000002</v>
      </c>
      <c r="H119">
        <v>2.0091000000000001</v>
      </c>
      <c r="I119">
        <v>1.9968999999999999</v>
      </c>
    </row>
    <row r="120" spans="1:9" x14ac:dyDescent="0.35">
      <c r="A120" t="s">
        <v>218</v>
      </c>
      <c r="B120">
        <v>30</v>
      </c>
      <c r="C120">
        <v>90</v>
      </c>
      <c r="D120">
        <v>2.8054999999999999</v>
      </c>
      <c r="E120">
        <v>2.1179000000000001</v>
      </c>
      <c r="F120">
        <v>1.7332000000000001</v>
      </c>
      <c r="G120">
        <v>1.6948000000000001</v>
      </c>
      <c r="H120">
        <v>1.6682999999999999</v>
      </c>
      <c r="I120">
        <v>1.6560999999999999</v>
      </c>
    </row>
    <row r="121" spans="1:9" x14ac:dyDescent="0.35">
      <c r="A121" t="s">
        <v>219</v>
      </c>
      <c r="B121">
        <v>30</v>
      </c>
      <c r="C121">
        <v>90</v>
      </c>
      <c r="D121">
        <v>2.5426000000000002</v>
      </c>
      <c r="E121">
        <v>1.6873</v>
      </c>
      <c r="F121">
        <v>1.5439000000000001</v>
      </c>
      <c r="G121">
        <v>1.5239</v>
      </c>
      <c r="H121">
        <v>1.4075</v>
      </c>
      <c r="I121">
        <v>1.3969</v>
      </c>
    </row>
    <row r="122" spans="1:9" x14ac:dyDescent="0.35">
      <c r="A122" t="s">
        <v>220</v>
      </c>
      <c r="B122">
        <v>30</v>
      </c>
      <c r="C122">
        <v>90</v>
      </c>
      <c r="D122">
        <v>0.87350000000000005</v>
      </c>
      <c r="E122">
        <v>0.49919999999999998</v>
      </c>
      <c r="F122">
        <v>0.37690000000000001</v>
      </c>
      <c r="G122">
        <v>0.3327</v>
      </c>
      <c r="H122">
        <v>0.26700000000000002</v>
      </c>
      <c r="I122">
        <v>0.23480000000000001</v>
      </c>
    </row>
    <row r="123" spans="1:9" x14ac:dyDescent="0.35">
      <c r="A123" t="s">
        <v>221</v>
      </c>
      <c r="B123">
        <v>30</v>
      </c>
      <c r="C123">
        <v>90</v>
      </c>
      <c r="D123">
        <v>1.0501</v>
      </c>
      <c r="E123">
        <v>0.71789999999999998</v>
      </c>
      <c r="F123">
        <v>0.63380000000000003</v>
      </c>
      <c r="G123">
        <v>0.56440000000000001</v>
      </c>
      <c r="H123">
        <v>0.50080000000000002</v>
      </c>
      <c r="I123">
        <v>0.48909999999999998</v>
      </c>
    </row>
    <row r="124" spans="1:9" x14ac:dyDescent="0.35">
      <c r="A124" t="s">
        <v>222</v>
      </c>
      <c r="B124">
        <v>30</v>
      </c>
      <c r="C124">
        <v>90</v>
      </c>
      <c r="D124">
        <v>2.2538</v>
      </c>
      <c r="E124">
        <v>1.4965999999999999</v>
      </c>
      <c r="F124">
        <v>1.1665000000000001</v>
      </c>
      <c r="G124">
        <v>1.0660000000000001</v>
      </c>
      <c r="H124">
        <v>0.9738</v>
      </c>
      <c r="I124">
        <v>0.96160000000000001</v>
      </c>
    </row>
    <row r="125" spans="1:9" x14ac:dyDescent="0.35">
      <c r="A125" t="s">
        <v>223</v>
      </c>
      <c r="B125">
        <v>30</v>
      </c>
      <c r="C125">
        <v>90</v>
      </c>
      <c r="D125">
        <v>1.0994999999999999</v>
      </c>
      <c r="E125">
        <v>0.72519999999999996</v>
      </c>
      <c r="F125">
        <v>0.60289999999999999</v>
      </c>
      <c r="G125">
        <v>0.55869999999999997</v>
      </c>
      <c r="H125">
        <v>0.49299999999999999</v>
      </c>
      <c r="I125">
        <v>0.46079999999999999</v>
      </c>
    </row>
    <row r="126" spans="1:9" x14ac:dyDescent="0.35">
      <c r="A126" t="s">
        <v>224</v>
      </c>
      <c r="B126">
        <v>30</v>
      </c>
      <c r="C126">
        <v>90</v>
      </c>
      <c r="D126">
        <v>2.9538000000000002</v>
      </c>
      <c r="E126">
        <v>2.5251999999999999</v>
      </c>
      <c r="F126">
        <v>2.4085999999999999</v>
      </c>
      <c r="G126">
        <v>2.3365999999999998</v>
      </c>
      <c r="H126">
        <v>2.3020999999999998</v>
      </c>
      <c r="I126">
        <v>2.2869999999999999</v>
      </c>
    </row>
    <row r="127" spans="1:9" x14ac:dyDescent="0.35">
      <c r="A127" t="s">
        <v>225</v>
      </c>
      <c r="B127">
        <v>30</v>
      </c>
      <c r="C127">
        <v>90</v>
      </c>
      <c r="D127">
        <v>1.36</v>
      </c>
      <c r="E127">
        <v>0.92469999999999997</v>
      </c>
      <c r="F127">
        <v>0.78259999999999996</v>
      </c>
      <c r="G127">
        <v>0.73089999999999999</v>
      </c>
      <c r="H127">
        <v>0.65449999999999997</v>
      </c>
      <c r="I127">
        <v>0.61709999999999998</v>
      </c>
    </row>
    <row r="128" spans="1:9" x14ac:dyDescent="0.35">
      <c r="A128" t="s">
        <v>226</v>
      </c>
      <c r="B128">
        <v>30</v>
      </c>
      <c r="C128">
        <v>90</v>
      </c>
      <c r="D128">
        <v>2.7246999999999999</v>
      </c>
      <c r="E128">
        <v>2.2667999999999999</v>
      </c>
      <c r="F128">
        <v>1.7138</v>
      </c>
      <c r="G128">
        <v>1.5584</v>
      </c>
      <c r="H128">
        <v>1.4517</v>
      </c>
      <c r="I128">
        <v>1.4395</v>
      </c>
    </row>
    <row r="129" spans="1:9" x14ac:dyDescent="0.35">
      <c r="A129" t="s">
        <v>227</v>
      </c>
      <c r="B129">
        <v>30</v>
      </c>
      <c r="C129">
        <v>90</v>
      </c>
      <c r="D129">
        <v>2.8803000000000001</v>
      </c>
      <c r="E129">
        <v>2.5823</v>
      </c>
      <c r="F129">
        <v>2.4982000000000002</v>
      </c>
      <c r="G129">
        <v>2.4508999999999999</v>
      </c>
      <c r="H129">
        <v>2.4218000000000002</v>
      </c>
      <c r="I129">
        <v>2.4087999999999998</v>
      </c>
    </row>
    <row r="130" spans="1:9" x14ac:dyDescent="0.35">
      <c r="A130" t="s">
        <v>228</v>
      </c>
      <c r="B130">
        <v>30</v>
      </c>
      <c r="C130">
        <v>90</v>
      </c>
      <c r="D130">
        <v>1.2351000000000001</v>
      </c>
      <c r="E130">
        <v>0.9748</v>
      </c>
      <c r="F130">
        <v>0.82830000000000004</v>
      </c>
      <c r="G130">
        <v>0.64829999999999999</v>
      </c>
      <c r="H130">
        <v>0.62129999999999996</v>
      </c>
      <c r="I130">
        <v>0.6099</v>
      </c>
    </row>
    <row r="131" spans="1:9" x14ac:dyDescent="0.35">
      <c r="A131" t="s">
        <v>229</v>
      </c>
      <c r="B131">
        <v>30</v>
      </c>
      <c r="C131">
        <v>90</v>
      </c>
      <c r="D131">
        <v>1.0769</v>
      </c>
      <c r="E131">
        <v>0.72550000000000003</v>
      </c>
      <c r="F131">
        <v>0.61040000000000005</v>
      </c>
      <c r="G131">
        <v>0.56879999999999997</v>
      </c>
      <c r="H131">
        <v>0.50729999999999997</v>
      </c>
      <c r="I131">
        <v>0.47689999999999999</v>
      </c>
    </row>
    <row r="132" spans="1:9" x14ac:dyDescent="0.35">
      <c r="A132" t="s">
        <v>230</v>
      </c>
      <c r="B132">
        <v>30</v>
      </c>
      <c r="C132">
        <v>90</v>
      </c>
      <c r="D132">
        <v>1.4577</v>
      </c>
      <c r="E132">
        <v>1.0290999999999999</v>
      </c>
      <c r="F132">
        <v>0.91249999999999998</v>
      </c>
      <c r="G132">
        <v>0.84050000000000002</v>
      </c>
      <c r="H132">
        <v>0.80600000000000005</v>
      </c>
      <c r="I132">
        <v>0.79090000000000005</v>
      </c>
    </row>
    <row r="133" spans="1:9" x14ac:dyDescent="0.35">
      <c r="A133" t="s">
        <v>231</v>
      </c>
      <c r="B133">
        <v>30</v>
      </c>
      <c r="C133">
        <v>90</v>
      </c>
      <c r="D133">
        <v>2.7252000000000001</v>
      </c>
      <c r="E133">
        <v>2.3012999999999999</v>
      </c>
      <c r="F133">
        <v>2.1855000000000002</v>
      </c>
      <c r="G133">
        <v>2.1145</v>
      </c>
      <c r="H133">
        <v>2.0802999999999998</v>
      </c>
      <c r="I133">
        <v>2.0651999999999999</v>
      </c>
    </row>
    <row r="134" spans="1:9" x14ac:dyDescent="0.35">
      <c r="A134" t="s">
        <v>232</v>
      </c>
      <c r="B134">
        <v>30</v>
      </c>
      <c r="C134">
        <v>90</v>
      </c>
      <c r="D134">
        <v>1.3925000000000001</v>
      </c>
      <c r="E134">
        <v>1.0257000000000001</v>
      </c>
      <c r="F134">
        <v>0.8327</v>
      </c>
      <c r="G134">
        <v>0.74680000000000002</v>
      </c>
      <c r="H134">
        <v>0.7208</v>
      </c>
      <c r="I134">
        <v>0.70860000000000001</v>
      </c>
    </row>
    <row r="135" spans="1:9" x14ac:dyDescent="0.35">
      <c r="A135" t="s">
        <v>233</v>
      </c>
      <c r="B135">
        <v>30</v>
      </c>
      <c r="C135">
        <v>90</v>
      </c>
      <c r="D135">
        <v>1.1581999999999999</v>
      </c>
      <c r="E135">
        <v>0.90700000000000003</v>
      </c>
      <c r="F135">
        <v>0.80549999999999999</v>
      </c>
      <c r="G135">
        <v>0.76</v>
      </c>
      <c r="H135">
        <v>0.72960000000000003</v>
      </c>
      <c r="I135">
        <v>0.71740000000000004</v>
      </c>
    </row>
    <row r="136" spans="1:9" x14ac:dyDescent="0.35">
      <c r="A136" t="s">
        <v>234</v>
      </c>
      <c r="B136">
        <v>30</v>
      </c>
      <c r="C136">
        <v>90</v>
      </c>
      <c r="D136">
        <v>1.3065</v>
      </c>
      <c r="E136">
        <v>0.72989999999999999</v>
      </c>
      <c r="F136">
        <v>0.54159999999999997</v>
      </c>
      <c r="G136">
        <v>0.47320000000000001</v>
      </c>
      <c r="H136">
        <v>0.37219999999999998</v>
      </c>
      <c r="I136">
        <v>0.32229999999999998</v>
      </c>
    </row>
    <row r="137" spans="1:9" x14ac:dyDescent="0.35">
      <c r="A137" t="s">
        <v>235</v>
      </c>
      <c r="B137">
        <v>30</v>
      </c>
      <c r="C137">
        <v>90</v>
      </c>
      <c r="D137">
        <v>3.4491000000000001</v>
      </c>
      <c r="E137">
        <v>2.6469999999999998</v>
      </c>
      <c r="F137">
        <v>2.2681</v>
      </c>
      <c r="G137">
        <v>1.8179000000000001</v>
      </c>
      <c r="H137">
        <v>1.7805</v>
      </c>
      <c r="I137">
        <v>1.7683</v>
      </c>
    </row>
    <row r="138" spans="1:9" x14ac:dyDescent="0.35">
      <c r="A138" t="s">
        <v>236</v>
      </c>
      <c r="B138">
        <v>30</v>
      </c>
      <c r="C138">
        <v>90</v>
      </c>
      <c r="D138">
        <v>3.5482999999999998</v>
      </c>
      <c r="E138">
        <v>2.6255000000000002</v>
      </c>
      <c r="F138">
        <v>2.0327000000000002</v>
      </c>
      <c r="G138">
        <v>1.3452</v>
      </c>
      <c r="H138">
        <v>1.2964</v>
      </c>
      <c r="I138">
        <v>1.2842</v>
      </c>
    </row>
    <row r="139" spans="1:9" x14ac:dyDescent="0.35">
      <c r="A139" t="s">
        <v>237</v>
      </c>
      <c r="B139">
        <v>20</v>
      </c>
      <c r="C139">
        <v>75</v>
      </c>
      <c r="D139">
        <v>1.4426000000000001</v>
      </c>
      <c r="E139">
        <v>1.1778999999999999</v>
      </c>
      <c r="F139">
        <v>1.0909</v>
      </c>
      <c r="G139">
        <v>1.0577000000000001</v>
      </c>
      <c r="H139">
        <v>1.0117</v>
      </c>
      <c r="I139">
        <v>0.98909999999999998</v>
      </c>
    </row>
    <row r="140" spans="1:9" x14ac:dyDescent="0.35">
      <c r="A140" t="s">
        <v>238</v>
      </c>
      <c r="B140">
        <v>30</v>
      </c>
      <c r="C140">
        <v>90</v>
      </c>
      <c r="D140">
        <v>1.1256999999999999</v>
      </c>
      <c r="E140">
        <v>0.74909999999999999</v>
      </c>
      <c r="F140">
        <v>0.62570000000000003</v>
      </c>
      <c r="G140">
        <v>0.58099999999999996</v>
      </c>
      <c r="H140">
        <v>0.5151</v>
      </c>
      <c r="I140">
        <v>0.48259999999999997</v>
      </c>
    </row>
    <row r="141" spans="1:9" x14ac:dyDescent="0.35">
      <c r="A141" t="s">
        <v>239</v>
      </c>
      <c r="B141">
        <v>30</v>
      </c>
      <c r="C141">
        <v>90</v>
      </c>
      <c r="D141">
        <v>5.3444000000000003</v>
      </c>
      <c r="E141">
        <v>2.0945</v>
      </c>
      <c r="F141">
        <v>1.3859999999999999</v>
      </c>
      <c r="G141">
        <v>1.2770999999999999</v>
      </c>
      <c r="H141">
        <v>1.2553000000000001</v>
      </c>
      <c r="I141">
        <v>1.2446999999999999</v>
      </c>
    </row>
    <row r="142" spans="1:9" x14ac:dyDescent="0.35">
      <c r="A142" t="s">
        <v>240</v>
      </c>
      <c r="B142">
        <v>30</v>
      </c>
      <c r="C142">
        <v>90</v>
      </c>
      <c r="D142">
        <v>1.4951000000000001</v>
      </c>
      <c r="E142">
        <v>1.1327</v>
      </c>
      <c r="F142">
        <v>0.91710000000000003</v>
      </c>
      <c r="G142">
        <v>0.76880000000000004</v>
      </c>
      <c r="H142">
        <v>0.72050000000000003</v>
      </c>
      <c r="I142">
        <v>0.70809999999999995</v>
      </c>
    </row>
    <row r="143" spans="1:9" x14ac:dyDescent="0.35">
      <c r="A143" t="s">
        <v>241</v>
      </c>
      <c r="B143">
        <v>30</v>
      </c>
      <c r="C143">
        <v>90</v>
      </c>
      <c r="D143">
        <v>2.4716999999999998</v>
      </c>
      <c r="E143">
        <v>1.5397000000000001</v>
      </c>
      <c r="F143">
        <v>1.2756000000000001</v>
      </c>
      <c r="G143">
        <v>1.1312</v>
      </c>
      <c r="H143">
        <v>1.0612999999999999</v>
      </c>
      <c r="I143">
        <v>1.0490999999999999</v>
      </c>
    </row>
    <row r="144" spans="1:9" x14ac:dyDescent="0.35">
      <c r="A144" t="s">
        <v>242</v>
      </c>
      <c r="B144">
        <v>30</v>
      </c>
      <c r="C144">
        <v>90</v>
      </c>
      <c r="D144">
        <v>1.7101</v>
      </c>
      <c r="E144">
        <v>1.3334999999999999</v>
      </c>
      <c r="F144">
        <v>1.2101</v>
      </c>
      <c r="G144">
        <v>1.1655</v>
      </c>
      <c r="H144">
        <v>1.0994999999999999</v>
      </c>
      <c r="I144">
        <v>1.0669999999999999</v>
      </c>
    </row>
    <row r="145" spans="1:9" x14ac:dyDescent="0.35">
      <c r="A145" t="s">
        <v>243</v>
      </c>
      <c r="B145">
        <v>30</v>
      </c>
      <c r="C145">
        <v>90</v>
      </c>
      <c r="D145">
        <v>2.2761</v>
      </c>
      <c r="E145">
        <v>1.9810000000000001</v>
      </c>
      <c r="F145">
        <v>1.8101</v>
      </c>
      <c r="G145">
        <v>1.7344999999999999</v>
      </c>
      <c r="H145">
        <v>1.6465000000000001</v>
      </c>
      <c r="I145">
        <v>1.6343000000000001</v>
      </c>
    </row>
    <row r="146" spans="1:9" x14ac:dyDescent="0.35">
      <c r="A146" t="s">
        <v>244</v>
      </c>
      <c r="B146">
        <v>30</v>
      </c>
      <c r="C146">
        <v>90</v>
      </c>
      <c r="D146">
        <v>1.8925000000000001</v>
      </c>
      <c r="E146">
        <v>1.5003</v>
      </c>
      <c r="F146">
        <v>1.3433999999999999</v>
      </c>
      <c r="G146">
        <v>1.2267999999999999</v>
      </c>
      <c r="H146">
        <v>1.1408</v>
      </c>
      <c r="I146">
        <v>1.1291</v>
      </c>
    </row>
    <row r="147" spans="1:9" x14ac:dyDescent="0.35">
      <c r="A147" t="s">
        <v>245</v>
      </c>
      <c r="B147">
        <v>30</v>
      </c>
      <c r="C147">
        <v>90</v>
      </c>
      <c r="D147">
        <v>1.9335</v>
      </c>
      <c r="E147">
        <v>1.5569</v>
      </c>
      <c r="F147">
        <v>1.4335</v>
      </c>
      <c r="G147">
        <v>1.3888</v>
      </c>
      <c r="H147">
        <v>1.3229</v>
      </c>
      <c r="I147">
        <v>1.2904</v>
      </c>
    </row>
    <row r="148" spans="1:9" x14ac:dyDescent="0.35">
      <c r="A148" t="s">
        <v>246</v>
      </c>
      <c r="B148">
        <v>20</v>
      </c>
      <c r="C148">
        <v>75</v>
      </c>
      <c r="D148">
        <v>1.0994999999999999</v>
      </c>
      <c r="E148">
        <v>0.72519999999999996</v>
      </c>
      <c r="F148">
        <v>0.60289999999999999</v>
      </c>
      <c r="G148">
        <v>0.55869999999999997</v>
      </c>
      <c r="H148">
        <v>0.49299999999999999</v>
      </c>
      <c r="I148">
        <v>0.46079999999999999</v>
      </c>
    </row>
    <row r="149" spans="1:9" x14ac:dyDescent="0.35">
      <c r="A149" t="s">
        <v>247</v>
      </c>
      <c r="B149">
        <v>30</v>
      </c>
      <c r="C149">
        <v>90</v>
      </c>
      <c r="D149">
        <v>1.1644000000000001</v>
      </c>
      <c r="E149">
        <v>0.93710000000000004</v>
      </c>
      <c r="F149">
        <v>0.87380000000000002</v>
      </c>
      <c r="G149">
        <v>0.84909999999999997</v>
      </c>
      <c r="H149">
        <v>0.81820000000000004</v>
      </c>
      <c r="I149">
        <v>0.8075</v>
      </c>
    </row>
    <row r="150" spans="1:9" x14ac:dyDescent="0.35">
      <c r="A150" t="s">
        <v>248</v>
      </c>
      <c r="B150">
        <v>30</v>
      </c>
      <c r="C150">
        <v>90</v>
      </c>
      <c r="D150">
        <v>2.5792000000000002</v>
      </c>
      <c r="E150">
        <v>1.841</v>
      </c>
      <c r="F150">
        <v>1.7568999999999999</v>
      </c>
      <c r="G150">
        <v>1.7096</v>
      </c>
      <c r="H150">
        <v>1.6805000000000001</v>
      </c>
      <c r="I150">
        <v>1.6673</v>
      </c>
    </row>
    <row r="151" spans="1:9" x14ac:dyDescent="0.35">
      <c r="A151" t="s">
        <v>249</v>
      </c>
      <c r="B151">
        <v>20</v>
      </c>
      <c r="C151">
        <v>75</v>
      </c>
      <c r="D151">
        <v>1.2989999999999999</v>
      </c>
      <c r="E151">
        <v>0.76160000000000005</v>
      </c>
      <c r="F151">
        <v>0.59219999999999995</v>
      </c>
      <c r="G151">
        <v>0.3886</v>
      </c>
      <c r="H151">
        <v>0.33379999999999999</v>
      </c>
      <c r="I151">
        <v>0.30680000000000002</v>
      </c>
    </row>
    <row r="152" spans="1:9" x14ac:dyDescent="0.35">
      <c r="A152" t="s">
        <v>59</v>
      </c>
      <c r="B152">
        <v>15</v>
      </c>
      <c r="C152">
        <v>75</v>
      </c>
      <c r="D152">
        <v>0.42880000000000001</v>
      </c>
      <c r="E152">
        <v>0.28670000000000001</v>
      </c>
      <c r="F152">
        <v>0.24149999999999999</v>
      </c>
      <c r="G152">
        <v>0.22500000000000001</v>
      </c>
      <c r="H152">
        <v>0.20019999999999999</v>
      </c>
      <c r="I152">
        <v>0.18790000000000001</v>
      </c>
    </row>
    <row r="153" spans="1:9" x14ac:dyDescent="0.35">
      <c r="A153" t="s">
        <v>250</v>
      </c>
      <c r="B153">
        <v>30</v>
      </c>
      <c r="C153">
        <v>90</v>
      </c>
      <c r="D153">
        <v>0.95169999999999999</v>
      </c>
      <c r="E153">
        <v>0.58699999999999997</v>
      </c>
      <c r="F153">
        <v>0.46779999999999999</v>
      </c>
      <c r="G153">
        <v>0.42159999999999997</v>
      </c>
      <c r="H153">
        <v>0.3584</v>
      </c>
      <c r="I153">
        <v>0.32729999999999998</v>
      </c>
    </row>
    <row r="154" spans="1:9" x14ac:dyDescent="0.35">
      <c r="A154" t="s">
        <v>251</v>
      </c>
      <c r="B154">
        <v>30</v>
      </c>
      <c r="C154">
        <v>90</v>
      </c>
      <c r="D154">
        <v>2.1751</v>
      </c>
      <c r="E154">
        <v>1.7577</v>
      </c>
      <c r="F154">
        <v>1.6535</v>
      </c>
      <c r="G154">
        <v>1.5973999999999999</v>
      </c>
      <c r="H154">
        <v>1.5709</v>
      </c>
      <c r="I154">
        <v>1.5587</v>
      </c>
    </row>
    <row r="155" spans="1:9" x14ac:dyDescent="0.35">
      <c r="A155" t="s">
        <v>252</v>
      </c>
      <c r="B155">
        <v>30</v>
      </c>
      <c r="C155">
        <v>90</v>
      </c>
      <c r="D155">
        <v>1.4825999999999999</v>
      </c>
      <c r="E155">
        <v>1.2452000000000001</v>
      </c>
      <c r="F155">
        <v>1.0527</v>
      </c>
      <c r="G155">
        <v>1.0091000000000001</v>
      </c>
      <c r="H155">
        <v>0.9738</v>
      </c>
      <c r="I155">
        <v>0.96160000000000001</v>
      </c>
    </row>
    <row r="156" spans="1:9" x14ac:dyDescent="0.35">
      <c r="A156" t="s">
        <v>253</v>
      </c>
      <c r="B156">
        <v>30</v>
      </c>
      <c r="C156">
        <v>90</v>
      </c>
      <c r="D156">
        <v>1.0587</v>
      </c>
      <c r="E156">
        <v>0.70730000000000004</v>
      </c>
      <c r="F156">
        <v>0.59219999999999995</v>
      </c>
      <c r="G156">
        <v>0.55059999999999998</v>
      </c>
      <c r="H156">
        <v>0.48909999999999998</v>
      </c>
      <c r="I156">
        <v>0.4587</v>
      </c>
    </row>
    <row r="157" spans="1:9" x14ac:dyDescent="0.35">
      <c r="A157" t="s">
        <v>254</v>
      </c>
      <c r="B157">
        <v>30</v>
      </c>
      <c r="C157">
        <v>90</v>
      </c>
      <c r="D157">
        <v>1.4825999999999999</v>
      </c>
      <c r="E157">
        <v>1.2561</v>
      </c>
      <c r="F157">
        <v>1.0992</v>
      </c>
      <c r="G157">
        <v>1.0669999999999999</v>
      </c>
      <c r="H157">
        <v>1.0412999999999999</v>
      </c>
      <c r="I157">
        <v>1.0294000000000001</v>
      </c>
    </row>
    <row r="158" spans="1:9" x14ac:dyDescent="0.35">
      <c r="A158" t="s">
        <v>255</v>
      </c>
      <c r="B158">
        <v>30</v>
      </c>
      <c r="C158">
        <v>90</v>
      </c>
      <c r="D158">
        <v>2.3247</v>
      </c>
      <c r="E158">
        <v>1.8771</v>
      </c>
      <c r="F158">
        <v>1.6595</v>
      </c>
      <c r="G158">
        <v>1.4509000000000001</v>
      </c>
      <c r="H158">
        <v>1.3104</v>
      </c>
      <c r="I158">
        <v>1.2982</v>
      </c>
    </row>
    <row r="159" spans="1:9" x14ac:dyDescent="0.35">
      <c r="A159" t="s">
        <v>256</v>
      </c>
      <c r="B159">
        <v>30</v>
      </c>
      <c r="C159">
        <v>90</v>
      </c>
      <c r="D159">
        <v>3.6831</v>
      </c>
      <c r="E159">
        <v>2.5655000000000001</v>
      </c>
      <c r="F159">
        <v>2.2376999999999998</v>
      </c>
      <c r="G159">
        <v>1.7452000000000001</v>
      </c>
      <c r="H159">
        <v>1.7103999999999999</v>
      </c>
      <c r="I159">
        <v>1.6953</v>
      </c>
    </row>
    <row r="160" spans="1:9" x14ac:dyDescent="0.35">
      <c r="A160" t="s">
        <v>257</v>
      </c>
      <c r="B160">
        <v>30</v>
      </c>
      <c r="C160">
        <v>90</v>
      </c>
      <c r="D160">
        <v>1.6140000000000001</v>
      </c>
      <c r="E160">
        <v>1.1506000000000001</v>
      </c>
      <c r="F160">
        <v>0.92469999999999997</v>
      </c>
      <c r="G160">
        <v>0.79169999999999996</v>
      </c>
      <c r="H160">
        <v>0.71009999999999995</v>
      </c>
      <c r="I160">
        <v>0.69789999999999996</v>
      </c>
    </row>
    <row r="161" spans="1:9" x14ac:dyDescent="0.35">
      <c r="A161" t="s">
        <v>258</v>
      </c>
      <c r="B161">
        <v>30</v>
      </c>
      <c r="C161">
        <v>90</v>
      </c>
      <c r="D161">
        <v>0.88680000000000003</v>
      </c>
      <c r="E161">
        <v>0.62209999999999999</v>
      </c>
      <c r="F161">
        <v>0.53510000000000002</v>
      </c>
      <c r="G161">
        <v>0.50180000000000002</v>
      </c>
      <c r="H161">
        <v>0.45579999999999998</v>
      </c>
      <c r="I161">
        <v>0.43319999999999997</v>
      </c>
    </row>
    <row r="162" spans="1:9" x14ac:dyDescent="0.35">
      <c r="A162" t="s">
        <v>259</v>
      </c>
      <c r="B162">
        <v>30</v>
      </c>
      <c r="C162">
        <v>90</v>
      </c>
      <c r="D162">
        <v>0.64049999999999996</v>
      </c>
      <c r="E162">
        <v>0.34100000000000003</v>
      </c>
      <c r="F162">
        <v>0.24340000000000001</v>
      </c>
      <c r="G162">
        <v>0.20780000000000001</v>
      </c>
      <c r="H162">
        <v>0.15559999999999999</v>
      </c>
      <c r="I162">
        <v>0.12959999999999999</v>
      </c>
    </row>
    <row r="163" spans="1:9" x14ac:dyDescent="0.35">
      <c r="A163" t="s">
        <v>260</v>
      </c>
      <c r="B163">
        <v>30</v>
      </c>
      <c r="C163">
        <v>90</v>
      </c>
      <c r="D163">
        <v>1.1727000000000001</v>
      </c>
      <c r="E163">
        <v>0.76780000000000004</v>
      </c>
      <c r="F163">
        <v>0.63560000000000005</v>
      </c>
      <c r="G163">
        <v>0.58750000000000002</v>
      </c>
      <c r="H163">
        <v>0.51659999999999995</v>
      </c>
      <c r="I163">
        <v>0.48180000000000001</v>
      </c>
    </row>
    <row r="164" spans="1:9" x14ac:dyDescent="0.35">
      <c r="A164" t="s">
        <v>261</v>
      </c>
      <c r="B164">
        <v>30</v>
      </c>
      <c r="C164">
        <v>90</v>
      </c>
      <c r="D164">
        <v>2.2191999999999998</v>
      </c>
      <c r="E164">
        <v>1.2655000000000001</v>
      </c>
      <c r="F164">
        <v>1.0706</v>
      </c>
      <c r="G164">
        <v>0.95920000000000005</v>
      </c>
      <c r="H164">
        <v>0.89219999999999999</v>
      </c>
      <c r="I164">
        <v>0.88</v>
      </c>
    </row>
    <row r="165" spans="1:9" x14ac:dyDescent="0.35">
      <c r="A165" t="s">
        <v>262</v>
      </c>
      <c r="B165">
        <v>30</v>
      </c>
      <c r="C165">
        <v>90</v>
      </c>
      <c r="D165">
        <v>1.6357999999999999</v>
      </c>
      <c r="E165">
        <v>1.2073</v>
      </c>
      <c r="F165">
        <v>0.94599999999999995</v>
      </c>
      <c r="G165">
        <v>0.79300000000000004</v>
      </c>
      <c r="H165">
        <v>0.75009999999999999</v>
      </c>
      <c r="I165">
        <v>0.7379</v>
      </c>
    </row>
    <row r="166" spans="1:9" x14ac:dyDescent="0.35">
      <c r="A166" t="s">
        <v>263</v>
      </c>
      <c r="B166">
        <v>30</v>
      </c>
      <c r="C166">
        <v>90</v>
      </c>
      <c r="D166">
        <v>2.6377000000000002</v>
      </c>
      <c r="E166">
        <v>2.1958000000000002</v>
      </c>
      <c r="F166">
        <v>2.0764</v>
      </c>
      <c r="G166">
        <v>2.0291000000000001</v>
      </c>
      <c r="H166">
        <v>1.8909</v>
      </c>
      <c r="I166">
        <v>1.8792</v>
      </c>
    </row>
    <row r="167" spans="1:9" x14ac:dyDescent="0.35">
      <c r="A167" t="s">
        <v>264</v>
      </c>
      <c r="B167">
        <v>30</v>
      </c>
      <c r="C167">
        <v>90</v>
      </c>
      <c r="D167">
        <v>2.1151</v>
      </c>
      <c r="E167">
        <v>1.7696000000000001</v>
      </c>
      <c r="F167">
        <v>1.7192000000000001</v>
      </c>
      <c r="G167">
        <v>1.6571</v>
      </c>
      <c r="H167">
        <v>1.6119000000000001</v>
      </c>
      <c r="I167">
        <v>1.6012999999999999</v>
      </c>
    </row>
    <row r="168" spans="1:9" x14ac:dyDescent="0.35">
      <c r="A168" t="s">
        <v>265</v>
      </c>
      <c r="B168">
        <v>30</v>
      </c>
      <c r="C168">
        <v>90</v>
      </c>
      <c r="D168">
        <v>1.4712000000000001</v>
      </c>
      <c r="E168">
        <v>1.1273</v>
      </c>
      <c r="F168">
        <v>0.92730000000000001</v>
      </c>
      <c r="G168">
        <v>0.81559999999999999</v>
      </c>
      <c r="H168">
        <v>0.72130000000000005</v>
      </c>
      <c r="I168">
        <v>0.70940000000000003</v>
      </c>
    </row>
    <row r="169" spans="1:9" x14ac:dyDescent="0.35">
      <c r="A169" t="s">
        <v>266</v>
      </c>
      <c r="B169">
        <v>30</v>
      </c>
      <c r="C169">
        <v>90</v>
      </c>
      <c r="D169">
        <v>0.84389999999999998</v>
      </c>
      <c r="E169">
        <v>0.61770000000000003</v>
      </c>
      <c r="F169">
        <v>0.53090000000000004</v>
      </c>
      <c r="G169">
        <v>0.48830000000000001</v>
      </c>
      <c r="H169">
        <v>0.39429999999999998</v>
      </c>
      <c r="I169">
        <v>0.3826</v>
      </c>
    </row>
    <row r="170" spans="1:9" x14ac:dyDescent="0.35">
      <c r="A170" t="s">
        <v>267</v>
      </c>
      <c r="B170">
        <v>30</v>
      </c>
      <c r="C170">
        <v>90</v>
      </c>
      <c r="D170">
        <v>1.0587</v>
      </c>
      <c r="E170">
        <v>0.70730000000000004</v>
      </c>
      <c r="F170">
        <v>0.59219999999999995</v>
      </c>
      <c r="G170">
        <v>0.55059999999999998</v>
      </c>
      <c r="H170">
        <v>0.48909999999999998</v>
      </c>
      <c r="I170">
        <v>0.4587</v>
      </c>
    </row>
    <row r="171" spans="1:9" x14ac:dyDescent="0.35">
      <c r="A171" t="s">
        <v>268</v>
      </c>
      <c r="B171">
        <v>30</v>
      </c>
      <c r="C171">
        <v>90</v>
      </c>
      <c r="D171">
        <v>1.4178999999999999</v>
      </c>
      <c r="E171">
        <v>1.1116999999999999</v>
      </c>
      <c r="F171">
        <v>0.97089999999999999</v>
      </c>
      <c r="G171">
        <v>0.88100000000000001</v>
      </c>
      <c r="H171">
        <v>0.85250000000000004</v>
      </c>
      <c r="I171">
        <v>0.84030000000000005</v>
      </c>
    </row>
    <row r="172" spans="1:9" x14ac:dyDescent="0.35">
      <c r="A172" t="s">
        <v>269</v>
      </c>
      <c r="B172">
        <v>30</v>
      </c>
      <c r="C172">
        <v>90</v>
      </c>
      <c r="D172">
        <v>1.1919</v>
      </c>
      <c r="E172">
        <v>0.79949999999999999</v>
      </c>
      <c r="F172">
        <v>0.6512</v>
      </c>
      <c r="G172">
        <v>0.53449999999999998</v>
      </c>
      <c r="H172">
        <v>0.42680000000000001</v>
      </c>
      <c r="I172">
        <v>0.41449999999999998</v>
      </c>
    </row>
    <row r="173" spans="1:9" x14ac:dyDescent="0.35">
      <c r="A173" t="s">
        <v>270</v>
      </c>
      <c r="B173">
        <v>30</v>
      </c>
      <c r="C173">
        <v>90</v>
      </c>
      <c r="D173">
        <v>1.7483</v>
      </c>
      <c r="E173">
        <v>1.2766</v>
      </c>
      <c r="F173">
        <v>1.0039</v>
      </c>
      <c r="G173">
        <v>0.86519999999999997</v>
      </c>
      <c r="H173">
        <v>0.78469999999999995</v>
      </c>
      <c r="I173">
        <v>0.7722</v>
      </c>
    </row>
    <row r="174" spans="1:9" x14ac:dyDescent="0.35">
      <c r="A174" t="s">
        <v>271</v>
      </c>
      <c r="B174">
        <v>30</v>
      </c>
      <c r="C174">
        <v>90</v>
      </c>
      <c r="D174">
        <v>1.6357999999999999</v>
      </c>
      <c r="E174">
        <v>1.2073</v>
      </c>
      <c r="F174">
        <v>0.94599999999999995</v>
      </c>
      <c r="G174">
        <v>0.79300000000000004</v>
      </c>
      <c r="H174">
        <v>0.75009999999999999</v>
      </c>
      <c r="I174">
        <v>0.7379</v>
      </c>
    </row>
    <row r="175" spans="1:9" x14ac:dyDescent="0.35">
      <c r="A175" t="s">
        <v>272</v>
      </c>
      <c r="B175">
        <v>30</v>
      </c>
      <c r="C175">
        <v>90</v>
      </c>
      <c r="D175">
        <v>2.1751</v>
      </c>
      <c r="E175">
        <v>1.7577</v>
      </c>
      <c r="F175">
        <v>1.6535</v>
      </c>
      <c r="G175">
        <v>1.5973999999999999</v>
      </c>
      <c r="H175">
        <v>1.5709</v>
      </c>
      <c r="I175">
        <v>1.5587</v>
      </c>
    </row>
    <row r="176" spans="1:9" x14ac:dyDescent="0.35">
      <c r="A176" t="s">
        <v>273</v>
      </c>
      <c r="B176">
        <v>20</v>
      </c>
      <c r="C176">
        <v>75</v>
      </c>
      <c r="D176">
        <v>0.75529999999999997</v>
      </c>
      <c r="E176">
        <v>0.45579999999999998</v>
      </c>
      <c r="F176">
        <v>0.3579</v>
      </c>
      <c r="G176">
        <v>0.32</v>
      </c>
      <c r="H176">
        <v>0.2681</v>
      </c>
      <c r="I176">
        <v>0.24260000000000001</v>
      </c>
    </row>
    <row r="177" spans="1:9" x14ac:dyDescent="0.35">
      <c r="A177" t="s">
        <v>274</v>
      </c>
      <c r="B177">
        <v>30</v>
      </c>
      <c r="C177">
        <v>90</v>
      </c>
      <c r="D177">
        <v>3.0394999999999999</v>
      </c>
      <c r="E177">
        <v>2.5415999999999999</v>
      </c>
      <c r="F177">
        <v>2.3273000000000001</v>
      </c>
      <c r="G177">
        <v>1.7911999999999999</v>
      </c>
      <c r="H177">
        <v>1.7605</v>
      </c>
      <c r="I177">
        <v>1.7467999999999999</v>
      </c>
    </row>
    <row r="178" spans="1:9" x14ac:dyDescent="0.35">
      <c r="A178" t="s">
        <v>275</v>
      </c>
      <c r="B178">
        <v>30</v>
      </c>
      <c r="C178">
        <v>90</v>
      </c>
      <c r="D178">
        <v>2.8862000000000001</v>
      </c>
      <c r="E178">
        <v>2.5356000000000001</v>
      </c>
      <c r="F178">
        <v>2.6718999999999999</v>
      </c>
      <c r="G178">
        <v>2.2090999999999998</v>
      </c>
      <c r="H178">
        <v>2.0701000000000001</v>
      </c>
      <c r="I178">
        <v>2.0577000000000001</v>
      </c>
    </row>
    <row r="179" spans="1:9" x14ac:dyDescent="0.35">
      <c r="A179" t="s">
        <v>276</v>
      </c>
      <c r="B179">
        <v>30</v>
      </c>
      <c r="C179">
        <v>90</v>
      </c>
      <c r="D179">
        <v>2.8613</v>
      </c>
      <c r="E179">
        <v>2.2725</v>
      </c>
      <c r="F179">
        <v>2.1114000000000002</v>
      </c>
      <c r="G179">
        <v>2.0672999999999999</v>
      </c>
      <c r="H179">
        <v>2.0108999999999999</v>
      </c>
      <c r="I179">
        <v>2.0003000000000002</v>
      </c>
    </row>
    <row r="180" spans="1:9" x14ac:dyDescent="0.35">
      <c r="A180" t="s">
        <v>277</v>
      </c>
      <c r="B180">
        <v>30</v>
      </c>
      <c r="C180">
        <v>90</v>
      </c>
      <c r="D180">
        <v>2.1751</v>
      </c>
      <c r="E180">
        <v>1.7577</v>
      </c>
      <c r="F180">
        <v>1.6535</v>
      </c>
      <c r="G180">
        <v>1.5973999999999999</v>
      </c>
      <c r="H180">
        <v>1.5709</v>
      </c>
      <c r="I180">
        <v>1.5587</v>
      </c>
    </row>
    <row r="181" spans="1:9" x14ac:dyDescent="0.35">
      <c r="A181" t="s">
        <v>278</v>
      </c>
      <c r="B181">
        <v>30</v>
      </c>
      <c r="C181">
        <v>90</v>
      </c>
      <c r="D181">
        <v>0.91790000000000005</v>
      </c>
      <c r="E181">
        <v>0.5413</v>
      </c>
      <c r="F181">
        <v>0.41789999999999999</v>
      </c>
      <c r="G181">
        <v>0.37319999999999998</v>
      </c>
      <c r="H181">
        <v>0.30730000000000002</v>
      </c>
      <c r="I181">
        <v>0.27479999999999999</v>
      </c>
    </row>
    <row r="182" spans="1:9" x14ac:dyDescent="0.35">
      <c r="A182" t="s">
        <v>279</v>
      </c>
      <c r="B182">
        <v>20</v>
      </c>
      <c r="C182">
        <v>75</v>
      </c>
      <c r="D182">
        <v>0.71220000000000006</v>
      </c>
      <c r="E182">
        <v>0.46960000000000002</v>
      </c>
      <c r="F182">
        <v>0.38990000000000002</v>
      </c>
      <c r="G182">
        <v>0.35949999999999999</v>
      </c>
      <c r="H182">
        <v>0.31709999999999999</v>
      </c>
      <c r="I182">
        <v>0.2964</v>
      </c>
    </row>
    <row r="183" spans="1:9" x14ac:dyDescent="0.35">
      <c r="A183" t="s">
        <v>280</v>
      </c>
      <c r="B183">
        <v>30</v>
      </c>
      <c r="C183">
        <v>90</v>
      </c>
      <c r="D183">
        <v>1.7267999999999999</v>
      </c>
      <c r="E183">
        <v>1.4238999999999999</v>
      </c>
      <c r="F183">
        <v>1.2675000000000001</v>
      </c>
      <c r="G183">
        <v>1.1855</v>
      </c>
      <c r="H183">
        <v>1.1566000000000001</v>
      </c>
      <c r="I183">
        <v>1.1434</v>
      </c>
    </row>
    <row r="184" spans="1:9" x14ac:dyDescent="0.35">
      <c r="A184" t="s">
        <v>281</v>
      </c>
      <c r="B184">
        <v>30</v>
      </c>
      <c r="C184">
        <v>90</v>
      </c>
      <c r="D184">
        <v>1.6826000000000001</v>
      </c>
      <c r="E184">
        <v>1.3379000000000001</v>
      </c>
      <c r="F184">
        <v>1.2421</v>
      </c>
      <c r="G184">
        <v>1.1859999999999999</v>
      </c>
      <c r="H184">
        <v>1.1551</v>
      </c>
      <c r="I184">
        <v>1.141</v>
      </c>
    </row>
    <row r="185" spans="1:9" x14ac:dyDescent="0.35">
      <c r="A185" t="s">
        <v>282</v>
      </c>
      <c r="B185">
        <v>30</v>
      </c>
      <c r="C185">
        <v>90</v>
      </c>
      <c r="D185">
        <v>1.6093999999999999</v>
      </c>
      <c r="E185">
        <v>1.3621000000000001</v>
      </c>
      <c r="F185">
        <v>1.2229000000000001</v>
      </c>
      <c r="G185">
        <v>1.1060000000000001</v>
      </c>
      <c r="H185">
        <v>1.0651999999999999</v>
      </c>
      <c r="I185">
        <v>1.0527</v>
      </c>
    </row>
    <row r="186" spans="1:9" x14ac:dyDescent="0.35">
      <c r="A186" t="s">
        <v>283</v>
      </c>
      <c r="B186">
        <v>20</v>
      </c>
      <c r="C186">
        <v>75</v>
      </c>
      <c r="D186">
        <v>1.9348000000000001</v>
      </c>
      <c r="E186">
        <v>1.4530000000000001</v>
      </c>
      <c r="F186">
        <v>1.2958000000000001</v>
      </c>
      <c r="G186">
        <v>1.1095999999999999</v>
      </c>
      <c r="H186">
        <v>1.0577000000000001</v>
      </c>
      <c r="I186">
        <v>1.0322</v>
      </c>
    </row>
    <row r="187" spans="1:9" x14ac:dyDescent="0.35">
      <c r="A187" t="s">
        <v>284</v>
      </c>
      <c r="B187">
        <v>15</v>
      </c>
      <c r="C187">
        <v>75</v>
      </c>
      <c r="D187">
        <v>0.91690000000000005</v>
      </c>
      <c r="E187">
        <v>0.80130000000000001</v>
      </c>
      <c r="F187">
        <v>0.76349999999999996</v>
      </c>
      <c r="G187">
        <v>0.74880000000000002</v>
      </c>
      <c r="H187">
        <v>0.72870000000000001</v>
      </c>
      <c r="I187">
        <v>0.71870000000000001</v>
      </c>
    </row>
    <row r="188" spans="1:9" x14ac:dyDescent="0.35">
      <c r="A188" t="s">
        <v>285</v>
      </c>
      <c r="B188">
        <v>30</v>
      </c>
      <c r="C188">
        <v>90</v>
      </c>
      <c r="D188">
        <v>1.6413</v>
      </c>
      <c r="E188">
        <v>1.266</v>
      </c>
      <c r="F188">
        <v>1.0294000000000001</v>
      </c>
      <c r="G188">
        <v>0.80179999999999996</v>
      </c>
      <c r="H188">
        <v>0.74439999999999995</v>
      </c>
      <c r="I188">
        <v>0.73219999999999996</v>
      </c>
    </row>
    <row r="189" spans="1:9" x14ac:dyDescent="0.35">
      <c r="A189" t="s">
        <v>286</v>
      </c>
      <c r="B189">
        <v>30</v>
      </c>
      <c r="C189">
        <v>90</v>
      </c>
      <c r="D189">
        <v>1.7204999999999999</v>
      </c>
      <c r="E189">
        <v>1.4086000000000001</v>
      </c>
      <c r="F189">
        <v>1.1944999999999999</v>
      </c>
      <c r="G189">
        <v>0.82050000000000001</v>
      </c>
      <c r="H189">
        <v>0.78859999999999997</v>
      </c>
      <c r="I189">
        <v>0.77559999999999996</v>
      </c>
    </row>
    <row r="190" spans="1:9" x14ac:dyDescent="0.35">
      <c r="A190" t="s">
        <v>287</v>
      </c>
      <c r="B190">
        <v>30</v>
      </c>
      <c r="C190">
        <v>90</v>
      </c>
      <c r="D190">
        <v>0.8478</v>
      </c>
      <c r="E190">
        <v>0.49869999999999998</v>
      </c>
      <c r="F190">
        <v>0.39300000000000002</v>
      </c>
      <c r="G190">
        <v>0.35089999999999999</v>
      </c>
      <c r="H190">
        <v>0.29120000000000001</v>
      </c>
      <c r="I190">
        <v>0.26179999999999998</v>
      </c>
    </row>
    <row r="191" spans="1:9" x14ac:dyDescent="0.35">
      <c r="A191" t="s">
        <v>288</v>
      </c>
      <c r="B191">
        <v>30</v>
      </c>
      <c r="C191">
        <v>90</v>
      </c>
      <c r="D191">
        <v>1.6413</v>
      </c>
      <c r="E191">
        <v>1.266</v>
      </c>
      <c r="F191">
        <v>1.0294000000000001</v>
      </c>
      <c r="G191">
        <v>0.80179999999999996</v>
      </c>
      <c r="H191">
        <v>0.74439999999999995</v>
      </c>
      <c r="I191">
        <v>0.73219999999999996</v>
      </c>
    </row>
    <row r="192" spans="1:9" x14ac:dyDescent="0.35">
      <c r="A192" t="s">
        <v>289</v>
      </c>
      <c r="B192">
        <v>30</v>
      </c>
      <c r="C192">
        <v>90</v>
      </c>
      <c r="D192">
        <v>1.8925000000000001</v>
      </c>
      <c r="E192">
        <v>1.5003</v>
      </c>
      <c r="F192">
        <v>1.3433999999999999</v>
      </c>
      <c r="G192">
        <v>1.2267999999999999</v>
      </c>
      <c r="H192">
        <v>1.1408</v>
      </c>
      <c r="I192">
        <v>1.1291</v>
      </c>
    </row>
    <row r="193" spans="1:9" x14ac:dyDescent="0.35">
      <c r="A193" t="s">
        <v>290</v>
      </c>
      <c r="B193">
        <v>30</v>
      </c>
      <c r="C193">
        <v>90</v>
      </c>
      <c r="D193">
        <v>2.9003000000000001</v>
      </c>
      <c r="E193">
        <v>2.2054999999999998</v>
      </c>
      <c r="F193">
        <v>2.0951</v>
      </c>
      <c r="G193">
        <v>2.0447000000000002</v>
      </c>
      <c r="H193">
        <v>2.0091000000000001</v>
      </c>
      <c r="I193">
        <v>1.9968999999999999</v>
      </c>
    </row>
    <row r="194" spans="1:9" x14ac:dyDescent="0.35">
      <c r="A194" t="s">
        <v>291</v>
      </c>
      <c r="B194">
        <v>30</v>
      </c>
      <c r="C194">
        <v>90</v>
      </c>
      <c r="D194">
        <v>1.6560999999999999</v>
      </c>
      <c r="E194">
        <v>1.3047</v>
      </c>
      <c r="F194">
        <v>1.1896</v>
      </c>
      <c r="G194">
        <v>1.1480999999999999</v>
      </c>
      <c r="H194">
        <v>1.0865</v>
      </c>
      <c r="I194">
        <v>1.0561</v>
      </c>
    </row>
    <row r="195" spans="1:9" x14ac:dyDescent="0.35">
      <c r="A195" t="s">
        <v>292</v>
      </c>
      <c r="B195">
        <v>30</v>
      </c>
      <c r="C195">
        <v>90</v>
      </c>
      <c r="D195">
        <v>2.4034</v>
      </c>
      <c r="E195">
        <v>1.6718999999999999</v>
      </c>
      <c r="F195">
        <v>1.3491</v>
      </c>
      <c r="G195">
        <v>1.0683</v>
      </c>
      <c r="H195">
        <v>1.0164</v>
      </c>
      <c r="I195">
        <v>1.0023</v>
      </c>
    </row>
    <row r="196" spans="1:9" x14ac:dyDescent="0.35">
      <c r="A196" t="s">
        <v>293</v>
      </c>
      <c r="B196">
        <v>30</v>
      </c>
      <c r="C196">
        <v>90</v>
      </c>
      <c r="D196">
        <v>1.0501</v>
      </c>
      <c r="E196">
        <v>0.71789999999999998</v>
      </c>
      <c r="F196">
        <v>0.63380000000000003</v>
      </c>
      <c r="G196">
        <v>0.56440000000000001</v>
      </c>
      <c r="H196">
        <v>0.50080000000000002</v>
      </c>
      <c r="I196">
        <v>0.48909999999999998</v>
      </c>
    </row>
    <row r="197" spans="1:9" x14ac:dyDescent="0.35">
      <c r="A197" t="s">
        <v>294</v>
      </c>
      <c r="B197">
        <v>30</v>
      </c>
      <c r="C197">
        <v>90</v>
      </c>
      <c r="D197">
        <v>1.4712000000000001</v>
      </c>
      <c r="E197">
        <v>1.1273</v>
      </c>
      <c r="F197">
        <v>0.92730000000000001</v>
      </c>
      <c r="G197">
        <v>0.81559999999999999</v>
      </c>
      <c r="H197">
        <v>0.72130000000000005</v>
      </c>
      <c r="I197">
        <v>0.70940000000000003</v>
      </c>
    </row>
    <row r="198" spans="1:9" x14ac:dyDescent="0.35">
      <c r="A198" t="s">
        <v>295</v>
      </c>
      <c r="B198">
        <v>30</v>
      </c>
      <c r="C198">
        <v>90</v>
      </c>
      <c r="D198">
        <v>1.5228999999999999</v>
      </c>
      <c r="E198">
        <v>1.2821</v>
      </c>
      <c r="F198">
        <v>0.96079999999999999</v>
      </c>
      <c r="G198">
        <v>0.75739999999999996</v>
      </c>
      <c r="H198">
        <v>0.73119999999999996</v>
      </c>
      <c r="I198">
        <v>0.71899999999999997</v>
      </c>
    </row>
    <row r="199" spans="1:9" x14ac:dyDescent="0.35">
      <c r="A199" t="s">
        <v>296</v>
      </c>
      <c r="B199">
        <v>30</v>
      </c>
      <c r="C199">
        <v>90</v>
      </c>
      <c r="D199">
        <v>2.3247</v>
      </c>
      <c r="E199">
        <v>1.8771</v>
      </c>
      <c r="F199">
        <v>1.6595</v>
      </c>
      <c r="G199">
        <v>1.4509000000000001</v>
      </c>
      <c r="H199">
        <v>1.3104</v>
      </c>
      <c r="I199">
        <v>1.2982</v>
      </c>
    </row>
    <row r="200" spans="1:9" x14ac:dyDescent="0.35">
      <c r="A200" t="s">
        <v>297</v>
      </c>
      <c r="B200">
        <v>30</v>
      </c>
      <c r="C200">
        <v>90</v>
      </c>
      <c r="D200">
        <v>1.4951000000000001</v>
      </c>
      <c r="E200">
        <v>1.1415999999999999</v>
      </c>
      <c r="F200">
        <v>0.97819999999999996</v>
      </c>
      <c r="G200">
        <v>0.78569999999999995</v>
      </c>
      <c r="H200">
        <v>0.71950000000000003</v>
      </c>
      <c r="I200">
        <v>0.70679999999999998</v>
      </c>
    </row>
    <row r="201" spans="1:9" x14ac:dyDescent="0.35">
      <c r="A201" t="s">
        <v>298</v>
      </c>
      <c r="B201">
        <v>30</v>
      </c>
      <c r="C201">
        <v>90</v>
      </c>
      <c r="D201">
        <v>2.2538</v>
      </c>
      <c r="E201">
        <v>1.4965999999999999</v>
      </c>
      <c r="F201">
        <v>1.1665000000000001</v>
      </c>
      <c r="G201">
        <v>1.0660000000000001</v>
      </c>
      <c r="H201">
        <v>0.9738</v>
      </c>
      <c r="I201">
        <v>0.96160000000000001</v>
      </c>
    </row>
    <row r="202" spans="1:9" x14ac:dyDescent="0.35">
      <c r="A202" t="s">
        <v>299</v>
      </c>
      <c r="B202">
        <v>30</v>
      </c>
      <c r="C202">
        <v>90</v>
      </c>
      <c r="D202">
        <v>1.5409999999999999</v>
      </c>
      <c r="E202">
        <v>1.2816000000000001</v>
      </c>
      <c r="F202">
        <v>1.1488</v>
      </c>
      <c r="G202">
        <v>1.0678000000000001</v>
      </c>
      <c r="H202">
        <v>1.0125</v>
      </c>
      <c r="I202">
        <v>1.0003</v>
      </c>
    </row>
    <row r="203" spans="1:9" x14ac:dyDescent="0.35">
      <c r="A203" t="s">
        <v>300</v>
      </c>
      <c r="B203">
        <v>30</v>
      </c>
      <c r="C203">
        <v>90</v>
      </c>
      <c r="D203">
        <v>2.726</v>
      </c>
      <c r="E203">
        <v>1.9038999999999999</v>
      </c>
      <c r="F203">
        <v>1.4117</v>
      </c>
      <c r="G203">
        <v>0.96289999999999998</v>
      </c>
      <c r="H203">
        <v>0.92490000000000006</v>
      </c>
      <c r="I203">
        <v>0.91269999999999996</v>
      </c>
    </row>
    <row r="204" spans="1:9" x14ac:dyDescent="0.35">
      <c r="A204" t="s">
        <v>301</v>
      </c>
      <c r="B204">
        <v>30</v>
      </c>
      <c r="C204">
        <v>90</v>
      </c>
      <c r="D204">
        <v>0.97219999999999995</v>
      </c>
      <c r="E204">
        <v>0.59789999999999999</v>
      </c>
      <c r="F204">
        <v>0.47560000000000002</v>
      </c>
      <c r="G204">
        <v>0.43140000000000001</v>
      </c>
      <c r="H204">
        <v>0.36570000000000003</v>
      </c>
      <c r="I204">
        <v>0.33350000000000002</v>
      </c>
    </row>
    <row r="205" spans="1:9" x14ac:dyDescent="0.35">
      <c r="A205" t="s">
        <v>302</v>
      </c>
      <c r="B205">
        <v>30</v>
      </c>
      <c r="C205">
        <v>90</v>
      </c>
      <c r="D205">
        <v>2.6234000000000002</v>
      </c>
      <c r="E205">
        <v>2.1031</v>
      </c>
      <c r="F205">
        <v>2.0057</v>
      </c>
      <c r="G205">
        <v>1.5916999999999999</v>
      </c>
      <c r="H205">
        <v>1.5636000000000001</v>
      </c>
      <c r="I205">
        <v>1.5496000000000001</v>
      </c>
    </row>
    <row r="206" spans="1:9" x14ac:dyDescent="0.35">
      <c r="A206" t="s">
        <v>303</v>
      </c>
      <c r="B206">
        <v>30</v>
      </c>
      <c r="C206">
        <v>90</v>
      </c>
      <c r="D206">
        <v>0.95479999999999998</v>
      </c>
      <c r="E206">
        <v>0.60340000000000005</v>
      </c>
      <c r="F206">
        <v>0.48830000000000001</v>
      </c>
      <c r="G206">
        <v>0.44679999999999997</v>
      </c>
      <c r="H206">
        <v>0.38519999999999999</v>
      </c>
      <c r="I206">
        <v>0.3548</v>
      </c>
    </row>
    <row r="207" spans="1:9" x14ac:dyDescent="0.35">
      <c r="A207" t="s">
        <v>304</v>
      </c>
      <c r="B207">
        <v>30</v>
      </c>
      <c r="C207">
        <v>90</v>
      </c>
      <c r="D207">
        <v>0.86650000000000005</v>
      </c>
      <c r="E207">
        <v>0.5151</v>
      </c>
      <c r="F207">
        <v>0.4</v>
      </c>
      <c r="G207">
        <v>0.3584</v>
      </c>
      <c r="H207">
        <v>0.2969</v>
      </c>
      <c r="I207">
        <v>0.26650000000000001</v>
      </c>
    </row>
    <row r="208" spans="1:9" x14ac:dyDescent="0.35">
      <c r="A208" t="s">
        <v>305</v>
      </c>
      <c r="B208">
        <v>30</v>
      </c>
      <c r="C208">
        <v>90</v>
      </c>
      <c r="D208">
        <v>1.1256999999999999</v>
      </c>
      <c r="E208">
        <v>0.74909999999999999</v>
      </c>
      <c r="F208">
        <v>0.62570000000000003</v>
      </c>
      <c r="G208">
        <v>0.58099999999999996</v>
      </c>
      <c r="H208">
        <v>0.5151</v>
      </c>
      <c r="I208">
        <v>0.48259999999999997</v>
      </c>
    </row>
    <row r="209" spans="1:9" x14ac:dyDescent="0.35">
      <c r="A209" t="s">
        <v>306</v>
      </c>
      <c r="B209">
        <v>30</v>
      </c>
      <c r="C209">
        <v>90</v>
      </c>
      <c r="D209">
        <v>1.6088</v>
      </c>
      <c r="E209">
        <v>1.2597</v>
      </c>
      <c r="F209">
        <v>1.1539999999999999</v>
      </c>
      <c r="G209">
        <v>1.1119000000000001</v>
      </c>
      <c r="H209">
        <v>1.0522</v>
      </c>
      <c r="I209">
        <v>1.0228999999999999</v>
      </c>
    </row>
    <row r="210" spans="1:9" x14ac:dyDescent="0.35">
      <c r="A210" t="s">
        <v>307</v>
      </c>
      <c r="B210">
        <v>30</v>
      </c>
      <c r="C210">
        <v>90</v>
      </c>
      <c r="D210">
        <v>1.1781999999999999</v>
      </c>
      <c r="E210">
        <v>0.7429</v>
      </c>
      <c r="F210">
        <v>0.6008</v>
      </c>
      <c r="G210">
        <v>0.54910000000000003</v>
      </c>
      <c r="H210">
        <v>0.47270000000000001</v>
      </c>
      <c r="I210">
        <v>0.43530000000000002</v>
      </c>
    </row>
    <row r="211" spans="1:9" x14ac:dyDescent="0.35">
      <c r="A211" t="s">
        <v>308</v>
      </c>
      <c r="B211">
        <v>30</v>
      </c>
      <c r="C211">
        <v>90</v>
      </c>
      <c r="D211">
        <v>2.1429</v>
      </c>
      <c r="E211">
        <v>1.7782</v>
      </c>
      <c r="F211">
        <v>1.5290999999999999</v>
      </c>
      <c r="G211">
        <v>1.3835999999999999</v>
      </c>
      <c r="H211">
        <v>1.2386999999999999</v>
      </c>
      <c r="I211">
        <v>1.2264999999999999</v>
      </c>
    </row>
    <row r="212" spans="1:9" x14ac:dyDescent="0.35">
      <c r="A212" t="s">
        <v>309</v>
      </c>
      <c r="B212">
        <v>30</v>
      </c>
      <c r="C212">
        <v>90</v>
      </c>
      <c r="D212">
        <v>0.97219999999999995</v>
      </c>
      <c r="E212">
        <v>0.59789999999999999</v>
      </c>
      <c r="F212">
        <v>0.47560000000000002</v>
      </c>
      <c r="G212">
        <v>0.43140000000000001</v>
      </c>
      <c r="H212">
        <v>0.36570000000000003</v>
      </c>
      <c r="I212">
        <v>0.33350000000000002</v>
      </c>
    </row>
    <row r="213" spans="1:9" x14ac:dyDescent="0.35">
      <c r="A213" t="s">
        <v>310</v>
      </c>
      <c r="B213">
        <v>30</v>
      </c>
      <c r="C213">
        <v>90</v>
      </c>
      <c r="D213">
        <v>1.4804999999999999</v>
      </c>
      <c r="E213">
        <v>0.8831</v>
      </c>
      <c r="F213">
        <v>0.68810000000000004</v>
      </c>
      <c r="G213">
        <v>0.61739999999999995</v>
      </c>
      <c r="H213">
        <v>0.51270000000000004</v>
      </c>
      <c r="I213">
        <v>0.46100000000000002</v>
      </c>
    </row>
    <row r="214" spans="1:9" x14ac:dyDescent="0.35">
      <c r="A214" t="s">
        <v>311</v>
      </c>
      <c r="B214">
        <v>30</v>
      </c>
      <c r="C214">
        <v>90</v>
      </c>
      <c r="D214">
        <v>0.86650000000000005</v>
      </c>
      <c r="E214">
        <v>0.5151</v>
      </c>
      <c r="F214">
        <v>0.4</v>
      </c>
      <c r="G214">
        <v>0.3584</v>
      </c>
      <c r="H214">
        <v>0.2969</v>
      </c>
      <c r="I214">
        <v>0.26650000000000001</v>
      </c>
    </row>
    <row r="215" spans="1:9" x14ac:dyDescent="0.35">
      <c r="A215" t="s">
        <v>312</v>
      </c>
      <c r="B215">
        <v>30</v>
      </c>
      <c r="C215">
        <v>90</v>
      </c>
      <c r="D215">
        <v>1.5678000000000001</v>
      </c>
      <c r="E215">
        <v>1.2577</v>
      </c>
      <c r="F215">
        <v>1.1327</v>
      </c>
      <c r="G215">
        <v>1.0784</v>
      </c>
      <c r="H215">
        <v>1.0317000000000001</v>
      </c>
      <c r="I215">
        <v>1.02</v>
      </c>
    </row>
    <row r="216" spans="1:9" x14ac:dyDescent="0.35">
      <c r="A216" t="s">
        <v>313</v>
      </c>
      <c r="B216">
        <v>30</v>
      </c>
      <c r="C216">
        <v>90</v>
      </c>
      <c r="D216">
        <v>1.4577</v>
      </c>
      <c r="E216">
        <v>1.0290999999999999</v>
      </c>
      <c r="F216">
        <v>0.91249999999999998</v>
      </c>
      <c r="G216">
        <v>0.84050000000000002</v>
      </c>
      <c r="H216">
        <v>0.80600000000000005</v>
      </c>
      <c r="I216">
        <v>0.79090000000000005</v>
      </c>
    </row>
    <row r="217" spans="1:9" x14ac:dyDescent="0.35">
      <c r="A217" t="s">
        <v>314</v>
      </c>
      <c r="B217">
        <v>15</v>
      </c>
      <c r="C217">
        <v>75</v>
      </c>
      <c r="D217">
        <v>0.49959999999999999</v>
      </c>
      <c r="E217">
        <v>0.38400000000000001</v>
      </c>
      <c r="F217">
        <v>0.34620000000000001</v>
      </c>
      <c r="G217">
        <v>0.33150000000000002</v>
      </c>
      <c r="H217">
        <v>0.31130000000000002</v>
      </c>
      <c r="I217">
        <v>0.30130000000000001</v>
      </c>
    </row>
    <row r="218" spans="1:9" x14ac:dyDescent="0.35">
      <c r="A218" t="s">
        <v>315</v>
      </c>
      <c r="B218">
        <v>30</v>
      </c>
      <c r="C218">
        <v>90</v>
      </c>
      <c r="D218">
        <v>2.0905999999999998</v>
      </c>
      <c r="E218">
        <v>1.0025999999999999</v>
      </c>
      <c r="F218">
        <v>0.69769999999999999</v>
      </c>
      <c r="G218">
        <v>0.63949999999999996</v>
      </c>
      <c r="H218">
        <v>0.59219999999999995</v>
      </c>
      <c r="I218">
        <v>0.58160000000000001</v>
      </c>
    </row>
    <row r="219" spans="1:9" x14ac:dyDescent="0.35">
      <c r="A219" t="s">
        <v>316</v>
      </c>
      <c r="B219">
        <v>30</v>
      </c>
      <c r="C219">
        <v>90</v>
      </c>
      <c r="D219">
        <v>4.0566000000000004</v>
      </c>
      <c r="E219">
        <v>3.0891000000000002</v>
      </c>
      <c r="F219">
        <v>2.5581999999999998</v>
      </c>
      <c r="G219">
        <v>2.0909</v>
      </c>
      <c r="H219">
        <v>2.0447000000000002</v>
      </c>
      <c r="I219">
        <v>2.0325000000000002</v>
      </c>
    </row>
    <row r="220" spans="1:9" x14ac:dyDescent="0.35">
      <c r="A220" t="s">
        <v>317</v>
      </c>
      <c r="B220">
        <v>30</v>
      </c>
      <c r="C220">
        <v>90</v>
      </c>
      <c r="D220">
        <v>1.5636000000000001</v>
      </c>
      <c r="E220">
        <v>1.054</v>
      </c>
      <c r="F220">
        <v>0.93920000000000003</v>
      </c>
      <c r="G220">
        <v>0.89429999999999998</v>
      </c>
      <c r="H220">
        <v>0.87250000000000005</v>
      </c>
      <c r="I220">
        <v>0.86180000000000001</v>
      </c>
    </row>
    <row r="221" spans="1:9" x14ac:dyDescent="0.35">
      <c r="A221" t="s">
        <v>318</v>
      </c>
      <c r="B221">
        <v>30</v>
      </c>
      <c r="C221">
        <v>90</v>
      </c>
      <c r="D221">
        <v>0.91790000000000005</v>
      </c>
      <c r="E221">
        <v>0.5413</v>
      </c>
      <c r="F221">
        <v>0.41789999999999999</v>
      </c>
      <c r="G221">
        <v>0.37319999999999998</v>
      </c>
      <c r="H221">
        <v>0.30730000000000002</v>
      </c>
      <c r="I221">
        <v>0.27479999999999999</v>
      </c>
    </row>
    <row r="222" spans="1:9" x14ac:dyDescent="0.35">
      <c r="A222" t="s">
        <v>319</v>
      </c>
      <c r="B222">
        <v>30</v>
      </c>
      <c r="C222">
        <v>90</v>
      </c>
      <c r="D222">
        <v>1.8608</v>
      </c>
      <c r="E222">
        <v>1.2343</v>
      </c>
      <c r="F222">
        <v>1.0138</v>
      </c>
      <c r="G222">
        <v>0.93559999999999999</v>
      </c>
      <c r="H222">
        <v>0.88649999999999995</v>
      </c>
      <c r="I222">
        <v>0.87429999999999997</v>
      </c>
    </row>
    <row r="223" spans="1:9" x14ac:dyDescent="0.35">
      <c r="A223" t="s">
        <v>320</v>
      </c>
      <c r="B223">
        <v>20</v>
      </c>
      <c r="C223">
        <v>75</v>
      </c>
      <c r="D223">
        <v>1.0451999999999999</v>
      </c>
      <c r="E223">
        <v>0.55689999999999995</v>
      </c>
      <c r="F223">
        <v>0.39710000000000001</v>
      </c>
      <c r="G223">
        <v>0.20100000000000001</v>
      </c>
      <c r="H223">
        <v>0.15040000000000001</v>
      </c>
      <c r="I223">
        <v>0.1255</v>
      </c>
    </row>
    <row r="224" spans="1:9" x14ac:dyDescent="0.35">
      <c r="A224" t="s">
        <v>58</v>
      </c>
      <c r="B224">
        <v>20</v>
      </c>
      <c r="C224">
        <v>75</v>
      </c>
      <c r="D224">
        <v>0.61140000000000005</v>
      </c>
      <c r="E224">
        <v>0.32569999999999999</v>
      </c>
      <c r="F224">
        <v>0.23250000000000001</v>
      </c>
      <c r="G224">
        <v>0.1943</v>
      </c>
      <c r="H224">
        <v>0.1452</v>
      </c>
      <c r="I224">
        <v>0.121</v>
      </c>
    </row>
    <row r="225" spans="1:9" x14ac:dyDescent="0.35">
      <c r="A225" t="s">
        <v>321</v>
      </c>
      <c r="B225">
        <v>30</v>
      </c>
      <c r="C225">
        <v>90</v>
      </c>
      <c r="D225">
        <v>1.0738000000000001</v>
      </c>
      <c r="E225">
        <v>0.72470000000000001</v>
      </c>
      <c r="F225">
        <v>0.61899999999999999</v>
      </c>
      <c r="G225">
        <v>0.57689999999999997</v>
      </c>
      <c r="H225">
        <v>0.5171</v>
      </c>
      <c r="I225">
        <v>0.48780000000000001</v>
      </c>
    </row>
    <row r="226" spans="1:9" x14ac:dyDescent="0.35">
      <c r="A226" t="s">
        <v>322</v>
      </c>
      <c r="B226">
        <v>20</v>
      </c>
      <c r="C226">
        <v>75</v>
      </c>
      <c r="D226">
        <v>0.76680000000000004</v>
      </c>
      <c r="E226">
        <v>0.5242</v>
      </c>
      <c r="F226">
        <v>0.44440000000000002</v>
      </c>
      <c r="G226">
        <v>0.41399999999999998</v>
      </c>
      <c r="H226">
        <v>0.37169999999999997</v>
      </c>
      <c r="I226">
        <v>0.35089999999999999</v>
      </c>
    </row>
    <row r="227" spans="1:9" x14ac:dyDescent="0.35">
      <c r="A227" t="s">
        <v>323</v>
      </c>
      <c r="B227">
        <v>30</v>
      </c>
      <c r="C227">
        <v>90</v>
      </c>
      <c r="D227">
        <v>1.8299000000000001</v>
      </c>
      <c r="E227">
        <v>1.4369000000000001</v>
      </c>
      <c r="F227">
        <v>1.3170999999999999</v>
      </c>
      <c r="G227">
        <v>1.1742999999999999</v>
      </c>
      <c r="H227">
        <v>1.1047</v>
      </c>
      <c r="I227">
        <v>1.0913999999999999</v>
      </c>
    </row>
    <row r="228" spans="1:9" x14ac:dyDescent="0.35">
      <c r="A228" t="s">
        <v>324</v>
      </c>
      <c r="B228">
        <v>30</v>
      </c>
      <c r="C228">
        <v>90</v>
      </c>
      <c r="D228">
        <v>0.93269999999999997</v>
      </c>
      <c r="E228">
        <v>0.6603</v>
      </c>
      <c r="F228">
        <v>0.57950000000000002</v>
      </c>
      <c r="G228">
        <v>0.53249999999999997</v>
      </c>
      <c r="H228">
        <v>0.49740000000000001</v>
      </c>
      <c r="I228">
        <v>0.4849</v>
      </c>
    </row>
    <row r="229" spans="1:9" x14ac:dyDescent="0.35">
      <c r="A229" t="s">
        <v>325</v>
      </c>
      <c r="B229">
        <v>30</v>
      </c>
      <c r="C229">
        <v>90</v>
      </c>
      <c r="D229">
        <v>2.2896000000000001</v>
      </c>
      <c r="E229">
        <v>1.4597</v>
      </c>
      <c r="F229">
        <v>1.2795000000000001</v>
      </c>
      <c r="G229">
        <v>1.2379</v>
      </c>
      <c r="H229">
        <v>1.1900999999999999</v>
      </c>
      <c r="I229">
        <v>1.1795</v>
      </c>
    </row>
    <row r="230" spans="1:9" x14ac:dyDescent="0.35">
      <c r="A230" t="s">
        <v>326</v>
      </c>
      <c r="B230">
        <v>30</v>
      </c>
      <c r="C230">
        <v>90</v>
      </c>
      <c r="D230">
        <v>1.8540000000000001</v>
      </c>
      <c r="E230">
        <v>1.3844000000000001</v>
      </c>
      <c r="F230">
        <v>1.1012999999999999</v>
      </c>
      <c r="G230">
        <v>0.92130000000000001</v>
      </c>
      <c r="H230">
        <v>0.77869999999999995</v>
      </c>
      <c r="I230">
        <v>0.76649999999999996</v>
      </c>
    </row>
    <row r="231" spans="1:9" x14ac:dyDescent="0.35">
      <c r="A231" t="s">
        <v>327</v>
      </c>
      <c r="B231">
        <v>30</v>
      </c>
      <c r="C231">
        <v>90</v>
      </c>
      <c r="D231">
        <v>3.4491000000000001</v>
      </c>
      <c r="E231">
        <v>2.6469999999999998</v>
      </c>
      <c r="F231">
        <v>2.2681</v>
      </c>
      <c r="G231">
        <v>1.8179000000000001</v>
      </c>
      <c r="H231">
        <v>1.7805</v>
      </c>
      <c r="I231">
        <v>1.7683</v>
      </c>
    </row>
    <row r="232" spans="1:9" x14ac:dyDescent="0.35">
      <c r="A232" t="s">
        <v>328</v>
      </c>
      <c r="B232">
        <v>30</v>
      </c>
      <c r="C232">
        <v>90</v>
      </c>
      <c r="D232">
        <v>1.4947999999999999</v>
      </c>
      <c r="E232">
        <v>1.1938</v>
      </c>
      <c r="F232">
        <v>1.0899000000000001</v>
      </c>
      <c r="G232">
        <v>0.98029999999999995</v>
      </c>
      <c r="H232">
        <v>0.93530000000000002</v>
      </c>
      <c r="I232">
        <v>0.9234</v>
      </c>
    </row>
    <row r="233" spans="1:9" x14ac:dyDescent="0.35">
      <c r="A233" t="s">
        <v>329</v>
      </c>
      <c r="B233">
        <v>30</v>
      </c>
      <c r="C233">
        <v>90</v>
      </c>
      <c r="D233">
        <v>4.2454999999999998</v>
      </c>
      <c r="E233">
        <v>2.7086000000000001</v>
      </c>
      <c r="F233">
        <v>2.5390000000000001</v>
      </c>
      <c r="G233">
        <v>2.4278</v>
      </c>
      <c r="H233">
        <v>2.3843999999999999</v>
      </c>
      <c r="I233">
        <v>2.3662000000000001</v>
      </c>
    </row>
    <row r="234" spans="1:9" x14ac:dyDescent="0.35">
      <c r="A234" t="s">
        <v>330</v>
      </c>
      <c r="B234">
        <v>30</v>
      </c>
      <c r="C234">
        <v>90</v>
      </c>
      <c r="D234">
        <v>2.6448999999999998</v>
      </c>
      <c r="E234">
        <v>1.893</v>
      </c>
      <c r="F234">
        <v>1.6795</v>
      </c>
      <c r="G234">
        <v>1.5192000000000001</v>
      </c>
      <c r="H234">
        <v>1.4514</v>
      </c>
      <c r="I234">
        <v>1.4392</v>
      </c>
    </row>
    <row r="235" spans="1:9" x14ac:dyDescent="0.35">
      <c r="A235" t="s">
        <v>331</v>
      </c>
      <c r="B235">
        <v>20</v>
      </c>
      <c r="C235">
        <v>75</v>
      </c>
      <c r="D235">
        <v>0.99580000000000002</v>
      </c>
      <c r="E235">
        <v>0.73119999999999996</v>
      </c>
      <c r="F235">
        <v>0.64419999999999999</v>
      </c>
      <c r="G235">
        <v>0.6109</v>
      </c>
      <c r="H235">
        <v>0.56489999999999996</v>
      </c>
      <c r="I235">
        <v>0.5423</v>
      </c>
    </row>
    <row r="236" spans="1:9" x14ac:dyDescent="0.35">
      <c r="A236" t="s">
        <v>332</v>
      </c>
      <c r="B236">
        <v>20</v>
      </c>
      <c r="C236">
        <v>75</v>
      </c>
      <c r="D236">
        <v>1.1900999999999999</v>
      </c>
      <c r="E236">
        <v>0.94750000000000001</v>
      </c>
      <c r="F236">
        <v>0.86780000000000002</v>
      </c>
      <c r="G236">
        <v>0.83740000000000003</v>
      </c>
      <c r="H236">
        <v>0.79510000000000003</v>
      </c>
      <c r="I236">
        <v>0.77429999999999999</v>
      </c>
    </row>
    <row r="237" spans="1:9" x14ac:dyDescent="0.35">
      <c r="A237" t="s">
        <v>333</v>
      </c>
      <c r="B237">
        <v>20</v>
      </c>
      <c r="C237">
        <v>75</v>
      </c>
      <c r="D237">
        <v>0.83950000000000002</v>
      </c>
      <c r="E237">
        <v>0.59689999999999999</v>
      </c>
      <c r="F237">
        <v>0.5171</v>
      </c>
      <c r="G237">
        <v>0.48680000000000001</v>
      </c>
      <c r="H237">
        <v>0.44440000000000002</v>
      </c>
      <c r="I237">
        <v>0.42359999999999998</v>
      </c>
    </row>
    <row r="238" spans="1:9" x14ac:dyDescent="0.35">
      <c r="A238" t="s">
        <v>334</v>
      </c>
      <c r="B238">
        <v>30</v>
      </c>
      <c r="C238">
        <v>90</v>
      </c>
      <c r="D238">
        <v>2.0642</v>
      </c>
      <c r="E238">
        <v>1.5361</v>
      </c>
      <c r="F238">
        <v>1.3745000000000001</v>
      </c>
      <c r="G238">
        <v>1.3028999999999999</v>
      </c>
      <c r="H238">
        <v>1.2499</v>
      </c>
      <c r="I238">
        <v>1.2377</v>
      </c>
    </row>
    <row r="239" spans="1:9" x14ac:dyDescent="0.35">
      <c r="A239" t="s">
        <v>335</v>
      </c>
      <c r="B239">
        <v>30</v>
      </c>
      <c r="C239">
        <v>90</v>
      </c>
      <c r="D239">
        <v>1.9542999999999999</v>
      </c>
      <c r="E239">
        <v>1.2595000000000001</v>
      </c>
      <c r="F239">
        <v>0.97740000000000005</v>
      </c>
      <c r="G239">
        <v>0.83689999999999998</v>
      </c>
      <c r="H239">
        <v>0.75609999999999999</v>
      </c>
      <c r="I239">
        <v>0.74390000000000001</v>
      </c>
    </row>
    <row r="240" spans="1:9" x14ac:dyDescent="0.35">
      <c r="A240" t="s">
        <v>336</v>
      </c>
      <c r="B240">
        <v>30</v>
      </c>
      <c r="C240">
        <v>90</v>
      </c>
      <c r="D240">
        <v>1.0738000000000001</v>
      </c>
      <c r="E240">
        <v>0.72470000000000001</v>
      </c>
      <c r="F240">
        <v>0.61899999999999999</v>
      </c>
      <c r="G240">
        <v>0.57689999999999997</v>
      </c>
      <c r="H240">
        <v>0.5171</v>
      </c>
      <c r="I240">
        <v>0.48780000000000001</v>
      </c>
    </row>
    <row r="241" spans="1:9" x14ac:dyDescent="0.35">
      <c r="A241" t="s">
        <v>337</v>
      </c>
      <c r="B241">
        <v>30</v>
      </c>
      <c r="C241">
        <v>90</v>
      </c>
      <c r="D241">
        <v>0.97789999999999999</v>
      </c>
      <c r="E241">
        <v>0.57299999999999995</v>
      </c>
      <c r="F241">
        <v>0.44080000000000003</v>
      </c>
      <c r="G241">
        <v>0.39269999999999999</v>
      </c>
      <c r="H241">
        <v>0.32179999999999997</v>
      </c>
      <c r="I241">
        <v>0.28699999999999998</v>
      </c>
    </row>
    <row r="242" spans="1:9" x14ac:dyDescent="0.35">
      <c r="A242" t="s">
        <v>338</v>
      </c>
      <c r="B242">
        <v>30</v>
      </c>
      <c r="C242">
        <v>90</v>
      </c>
      <c r="D242">
        <v>1.3537999999999999</v>
      </c>
      <c r="E242">
        <v>0.98550000000000004</v>
      </c>
      <c r="F242">
        <v>0.79610000000000003</v>
      </c>
      <c r="G242">
        <v>0.70230000000000004</v>
      </c>
      <c r="H242">
        <v>0.67610000000000003</v>
      </c>
      <c r="I242">
        <v>0.66390000000000005</v>
      </c>
    </row>
    <row r="243" spans="1:9" x14ac:dyDescent="0.35">
      <c r="A243" t="s">
        <v>339</v>
      </c>
      <c r="B243">
        <v>30</v>
      </c>
      <c r="C243">
        <v>90</v>
      </c>
      <c r="D243">
        <v>1.1339999999999999</v>
      </c>
      <c r="E243">
        <v>0.69869999999999999</v>
      </c>
      <c r="F243">
        <v>0.55659999999999998</v>
      </c>
      <c r="G243">
        <v>0.50490000000000002</v>
      </c>
      <c r="H243">
        <v>0.42880000000000001</v>
      </c>
      <c r="I243">
        <v>0.39119999999999999</v>
      </c>
    </row>
    <row r="244" spans="1:9" x14ac:dyDescent="0.35">
      <c r="A244" t="s">
        <v>340</v>
      </c>
      <c r="B244">
        <v>30</v>
      </c>
      <c r="C244">
        <v>90</v>
      </c>
      <c r="D244">
        <v>2.8054999999999999</v>
      </c>
      <c r="E244">
        <v>2.1179000000000001</v>
      </c>
      <c r="F244">
        <v>1.7332000000000001</v>
      </c>
      <c r="G244">
        <v>1.6948000000000001</v>
      </c>
      <c r="H244">
        <v>1.6682999999999999</v>
      </c>
      <c r="I244">
        <v>1.6560999999999999</v>
      </c>
    </row>
    <row r="245" spans="1:9" x14ac:dyDescent="0.35">
      <c r="A245" t="s">
        <v>341</v>
      </c>
      <c r="B245">
        <v>30</v>
      </c>
      <c r="C245">
        <v>90</v>
      </c>
      <c r="D245">
        <v>1.1339999999999999</v>
      </c>
      <c r="E245">
        <v>0.69869999999999999</v>
      </c>
      <c r="F245">
        <v>0.55659999999999998</v>
      </c>
      <c r="G245">
        <v>0.50490000000000002</v>
      </c>
      <c r="H245">
        <v>0.42880000000000001</v>
      </c>
      <c r="I245">
        <v>0.39119999999999999</v>
      </c>
    </row>
    <row r="246" spans="1:9" x14ac:dyDescent="0.35">
      <c r="A246" t="s">
        <v>342</v>
      </c>
      <c r="B246">
        <v>30</v>
      </c>
      <c r="C246">
        <v>90</v>
      </c>
      <c r="D246">
        <v>1.0717000000000001</v>
      </c>
      <c r="E246">
        <v>0.72030000000000005</v>
      </c>
      <c r="F246">
        <v>0.60519999999999996</v>
      </c>
      <c r="G246">
        <v>0.56359999999999999</v>
      </c>
      <c r="H246">
        <v>0.50209999999999999</v>
      </c>
      <c r="I246">
        <v>0.47170000000000001</v>
      </c>
    </row>
    <row r="247" spans="1:9" x14ac:dyDescent="0.35">
      <c r="A247" t="s">
        <v>343</v>
      </c>
      <c r="B247">
        <v>30</v>
      </c>
      <c r="C247">
        <v>90</v>
      </c>
      <c r="D247">
        <v>1.2008000000000001</v>
      </c>
      <c r="E247">
        <v>0.95479999999999998</v>
      </c>
      <c r="F247">
        <v>0.73919999999999997</v>
      </c>
      <c r="G247">
        <v>0.69220000000000004</v>
      </c>
      <c r="H247">
        <v>0.66569999999999996</v>
      </c>
      <c r="I247">
        <v>0.65349999999999997</v>
      </c>
    </row>
    <row r="248" spans="1:9" x14ac:dyDescent="0.35">
      <c r="A248" t="s">
        <v>344</v>
      </c>
      <c r="B248">
        <v>30</v>
      </c>
      <c r="C248">
        <v>90</v>
      </c>
      <c r="D248">
        <v>1.2948</v>
      </c>
      <c r="E248">
        <v>0.88990000000000002</v>
      </c>
      <c r="F248">
        <v>0.75770000000000004</v>
      </c>
      <c r="G248">
        <v>0.70960000000000001</v>
      </c>
      <c r="H248">
        <v>0.63870000000000005</v>
      </c>
      <c r="I248">
        <v>0.60389999999999999</v>
      </c>
    </row>
    <row r="249" spans="1:9" x14ac:dyDescent="0.35">
      <c r="A249" t="s">
        <v>345</v>
      </c>
      <c r="B249">
        <v>30</v>
      </c>
      <c r="C249">
        <v>90</v>
      </c>
      <c r="D249">
        <v>1.2609999999999999</v>
      </c>
      <c r="E249">
        <v>0.84489999999999998</v>
      </c>
      <c r="F249">
        <v>0.73560000000000003</v>
      </c>
      <c r="G249">
        <v>0.62649999999999995</v>
      </c>
      <c r="H249">
        <v>0.55789999999999995</v>
      </c>
      <c r="I249">
        <v>0.54620000000000002</v>
      </c>
    </row>
    <row r="250" spans="1:9" x14ac:dyDescent="0.35">
      <c r="A250" t="s">
        <v>346</v>
      </c>
      <c r="B250">
        <v>30</v>
      </c>
      <c r="C250">
        <v>90</v>
      </c>
      <c r="D250">
        <v>4.1348000000000003</v>
      </c>
      <c r="E250">
        <v>3.7212999999999998</v>
      </c>
      <c r="F250">
        <v>3.6345000000000001</v>
      </c>
      <c r="G250">
        <v>3.5792000000000002</v>
      </c>
      <c r="H250">
        <v>3.5278</v>
      </c>
      <c r="I250">
        <v>3.5160999999999998</v>
      </c>
    </row>
    <row r="251" spans="1:9" x14ac:dyDescent="0.35">
      <c r="A251" t="s">
        <v>347</v>
      </c>
      <c r="B251">
        <v>30</v>
      </c>
      <c r="C251">
        <v>90</v>
      </c>
      <c r="D251">
        <v>1.0815999999999999</v>
      </c>
      <c r="E251">
        <v>0.88339999999999996</v>
      </c>
      <c r="F251">
        <v>0.81040000000000001</v>
      </c>
      <c r="G251">
        <v>0.72650000000000003</v>
      </c>
      <c r="H251">
        <v>0.61839999999999995</v>
      </c>
      <c r="I251">
        <v>0.60680000000000001</v>
      </c>
    </row>
    <row r="252" spans="1:9" x14ac:dyDescent="0.35">
      <c r="A252" t="s">
        <v>348</v>
      </c>
      <c r="B252">
        <v>30</v>
      </c>
      <c r="C252">
        <v>90</v>
      </c>
      <c r="D252">
        <v>0.97219999999999995</v>
      </c>
      <c r="E252">
        <v>0.59789999999999999</v>
      </c>
      <c r="F252">
        <v>0.47560000000000002</v>
      </c>
      <c r="G252">
        <v>0.43140000000000001</v>
      </c>
      <c r="H252">
        <v>0.36570000000000003</v>
      </c>
      <c r="I252">
        <v>0.33350000000000002</v>
      </c>
    </row>
    <row r="253" spans="1:9" x14ac:dyDescent="0.35">
      <c r="A253" t="s">
        <v>349</v>
      </c>
      <c r="B253">
        <v>30</v>
      </c>
      <c r="C253">
        <v>90</v>
      </c>
      <c r="D253">
        <v>1.7434000000000001</v>
      </c>
      <c r="E253">
        <v>1.3891</v>
      </c>
      <c r="F253">
        <v>1.0893999999999999</v>
      </c>
      <c r="G253">
        <v>0.84750000000000003</v>
      </c>
      <c r="H253">
        <v>0.7823</v>
      </c>
      <c r="I253">
        <v>0.76939999999999997</v>
      </c>
    </row>
    <row r="254" spans="1:9" x14ac:dyDescent="0.35">
      <c r="A254" t="s">
        <v>350</v>
      </c>
      <c r="B254">
        <v>20</v>
      </c>
      <c r="C254">
        <v>75</v>
      </c>
      <c r="D254">
        <v>0.67900000000000005</v>
      </c>
      <c r="E254">
        <v>0.4143</v>
      </c>
      <c r="F254">
        <v>0.32729999999999998</v>
      </c>
      <c r="G254">
        <v>0.29399999999999998</v>
      </c>
      <c r="H254">
        <v>0.24809999999999999</v>
      </c>
      <c r="I254">
        <v>0.22550000000000001</v>
      </c>
    </row>
    <row r="255" spans="1:9" x14ac:dyDescent="0.35">
      <c r="A255" t="s">
        <v>351</v>
      </c>
      <c r="B255">
        <v>30</v>
      </c>
      <c r="C255">
        <v>90</v>
      </c>
      <c r="D255">
        <v>1.1857</v>
      </c>
      <c r="E255">
        <v>0.78080000000000005</v>
      </c>
      <c r="F255">
        <v>0.64859999999999995</v>
      </c>
      <c r="G255">
        <v>0.60050000000000003</v>
      </c>
      <c r="H255">
        <v>0.52959999999999996</v>
      </c>
      <c r="I255">
        <v>0.49480000000000002</v>
      </c>
    </row>
    <row r="256" spans="1:9" x14ac:dyDescent="0.35">
      <c r="A256" t="s">
        <v>352</v>
      </c>
      <c r="B256">
        <v>30</v>
      </c>
      <c r="C256">
        <v>90</v>
      </c>
      <c r="D256">
        <v>1.0317000000000001</v>
      </c>
      <c r="E256">
        <v>0.62960000000000005</v>
      </c>
      <c r="F256">
        <v>0.49819999999999998</v>
      </c>
      <c r="G256">
        <v>0.4506</v>
      </c>
      <c r="H256">
        <v>0.38030000000000003</v>
      </c>
      <c r="I256">
        <v>0.34549999999999997</v>
      </c>
    </row>
    <row r="257" spans="1:9" x14ac:dyDescent="0.35">
      <c r="A257" t="s">
        <v>353</v>
      </c>
      <c r="B257">
        <v>30</v>
      </c>
      <c r="C257">
        <v>90</v>
      </c>
      <c r="D257">
        <v>2.7875000000000001</v>
      </c>
      <c r="E257">
        <v>2.1579000000000002</v>
      </c>
      <c r="F257">
        <v>2.0331999999999999</v>
      </c>
      <c r="G257">
        <v>1.5984</v>
      </c>
      <c r="H257">
        <v>1.5660000000000001</v>
      </c>
      <c r="I257">
        <v>1.5504</v>
      </c>
    </row>
    <row r="258" spans="1:9" x14ac:dyDescent="0.35">
      <c r="A258" t="s">
        <v>354</v>
      </c>
      <c r="B258">
        <v>30</v>
      </c>
      <c r="C258">
        <v>90</v>
      </c>
      <c r="D258">
        <v>0.86650000000000005</v>
      </c>
      <c r="E258">
        <v>0.5151</v>
      </c>
      <c r="F258">
        <v>0.4</v>
      </c>
      <c r="G258">
        <v>0.3584</v>
      </c>
      <c r="H258">
        <v>0.2969</v>
      </c>
      <c r="I258">
        <v>0.26650000000000001</v>
      </c>
    </row>
    <row r="259" spans="1:9" x14ac:dyDescent="0.35">
      <c r="A259" t="s">
        <v>355</v>
      </c>
      <c r="B259">
        <v>30</v>
      </c>
      <c r="C259">
        <v>90</v>
      </c>
      <c r="D259">
        <v>1.0501</v>
      </c>
      <c r="E259">
        <v>0.71789999999999998</v>
      </c>
      <c r="F259">
        <v>0.63380000000000003</v>
      </c>
      <c r="G259">
        <v>0.56440000000000001</v>
      </c>
      <c r="H259">
        <v>0.50080000000000002</v>
      </c>
      <c r="I259">
        <v>0.48909999999999998</v>
      </c>
    </row>
    <row r="260" spans="1:9" x14ac:dyDescent="0.35">
      <c r="A260" t="s">
        <v>356</v>
      </c>
      <c r="B260">
        <v>30</v>
      </c>
      <c r="C260">
        <v>90</v>
      </c>
      <c r="D260">
        <v>2.1029</v>
      </c>
      <c r="E260">
        <v>1.2694000000000001</v>
      </c>
      <c r="F260">
        <v>0.99709999999999999</v>
      </c>
      <c r="G260">
        <v>0.89839999999999998</v>
      </c>
      <c r="H260">
        <v>0.75249999999999995</v>
      </c>
      <c r="I260">
        <v>0.68030000000000002</v>
      </c>
    </row>
    <row r="261" spans="1:9" x14ac:dyDescent="0.35">
      <c r="A261" t="s">
        <v>357</v>
      </c>
      <c r="B261">
        <v>30</v>
      </c>
      <c r="C261">
        <v>90</v>
      </c>
      <c r="D261">
        <v>1.1339999999999999</v>
      </c>
      <c r="E261">
        <v>0.69869999999999999</v>
      </c>
      <c r="F261">
        <v>0.55659999999999998</v>
      </c>
      <c r="G261">
        <v>0.50490000000000002</v>
      </c>
      <c r="H261">
        <v>0.42880000000000001</v>
      </c>
      <c r="I261">
        <v>0.39119999999999999</v>
      </c>
    </row>
    <row r="262" spans="1:9" x14ac:dyDescent="0.35">
      <c r="A262" t="s">
        <v>358</v>
      </c>
      <c r="B262">
        <v>30</v>
      </c>
      <c r="C262">
        <v>90</v>
      </c>
      <c r="D262">
        <v>1.7335</v>
      </c>
      <c r="E262">
        <v>1.3734999999999999</v>
      </c>
      <c r="F262">
        <v>1.2202999999999999</v>
      </c>
      <c r="G262">
        <v>1.1366000000000001</v>
      </c>
      <c r="H262">
        <v>1.0368999999999999</v>
      </c>
      <c r="I262">
        <v>1.0246999999999999</v>
      </c>
    </row>
    <row r="263" spans="1:9" x14ac:dyDescent="0.35">
      <c r="A263" t="s">
        <v>359</v>
      </c>
      <c r="B263">
        <v>30</v>
      </c>
      <c r="C263">
        <v>90</v>
      </c>
      <c r="D263">
        <v>1.2109000000000001</v>
      </c>
      <c r="E263">
        <v>0.72599999999999998</v>
      </c>
      <c r="F263">
        <v>0.56310000000000004</v>
      </c>
      <c r="G263">
        <v>0.49059999999999998</v>
      </c>
      <c r="H263">
        <v>0.4345</v>
      </c>
      <c r="I263">
        <v>0.42230000000000001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C3625-CBB7-4134-98BD-2BFB52401C2F}">
  <sheetPr codeName="Sheet9"/>
  <dimension ref="A1:B13"/>
  <sheetViews>
    <sheetView workbookViewId="0"/>
  </sheetViews>
  <sheetFormatPr defaultRowHeight="14.5" x14ac:dyDescent="0.35"/>
  <cols>
    <col min="1" max="1" width="24.54296875" bestFit="1" customWidth="1"/>
    <col min="2" max="2" width="80.7265625" bestFit="1" customWidth="1"/>
  </cols>
  <sheetData>
    <row r="1" spans="1:2" x14ac:dyDescent="0.35">
      <c r="A1" t="s">
        <v>64</v>
      </c>
      <c r="B1" t="s">
        <v>60</v>
      </c>
    </row>
    <row r="2" spans="1:2" x14ac:dyDescent="0.35">
      <c r="A2" t="s">
        <v>65</v>
      </c>
      <c r="B2" t="s">
        <v>66</v>
      </c>
    </row>
    <row r="3" spans="1:2" x14ac:dyDescent="0.35">
      <c r="A3" t="s">
        <v>67</v>
      </c>
      <c r="B3" t="s">
        <v>68</v>
      </c>
    </row>
    <row r="4" spans="1:2" x14ac:dyDescent="0.35">
      <c r="A4" t="s">
        <v>69</v>
      </c>
      <c r="B4" t="s">
        <v>70</v>
      </c>
    </row>
    <row r="5" spans="1:2" x14ac:dyDescent="0.35">
      <c r="A5" t="s">
        <v>71</v>
      </c>
      <c r="B5" t="s">
        <v>72</v>
      </c>
    </row>
    <row r="6" spans="1:2" x14ac:dyDescent="0.35">
      <c r="A6" t="s">
        <v>73</v>
      </c>
      <c r="B6" t="s">
        <v>74</v>
      </c>
    </row>
    <row r="7" spans="1:2" x14ac:dyDescent="0.35">
      <c r="A7" t="s">
        <v>75</v>
      </c>
      <c r="B7" t="s">
        <v>76</v>
      </c>
    </row>
    <row r="8" spans="1:2" x14ac:dyDescent="0.35">
      <c r="A8" t="s">
        <v>77</v>
      </c>
      <c r="B8" t="s">
        <v>78</v>
      </c>
    </row>
    <row r="9" spans="1:2" x14ac:dyDescent="0.35">
      <c r="A9" t="s">
        <v>79</v>
      </c>
      <c r="B9" t="s">
        <v>80</v>
      </c>
    </row>
    <row r="10" spans="1:2" x14ac:dyDescent="0.35">
      <c r="A10" t="s">
        <v>81</v>
      </c>
      <c r="B10" t="s">
        <v>82</v>
      </c>
    </row>
    <row r="11" spans="1:2" x14ac:dyDescent="0.35">
      <c r="A11" t="s">
        <v>83</v>
      </c>
      <c r="B11" t="s">
        <v>84</v>
      </c>
    </row>
    <row r="12" spans="1:2" x14ac:dyDescent="0.35">
      <c r="A12" t="s">
        <v>85</v>
      </c>
      <c r="B12" t="s">
        <v>86</v>
      </c>
    </row>
    <row r="13" spans="1:2" x14ac:dyDescent="0.35">
      <c r="A13" t="s">
        <v>87</v>
      </c>
      <c r="B13" t="s">
        <v>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592C67-E860-4CDB-A515-36820049BE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</vt:lpstr>
      <vt:lpstr>WHrate</vt:lpstr>
      <vt:lpstr>Price per stage</vt:lpstr>
      <vt:lpstr>Delivery per Unit</vt:lpstr>
      <vt:lpstr>WH</vt:lpstr>
      <vt:lpstr>TRrate</vt:lpstr>
      <vt:lpstr>Sydney PR Details</vt:lpstr>
      <vt:lpstr>Sydney RT</vt:lpstr>
      <vt:lpstr>seafreight forecast</vt:lpstr>
      <vt:lpstr>Summary</vt:lpstr>
      <vt:lpstr>TransportRate</vt:lpstr>
      <vt:lpstr>Sydney conditions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Plyusnin - Product and Operations</dc:creator>
  <cp:lastModifiedBy>Vlad Plyusnin - Logistics</cp:lastModifiedBy>
  <dcterms:created xsi:type="dcterms:W3CDTF">2024-10-16T20:32:17Z</dcterms:created>
  <dcterms:modified xsi:type="dcterms:W3CDTF">2025-09-29T09:57:46Z</dcterms:modified>
</cp:coreProperties>
</file>