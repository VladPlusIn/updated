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queryTables/queryTable3.xml" ContentType="application/vnd.openxmlformats-officedocument.spreadsheetml.queryTable+xml"/>
  <Override PartName="/xl/tables/table11.xml" ContentType="application/vnd.openxmlformats-officedocument.spreadsheetml.table+xml"/>
  <Override PartName="/xl/queryTables/queryTable4.xml" ContentType="application/vnd.openxmlformats-officedocument.spreadsheetml.query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VladPlyusnin-Product\Desktop\Calculator\updated\"/>
    </mc:Choice>
  </mc:AlternateContent>
  <xr:revisionPtr revIDLastSave="0" documentId="13_ncr:1_{8070A9B1-B3CB-44C7-8E35-1B82A67B91BF}" xr6:coauthVersionLast="47" xr6:coauthVersionMax="47" xr10:uidLastSave="{00000000-0000-0000-0000-000000000000}"/>
  <bookViews>
    <workbookView xWindow="28845" yWindow="-16410" windowWidth="29040" windowHeight="15720" activeTab="7" xr2:uid="{6D661927-D981-4489-A577-2CEA04A8FBA5}"/>
    <workbookView xWindow="-110" yWindow="-110" windowWidth="19420" windowHeight="11500" activeTab="7" xr2:uid="{1FB0B4F4-F193-4A8D-9695-EAAEB3C77902}"/>
  </bookViews>
  <sheets>
    <sheet name="Input" sheetId="17" r:id="rId1"/>
    <sheet name="WHrate" sheetId="10" r:id="rId2"/>
    <sheet name="Price per stage" sheetId="28" r:id="rId3"/>
    <sheet name="Delivery per Unit" sheetId="40" r:id="rId4"/>
    <sheet name="WH" sheetId="34" state="hidden" r:id="rId5"/>
    <sheet name="TRrate" sheetId="35" state="hidden" r:id="rId6"/>
    <sheet name="seafreight forecast" sheetId="38" state="hidden" r:id="rId7"/>
    <sheet name="Summary" sheetId="32" r:id="rId8"/>
    <sheet name="TransportRate" sheetId="14" state="hidden" r:id="rId9"/>
  </sheets>
  <definedNames>
    <definedName name="_xleta.AVERAGE" hidden="1" xlm="1">#NAME?</definedName>
    <definedName name="_xleta.SUM" hidden="1" xlm="1">#NAME?</definedName>
    <definedName name="ExternalData_1" localSheetId="2" hidden="1">'Price per stage'!$A$1:$F$15</definedName>
    <definedName name="ExternalData_1" localSheetId="5" hidden="1">TRrate!$A$1:$C$263</definedName>
    <definedName name="ExternalData_2" localSheetId="3" hidden="1">'Delivery per Unit'!$A$1:$F$49</definedName>
    <definedName name="ExternalData_2" localSheetId="7" hidden="1">Summary!$A$1:$AD$49</definedName>
    <definedName name="ExternalData_2" localSheetId="8" hidden="1">TransportRate!$A$1:$C$263</definedName>
    <definedName name="ExternalData_6" localSheetId="2" hidden="1">'Price per stage'!$A$1:$G$14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50" i="32" l="1"/>
  <c r="L50" i="32"/>
  <c r="M50" i="32"/>
  <c r="P50" i="32"/>
  <c r="Q50" i="32"/>
  <c r="R50" i="32"/>
  <c r="T50" i="32"/>
  <c r="V50" i="32"/>
  <c r="X50" i="32"/>
  <c r="Z50" i="32"/>
  <c r="AB50" i="32"/>
  <c r="E16" i="28"/>
  <c r="D19" i="10"/>
  <c r="D18" i="10"/>
  <c r="D15" i="10"/>
  <c r="D12" i="10"/>
  <c r="D10" i="10"/>
  <c r="D8" i="10"/>
  <c r="D3" i="10"/>
  <c r="D2" i="10"/>
  <c r="D4" i="10"/>
  <c r="D5" i="10"/>
  <c r="D6" i="10"/>
  <c r="D7" i="10"/>
  <c r="D9" i="10"/>
  <c r="D11" i="10"/>
  <c r="D13" i="10"/>
  <c r="D14" i="10"/>
  <c r="D16" i="10"/>
  <c r="D26" i="10"/>
  <c r="D27" i="10"/>
  <c r="D28" i="10"/>
  <c r="D29" i="10"/>
  <c r="D30" i="10"/>
  <c r="D33" i="10"/>
  <c r="D34" i="10"/>
  <c r="D35" i="10"/>
  <c r="D36" i="10"/>
  <c r="D37" i="10"/>
  <c r="D38" i="10"/>
  <c r="S118" i="3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9EB5E8A-3FF7-4CA4-9881-56B26557C142}" keepAlive="1" name="Query - AU" description="Connection to the 'AU' query in the workbook." type="5" refreshedVersion="8" background="1" saveData="1">
    <dbPr connection="Provider=Microsoft.Mashup.OleDb.1;Data Source=$Workbook$;Location=AU;Extended Properties=&quot;&quot;" command="SELECT * FROM [AU]"/>
  </connection>
  <connection id="2" xr16:uid="{56DEE63D-C0CC-4CFB-ACF7-F4537E1BC993}" keepAlive="1" name="Query - Calculation(1)" description="Connection to the 'Calculation' query in the workbook." type="5" refreshedVersion="8" background="1" saveData="1">
    <dbPr connection="Provider=Microsoft.Mashup.OleDb.1;Data Source=$Workbook$;Location=Calculation;Extended Properties=&quot;&quot;" command="SELECT * FROM [Calculation]"/>
  </connection>
  <connection id="3" xr16:uid="{EB4B0122-B8FD-4F70-9BA0-646E46FAD0C5}" keepAlive="1" name="Query - Card" description="Connection to the 'Card' query in the workbook." type="5" refreshedVersion="8" background="1" saveData="1">
    <dbPr connection="Provider=Microsoft.Mashup.OleDb.1;Data Source=$Workbook$;Location=Card;Extended Properties=&quot;&quot;" command="SELECT * FROM [Card]"/>
  </connection>
  <connection id="4" xr16:uid="{C06807F7-A7A7-4DAD-BFA9-5BD26E022B5F}" keepAlive="1" name="Query - Destination" description="Connection to the 'Destination' query in the workbook." type="5" refreshedVersion="0" background="1">
    <dbPr connection="Provider=Microsoft.Mashup.OleDb.1;Data Source=$Workbook$;Location=Destination;Extended Properties=&quot;&quot;" command="SELECT * FROM [Destination]"/>
  </connection>
  <connection id="5" xr16:uid="{686DB6B2-27F0-4508-9F7C-B1B5292A0302}" keepAlive="1" name="Query - Input_SKU" description="Connection to the 'Input_SKU' query in the workbook." type="5" refreshedVersion="8" background="1" saveData="1">
    <dbPr connection="Provider=Microsoft.Mashup.OleDb.1;Data Source=$Workbook$;Location=Input_SKU;Extended Properties=&quot;&quot;" command="SELECT * FROM [Input_SKU]"/>
  </connection>
  <connection id="6" xr16:uid="{F20F45D5-C346-4D7C-8DAB-043386E90C01}" keepAlive="1" name="Query - Logistic price" description="Connection to the 'Logistic price' query in the workbook." type="5" refreshedVersion="8" background="1" saveData="1">
    <dbPr connection="Provider=Microsoft.Mashup.OleDb.1;Data Source=$Workbook$;Location=&quot;Logistic price&quot;;Extended Properties=&quot;&quot;" command="SELECT * FROM [Logistic price]"/>
  </connection>
  <connection id="7" xr16:uid="{1254F211-6F19-4758-92E9-2D82C143A88A}" keepAlive="1" name="Query - Logistic price(1)" description="Connection to the 'Logistic price' query in the workbook." type="5" refreshedVersion="0" background="1">
    <dbPr connection="Provider=Microsoft.Mashup.OleDb.1;Data Source=$Workbook$;Location=&quot;Logistic price&quot;;Extended Properties=&quot;&quot;" command="SELECT * FROM [Logistic price]"/>
  </connection>
  <connection id="8" xr16:uid="{9C8C1EF6-8AA7-48A1-9295-8FDE2E0BFDA9}" keepAlive="1" name="Query - Product/destination" description="Connection to the 'Product/destination' query in the workbook." type="5" refreshedVersion="8" background="1" saveData="1">
    <dbPr connection="Provider=Microsoft.Mashup.OleDb.1;Data Source=$Workbook$;Location=Product/destination;Extended Properties=&quot;&quot;" command="SELECT * FROM [Product/destination]"/>
  </connection>
  <connection id="9" xr16:uid="{EB4BB32D-E789-403C-BD67-E8829E7280F8}" keepAlive="1" name="Query - seafreight_forecast" description="Connection to the 'seafreight_forecast' query in the workbook." type="5" refreshedVersion="8" background="1" saveData="1">
    <dbPr connection="Provider=Microsoft.Mashup.OleDb.1;Data Source=$Workbook$;Location=seafreight_forecast;Extended Properties=&quot;&quot;" command="SELECT * FROM [seafreight_forecast]"/>
  </connection>
  <connection id="10" xr16:uid="{AB512A34-267B-4186-9CC0-A258EA404FD5}" keepAlive="1" name="Query - Support Table" description="Connection to the 'Support Table' query in the workbook." type="5" refreshedVersion="0" background="1">
    <dbPr connection="Provider=Microsoft.Mashup.OleDb.1;Data Source=$Workbook$;Location=&quot;Support Table&quot;;Extended Properties=&quot;&quot;" command="SELECT * FROM [Support Table]"/>
  </connection>
  <connection id="11" xr16:uid="{39198022-267A-431D-9384-3845B9F9512D}" keepAlive="1" name="Query - TransportRate" description="Connection to the 'TransportRate' query in the workbook." type="5" refreshedVersion="8" background="1" saveData="1">
    <dbPr connection="Provider=Microsoft.Mashup.OleDb.1;Data Source=$Workbook$;Location=TransportRate;Extended Properties=&quot;&quot;" command="SELECT * FROM [TransportRate]"/>
  </connection>
  <connection id="12" xr16:uid="{F6C30BEA-123F-444B-AF28-BEE5F159A046}" keepAlive="1" name="Query - WHrate" description="Connection to the 'WHrate' query in the workbook." type="5" refreshedVersion="0" background="1" saveData="1">
    <dbPr connection="Provider=Microsoft.Mashup.OleDb.1;Data Source=$Workbook$;Location=WHrate;Extended Properties=&quot;&quot;" command="SELECT * FROM [WHrate]"/>
  </connection>
  <connection id="13" xr16:uid="{A9AF4A5A-BE37-4457-BEE8-6429CEAA6218}" keepAlive="1" name="Query - WHrate (2)" description="Connection to the 'WHrate (2)' query in the workbook." type="5" refreshedVersion="8" background="1" saveData="1">
    <dbPr connection="Provider=Microsoft.Mashup.OleDb.1;Data Source=$Workbook$;Location=&quot;WHrate (2)&quot;;Extended Properties=&quot;&quot;" command="SELECT * FROM [WHrate (2)]"/>
  </connection>
</connections>
</file>

<file path=xl/sharedStrings.xml><?xml version="1.0" encoding="utf-8"?>
<sst xmlns="http://schemas.openxmlformats.org/spreadsheetml/2006/main" count="1368" uniqueCount="568">
  <si>
    <t>Item</t>
  </si>
  <si>
    <t>Annual
Units</t>
  </si>
  <si>
    <t>MASTER SHIPPER 
PKG WIDTH(CM)</t>
  </si>
  <si>
    <t>MASTER SHIPPER 
PKG DEPTH(CM)</t>
  </si>
  <si>
    <t>MASTER SHIPPER 
PKG HEIGHT(CM)</t>
  </si>
  <si>
    <t>MASTER SHIPPER 
PKG GROSS WEIGHT(KG)</t>
  </si>
  <si>
    <t>RETAIL UNITS 
PER MASTER SHIPPER PKG</t>
  </si>
  <si>
    <t>Annual Case Quantity</t>
  </si>
  <si>
    <t>Pallet Quantity</t>
  </si>
  <si>
    <t>Monthly Sales</t>
  </si>
  <si>
    <t>Total CBM</t>
  </si>
  <si>
    <t>Estimate Container QTY</t>
  </si>
  <si>
    <t>Revenue</t>
  </si>
  <si>
    <t>Total % of Space</t>
  </si>
  <si>
    <t>AU</t>
  </si>
  <si>
    <t>£</t>
  </si>
  <si>
    <t>Description</t>
  </si>
  <si>
    <t>Rate</t>
  </si>
  <si>
    <t>USD</t>
  </si>
  <si>
    <t>EUR</t>
  </si>
  <si>
    <t>SYDNEY</t>
  </si>
  <si>
    <t>Semi</t>
  </si>
  <si>
    <t>B - Double</t>
  </si>
  <si>
    <t>CA</t>
  </si>
  <si>
    <t>US</t>
  </si>
  <si>
    <t>To(Location)</t>
  </si>
  <si>
    <t>PER CON_1</t>
  </si>
  <si>
    <t>HAMILTON</t>
  </si>
  <si>
    <t>RUTHERGLEN</t>
  </si>
  <si>
    <t>SALAMANDER BAY</t>
  </si>
  <si>
    <t>SALE</t>
  </si>
  <si>
    <t>SARINA</t>
  </si>
  <si>
    <t>SCONE</t>
  </si>
  <si>
    <t>SEAFORTH</t>
  </si>
  <si>
    <t>SEYMOUR</t>
  </si>
  <si>
    <t>SHEPPARTON</t>
  </si>
  <si>
    <t>SINGLETON</t>
  </si>
  <si>
    <t>SMITHFIELD HEIGHTS</t>
  </si>
  <si>
    <t>SMITHTON</t>
  </si>
  <si>
    <t>SOUTHPORT</t>
  </si>
  <si>
    <t>ST ARNAUD</t>
  </si>
  <si>
    <t>ST GEORGE</t>
  </si>
  <si>
    <t>ST HELENS</t>
  </si>
  <si>
    <t>SUSSEX INLET</t>
  </si>
  <si>
    <t>SWAN HILL</t>
  </si>
  <si>
    <t>SYD CENTRAL</t>
  </si>
  <si>
    <t>TAMBORINE</t>
  </si>
  <si>
    <t>TAMWORTH</t>
  </si>
  <si>
    <t>TANNUM SANDS</t>
  </si>
  <si>
    <t>TAREE</t>
  </si>
  <si>
    <t>TENNANT CREEK</t>
  </si>
  <si>
    <t>TENTERFIELD</t>
  </si>
  <si>
    <t>TIERI</t>
  </si>
  <si>
    <t>TIN CAN BAY</t>
  </si>
  <si>
    <t>TOM PRICE</t>
  </si>
  <si>
    <t>TOODYAY</t>
  </si>
  <si>
    <t>TOOWOOMBA</t>
  </si>
  <si>
    <t>TOWNSVILLE</t>
  </si>
  <si>
    <t>TRARALGON</t>
  </si>
  <si>
    <t>TULLY</t>
  </si>
  <si>
    <t>TUMUT</t>
  </si>
  <si>
    <t>TWEED HEADS</t>
  </si>
  <si>
    <t>ULLADULLA</t>
  </si>
  <si>
    <t>VICTOR HARBOR</t>
  </si>
  <si>
    <t>WAGGA WAGGA</t>
  </si>
  <si>
    <t>WAGIN</t>
  </si>
  <si>
    <t>WANGARATTA</t>
  </si>
  <si>
    <t>WARRAGUL</t>
  </si>
  <si>
    <t>WARRNAMBOOL</t>
  </si>
  <si>
    <t>WARWICK</t>
  </si>
  <si>
    <t>WAUCHOPE</t>
  </si>
  <si>
    <t>WEIPA</t>
  </si>
  <si>
    <t>WELLINGTON</t>
  </si>
  <si>
    <t>WERRIBEE</t>
  </si>
  <si>
    <t>WHYALLA</t>
  </si>
  <si>
    <t>WOLLONGONG</t>
  </si>
  <si>
    <t>WONTHAGGI</t>
  </si>
  <si>
    <t>WOODEND</t>
  </si>
  <si>
    <t>WUDINNA</t>
  </si>
  <si>
    <t>WYONG</t>
  </si>
  <si>
    <t>YAMBA</t>
  </si>
  <si>
    <t>YARRAM</t>
  </si>
  <si>
    <t>YARRAWONGA</t>
  </si>
  <si>
    <t>YEPPOON</t>
  </si>
  <si>
    <t>YOUNG</t>
  </si>
  <si>
    <t>Load Type</t>
  </si>
  <si>
    <t>Full</t>
  </si>
  <si>
    <t>Case</t>
  </si>
  <si>
    <t>INSTRUCTIONS:</t>
  </si>
  <si>
    <t>QUOTE USD</t>
  </si>
  <si>
    <t>ITEM</t>
  </si>
  <si>
    <t>BRAND DESCRIPTION</t>
  </si>
  <si>
    <t>BRAND
DESCRIPTION</t>
  </si>
  <si>
    <t xml:space="preserve">DESTINATION </t>
  </si>
  <si>
    <t>Storage(month)</t>
  </si>
  <si>
    <t>Volume of container(CBM)</t>
  </si>
  <si>
    <t>Value</t>
  </si>
  <si>
    <t>Apply</t>
  </si>
  <si>
    <t>DG</t>
  </si>
  <si>
    <t xml:space="preserve">Reefer </t>
  </si>
  <si>
    <t>Sea Freight</t>
  </si>
  <si>
    <t>Estimated Sea Freight AVE</t>
  </si>
  <si>
    <t>Destination cost</t>
  </si>
  <si>
    <t>Truck Load</t>
  </si>
  <si>
    <t>Stage</t>
  </si>
  <si>
    <t>Warehouse</t>
  </si>
  <si>
    <t>Values</t>
  </si>
  <si>
    <t>Number of Trucks</t>
  </si>
  <si>
    <t>Destination</t>
  </si>
  <si>
    <t>% of Total Cost</t>
  </si>
  <si>
    <t>Delivery Cost per Unit</t>
  </si>
  <si>
    <t>% of Revenue</t>
  </si>
  <si>
    <t>UK</t>
  </si>
  <si>
    <t>NZ</t>
  </si>
  <si>
    <t>NL</t>
  </si>
  <si>
    <t>Toys</t>
  </si>
  <si>
    <t>DE</t>
  </si>
  <si>
    <t>DK</t>
  </si>
  <si>
    <t>$</t>
  </si>
  <si>
    <t>Rate UoM</t>
  </si>
  <si>
    <t>Inbound</t>
  </si>
  <si>
    <t>Currency</t>
  </si>
  <si>
    <t>Rascal</t>
  </si>
  <si>
    <t>Shenzhen</t>
  </si>
  <si>
    <t>Felixstowe</t>
  </si>
  <si>
    <t>40NOR/GP</t>
  </si>
  <si>
    <t>1300</t>
  </si>
  <si>
    <t>50-75 days</t>
  </si>
  <si>
    <t>Xiamen</t>
  </si>
  <si>
    <t>40HQ</t>
  </si>
  <si>
    <t>Shanghai</t>
  </si>
  <si>
    <t>Hamburg</t>
  </si>
  <si>
    <t>770</t>
  </si>
  <si>
    <t>EUR$</t>
  </si>
  <si>
    <t>53-75 days</t>
  </si>
  <si>
    <t xml:space="preserve"> Rotterdam</t>
  </si>
  <si>
    <t>1350</t>
  </si>
  <si>
    <t>49-75 days</t>
  </si>
  <si>
    <t>Toronto</t>
  </si>
  <si>
    <t>485</t>
  </si>
  <si>
    <t>US$</t>
  </si>
  <si>
    <t>40-63 days</t>
  </si>
  <si>
    <t>IRL</t>
  </si>
  <si>
    <t>Dublin</t>
  </si>
  <si>
    <t>1200</t>
  </si>
  <si>
    <t>55-90 days</t>
  </si>
  <si>
    <t>HBH</t>
  </si>
  <si>
    <t>Auckland</t>
  </si>
  <si>
    <t>35-60 days</t>
  </si>
  <si>
    <t>USLA/USLB</t>
  </si>
  <si>
    <t>1100</t>
  </si>
  <si>
    <t>28-36 days</t>
  </si>
  <si>
    <t>Beauty</t>
  </si>
  <si>
    <t>40NOR</t>
  </si>
  <si>
    <t>USLA/USLB DG</t>
  </si>
  <si>
    <t>Sydney</t>
  </si>
  <si>
    <t>40GP/40NOR</t>
  </si>
  <si>
    <t>25-38 days</t>
  </si>
  <si>
    <t>GUMI</t>
  </si>
  <si>
    <t>40HQ Refeer</t>
  </si>
  <si>
    <t>Felixstowe DG</t>
  </si>
  <si>
    <t>copenhagen</t>
  </si>
  <si>
    <t>1500</t>
  </si>
  <si>
    <t>67-83 days</t>
  </si>
  <si>
    <t>Rotterdam</t>
  </si>
  <si>
    <t>40 Refeer CTNR</t>
  </si>
  <si>
    <t>Italy</t>
  </si>
  <si>
    <t>Genoa</t>
  </si>
  <si>
    <t>55-75 days</t>
  </si>
  <si>
    <t>France</t>
  </si>
  <si>
    <t>Fos(Rhenus)</t>
  </si>
  <si>
    <t>1720</t>
  </si>
  <si>
    <t>Spain</t>
  </si>
  <si>
    <t>Barcelona</t>
  </si>
  <si>
    <t>1800</t>
  </si>
  <si>
    <t>DE/PL/NL</t>
  </si>
  <si>
    <t>Bonkers</t>
  </si>
  <si>
    <t>Xingang</t>
  </si>
  <si>
    <t>Qingdao</t>
  </si>
  <si>
    <t>33-40 days</t>
  </si>
  <si>
    <t>Houston(RJW)</t>
  </si>
  <si>
    <t>3600</t>
  </si>
  <si>
    <t>35-55 days</t>
  </si>
  <si>
    <t>Songkhla</t>
  </si>
  <si>
    <t>Dallas(RJW)</t>
  </si>
  <si>
    <t>45-65 days</t>
  </si>
  <si>
    <t>40-60 days</t>
  </si>
  <si>
    <t>Nood</t>
  </si>
  <si>
    <t>Gdansk</t>
  </si>
  <si>
    <t>3900</t>
  </si>
  <si>
    <t>Brand.1</t>
  </si>
  <si>
    <t>Country</t>
  </si>
  <si>
    <t>POL</t>
  </si>
  <si>
    <t>POD</t>
  </si>
  <si>
    <t>Estimated Sea Freight MIN USD</t>
  </si>
  <si>
    <t>Estimated Sea Freight MAX USD</t>
  </si>
  <si>
    <t>Estimated Sea Freight AVE USD</t>
  </si>
  <si>
    <t>Container type</t>
  </si>
  <si>
    <t>Destination cost value</t>
  </si>
  <si>
    <t>Original cost currency</t>
  </si>
  <si>
    <t>Destinatio cost</t>
  </si>
  <si>
    <t>Destination cost currency</t>
  </si>
  <si>
    <t>Estimate Leadtime(Door to Door)Cover 80%-90% Shipments in Mar</t>
  </si>
  <si>
    <t>1) Please provide either the SAP # only or all data for the gray columns.</t>
  </si>
  <si>
    <r>
      <t xml:space="preserve">2) Mandatory columns are colored in </t>
    </r>
    <r>
      <rPr>
        <sz val="11"/>
        <color rgb="FFC00000"/>
        <rFont val="Aptos Narrow"/>
        <family val="2"/>
        <scheme val="minor"/>
      </rPr>
      <t>RED</t>
    </r>
    <r>
      <rPr>
        <sz val="11"/>
        <color theme="1"/>
        <rFont val="Aptos Narrow"/>
        <family val="2"/>
        <scheme val="minor"/>
      </rPr>
      <t>.</t>
    </r>
  </si>
  <si>
    <t>3)Please select the estimated place of destination in the column below.</t>
  </si>
  <si>
    <t>4) Check and select the proper parameters in the support table.</t>
  </si>
  <si>
    <t>5) Click on the Refresh icon.</t>
  </si>
  <si>
    <t>6) Wait until queries update.</t>
  </si>
  <si>
    <t>7) Click on the Extract Button.</t>
  </si>
  <si>
    <t>%</t>
  </si>
  <si>
    <t>Total</t>
  </si>
  <si>
    <t>Total Weight</t>
  </si>
  <si>
    <t>Quantity</t>
  </si>
  <si>
    <t>Full Track(pallets)</t>
  </si>
  <si>
    <t>Delivery Cost</t>
  </si>
  <si>
    <t>Total Logistic Cost</t>
  </si>
  <si>
    <t>Estimated Cases per Pallet By Volume</t>
  </si>
  <si>
    <t>Storage Requirement (Pallet)</t>
  </si>
  <si>
    <t>Weight per Pallet (kgs)</t>
  </si>
  <si>
    <t>Annual Seafreight Cost</t>
  </si>
  <si>
    <t>Seafreight Cost per Unit</t>
  </si>
  <si>
    <t>Annual WH Cost</t>
  </si>
  <si>
    <t>WH Cost per Unit</t>
  </si>
  <si>
    <t>Total Logistic Cost per Unit</t>
  </si>
  <si>
    <t>Max volume per pallet(CBM)</t>
  </si>
  <si>
    <t>Pallet Weight(KG)</t>
  </si>
  <si>
    <t>WIDTH(CM)</t>
  </si>
  <si>
    <t>DEPTH(CM)</t>
  </si>
  <si>
    <t>HEIGHT(CM)</t>
  </si>
  <si>
    <t>WEIGHT(KG)</t>
  </si>
  <si>
    <t>RETAIL UNITS PER MASTER SHIPPER PKG</t>
  </si>
  <si>
    <t>ANNUAL UNITS</t>
  </si>
  <si>
    <t>BEING</t>
  </si>
  <si>
    <t>BEING-SHAMPOO,NOURISH + SHINE,354ML</t>
  </si>
  <si>
    <t>BEING-SHAMPOO,BIG HAIR,354ML</t>
  </si>
  <si>
    <t>BEING-SHAMPOO,BIG HAIR,354ML</t>
  </si>
  <si>
    <t>BEING-SHAMPOO,BYE BYE FRIZZ,354ML</t>
  </si>
  <si>
    <t>BEING-SHAMPOO,CURL POWER,354ML</t>
  </si>
  <si>
    <t>BEING-SHAMPOO,MAX MOISTURE,354ML</t>
  </si>
  <si>
    <t>BEING-CONDITIONER,NOURISH + SHINE,354ML</t>
  </si>
  <si>
    <t>BEING-CONDITIONER,BIG HAIR,354ML</t>
  </si>
  <si>
    <t>BEING-CONDITIONER,BYE BYE FRIZZ,354ML</t>
  </si>
  <si>
    <t>BEING-CONDITIONER,BYE BYE FRIZZ,354ML</t>
  </si>
  <si>
    <t>BEING-CONDITIONER,CURL POWER,354ML</t>
  </si>
  <si>
    <t>BEING-CONDITIONER,MAX MOISTURE,354ML</t>
  </si>
  <si>
    <t>DAISE</t>
  </si>
  <si>
    <t>DAISE-FRAGRANCE BODY MIST,ROSE &amp; SANDALW</t>
  </si>
  <si>
    <t>DAISE-FRAGRANCE BODY MIST,RASPBERRY &amp; MI</t>
  </si>
  <si>
    <t>DAISE-FRAGRANCE BODY MIST,BERRY &amp; MANDAR</t>
  </si>
  <si>
    <t>DAISE-FRAGRANCE BODY MIST,PEAR &amp; PATCHOU</t>
  </si>
  <si>
    <t>DAISE-FRAGRANCE BODY MIST,VANILLA &amp; COCO</t>
  </si>
  <si>
    <t>DAISE-FRAGRANCE BODY MIST,GRAPE &amp; AMBER,</t>
  </si>
  <si>
    <t>DAISE-ALL BODY SPRAY &amp; DEODORANT,HELLO,1</t>
  </si>
  <si>
    <t>DAISE-ALL BODY SPRAY &amp; DEODORANT,PEACHY,</t>
  </si>
  <si>
    <t>DAISE-ALL BODY SPRAY &amp; DEODORANT,OH SO,1</t>
  </si>
  <si>
    <t>DAISE-ALL BODY SPRAY &amp; DEODORANT,SUNNY,1</t>
  </si>
  <si>
    <t>DAISE-ALL BODY SPRAY &amp; DEODORANT,HAPPY,1</t>
  </si>
  <si>
    <t>DAISE-ALL BODY SPRAY &amp; DEODORANT,LOWKEY,</t>
  </si>
  <si>
    <t>DAISE-BATH BOMB,LOVE ME,3OZ</t>
  </si>
  <si>
    <t>DAISE-BATH BOMB,DISCO,3OZ</t>
  </si>
  <si>
    <t>DAISE-BATH BOMB,CANDY DREAM,3OZ</t>
  </si>
  <si>
    <t>DAISE-BATH BOMB,SOFT SERVE,3OZ</t>
  </si>
  <si>
    <t>DAISE-BATH BOMB,FIZZED UP,3OZ</t>
  </si>
  <si>
    <t>DAISE-BATH BOMB,BRB,3OZ</t>
  </si>
  <si>
    <t>DAISE-FOAMING BODY WASH,VANILLA,265ML</t>
  </si>
  <si>
    <t>DAISE-FOAMING BODY WASH,CHERRY,265ML</t>
  </si>
  <si>
    <t>DAISE-FOAMING BODY WASH,MELON,265ML</t>
  </si>
  <si>
    <t>DAISE-FOAMING BODY WASH,COCONUT,265ML</t>
  </si>
  <si>
    <t>DAISE-FOAMING BODY WASH,POMEGRANATE,265M</t>
  </si>
  <si>
    <t>DAISE-FOAMING BODY WASH,PINEAPPLE,265ML</t>
  </si>
  <si>
    <t>DAISE-BODY SCRUB,COCONUT,510G</t>
  </si>
  <si>
    <t>DAISE-BODY SCRUB,CHERRY,510G</t>
  </si>
  <si>
    <t>DAISE-BODY SCRUB,MELON,510G</t>
  </si>
  <si>
    <t>DAISE-BODY SCRUB,VANILLA,510G</t>
  </si>
  <si>
    <t>DAISE-BODY SCRUB,POMEGRANATE,510G</t>
  </si>
  <si>
    <t>DAISE-BODY SCRUB,PINEAPPLE,510G</t>
  </si>
  <si>
    <t>DAISE-LIP BALM,VERY VANILLA,7G</t>
  </si>
  <si>
    <t>DAISE-LIP BALM,STRAWBERRY KISS,7G</t>
  </si>
  <si>
    <t>DAISE-LIP BALM,WATERMELON CRUSH,7G</t>
  </si>
  <si>
    <t>DAISE-LIP BALM,COCONUT BREEZE,7G</t>
  </si>
  <si>
    <t>DAISE-LIP BALM,JUICY POMEGRANATE,7G</t>
  </si>
  <si>
    <t>DAISE-LIP BALM,PEPPY PEPPERMINT,7G</t>
  </si>
  <si>
    <t>Inwards Fee (LCL)</t>
  </si>
  <si>
    <t>Container Destuffing</t>
  </si>
  <si>
    <t>Unloading Pallets</t>
  </si>
  <si>
    <t>Standard Pallet Putaway</t>
  </si>
  <si>
    <t>Manual Data Per Shipment</t>
  </si>
  <si>
    <t>Manual Data Per Line</t>
  </si>
  <si>
    <t>Restack pallet</t>
  </si>
  <si>
    <t>Ancillary Charges</t>
  </si>
  <si>
    <t>Pallet Storage</t>
  </si>
  <si>
    <t>Shelving</t>
  </si>
  <si>
    <t>Order Fee</t>
  </si>
  <si>
    <t>Order Picking</t>
  </si>
  <si>
    <t xml:space="preserve">Order Picking Cost - B2C and Marketing Account </t>
  </si>
  <si>
    <t>Manual Data Per Sipment</t>
  </si>
  <si>
    <t>Transport Label</t>
  </si>
  <si>
    <t>Administration Fee</t>
  </si>
  <si>
    <t>Adhoc Labour (stocktake, rework, etc.)</t>
  </si>
  <si>
    <t>Pallet supply</t>
  </si>
  <si>
    <t>Customer Pick up</t>
  </si>
  <si>
    <t xml:space="preserve">Consumables &amp; Packaging </t>
  </si>
  <si>
    <t>EDI Changes</t>
  </si>
  <si>
    <t xml:space="preserve">per shipment </t>
  </si>
  <si>
    <t xml:space="preserve">per SKU on per PO </t>
  </si>
  <si>
    <t>per 20ft loose</t>
  </si>
  <si>
    <t xml:space="preserve"> palletised</t>
  </si>
  <si>
    <t>per 40ft loose</t>
  </si>
  <si>
    <t xml:space="preserve">per container </t>
  </si>
  <si>
    <t xml:space="preserve">Unloading Pallets  </t>
  </si>
  <si>
    <t xml:space="preserve">x1 SKU </t>
  </si>
  <si>
    <t xml:space="preserve">Per Pallet </t>
  </si>
  <si>
    <t xml:space="preserve"> </t>
  </si>
  <si>
    <t xml:space="preserve">per pallet </t>
  </si>
  <si>
    <t xml:space="preserve">per pallet (W1.2m x D1m x H1.4m) </t>
  </si>
  <si>
    <t xml:space="preserve">Per Tote </t>
  </si>
  <si>
    <t xml:space="preserve">EDI / Electronic </t>
  </si>
  <si>
    <t xml:space="preserve">per unit/each </t>
  </si>
  <si>
    <t xml:space="preserve">per inner </t>
  </si>
  <si>
    <t xml:space="preserve">per carton </t>
  </si>
  <si>
    <t xml:space="preserve">Full Pallet Picking  </t>
  </si>
  <si>
    <t xml:space="preserve">per label </t>
  </si>
  <si>
    <t xml:space="preserve">Per Month </t>
  </si>
  <si>
    <t>MGR per man hour</t>
  </si>
  <si>
    <t xml:space="preserve">MHE Operator </t>
  </si>
  <si>
    <t xml:space="preserve">Storeman </t>
  </si>
  <si>
    <t xml:space="preserve">Per Collection with Pallet </t>
  </si>
  <si>
    <t xml:space="preserve">Per Collection without a pallet  </t>
  </si>
  <si>
    <t xml:space="preserve">Which was not billed during the Integration - 7 Payment of $420.00 = $2940.00  </t>
  </si>
  <si>
    <t xml:space="preserve">Inwards Fee (LCL):per shipment </t>
  </si>
  <si>
    <t xml:space="preserve">Inwards Fee (LCL):per SKU on per PO </t>
  </si>
  <si>
    <t>Container Destuffing:per 20ft loose</t>
  </si>
  <si>
    <t>Container Destuffing: palletised</t>
  </si>
  <si>
    <t>Container Destuffing:per 40ft loose</t>
  </si>
  <si>
    <t xml:space="preserve">Container Destuffing:per container </t>
  </si>
  <si>
    <t xml:space="preserve">Unloading Pallets:Unloading Pallets  </t>
  </si>
  <si>
    <t xml:space="preserve">Standard Pallet Putaway:x1 SKU </t>
  </si>
  <si>
    <t xml:space="preserve">Standard Pallet Putaway:Per Pallet </t>
  </si>
  <si>
    <t xml:space="preserve">Manual Data Per Shipment: </t>
  </si>
  <si>
    <t xml:space="preserve">Manual Data Per Line: </t>
  </si>
  <si>
    <t xml:space="preserve">Restack pallet: </t>
  </si>
  <si>
    <t xml:space="preserve">Ancillary Charges:per pallet </t>
  </si>
  <si>
    <t xml:space="preserve">Pallet Storage:per pallet (W1.2m x D1m x H1.4m) </t>
  </si>
  <si>
    <t xml:space="preserve">Shelving:Per Tote </t>
  </si>
  <si>
    <t xml:space="preserve">Order Fee:EDI / Electronic </t>
  </si>
  <si>
    <t xml:space="preserve">Order Picking:per unit/each </t>
  </si>
  <si>
    <t xml:space="preserve">Order Picking:per inner </t>
  </si>
  <si>
    <t xml:space="preserve">Order Picking:per carton </t>
  </si>
  <si>
    <t xml:space="preserve">Order Picking:per pallet </t>
  </si>
  <si>
    <t xml:space="preserve">Order Picking Cost - B2C and Marketing Account :per unit/each </t>
  </si>
  <si>
    <t xml:space="preserve">Order Picking Cost - B2C and Marketing Account :per inner </t>
  </si>
  <si>
    <t xml:space="preserve">Order Picking Cost - B2C and Marketing Account :per carton </t>
  </si>
  <si>
    <t xml:space="preserve">Order Picking Cost - B2C and Marketing Account :Full Pallet Picking  </t>
  </si>
  <si>
    <t xml:space="preserve">Manual Data Per Sipment: </t>
  </si>
  <si>
    <t xml:space="preserve">Transport Label:per label </t>
  </si>
  <si>
    <t xml:space="preserve">Administration Fee:Per Month </t>
  </si>
  <si>
    <t>Adhoc Labour (stocktake, rework, etc.):MGR per man hour</t>
  </si>
  <si>
    <t xml:space="preserve">Adhoc Labour (stocktake, rework, etc.):MHE Operator </t>
  </si>
  <si>
    <t xml:space="preserve">Adhoc Labour (stocktake, rework, etc.):Storeman </t>
  </si>
  <si>
    <t xml:space="preserve">Pallet supply:per pallet </t>
  </si>
  <si>
    <t xml:space="preserve">Customer Pick up:Per Collection with Pallet </t>
  </si>
  <si>
    <t xml:space="preserve">Customer Pick up:Per Collection without a pallet  </t>
  </si>
  <si>
    <t xml:space="preserve">Consumables &amp; Packaging : </t>
  </si>
  <si>
    <t xml:space="preserve">EDI Changes:Which was not billed during the Integration - 7 Payment of $420.00 = $2940.00  </t>
  </si>
  <si>
    <t>ALEXANDRA</t>
  </si>
  <si>
    <t>ARROWTOWN</t>
  </si>
  <si>
    <t>ASHBURTON</t>
  </si>
  <si>
    <t>AUCKLAND</t>
  </si>
  <si>
    <t>AWANUI (KAITAIA)</t>
  </si>
  <si>
    <t>BALCLUTHA</t>
  </si>
  <si>
    <t>BEACHLANDS (AUCKLAND)</t>
  </si>
  <si>
    <t>BLENHEIM</t>
  </si>
  <si>
    <t>BOMBAY (AUCKLAND)</t>
  </si>
  <si>
    <t>BULLS</t>
  </si>
  <si>
    <t>BUNNYTHORPE</t>
  </si>
  <si>
    <t>CAMBRIDGE</t>
  </si>
  <si>
    <t>CARTERTON</t>
  </si>
  <si>
    <t>CHEVIOT</t>
  </si>
  <si>
    <t>CHRISTCHURCH</t>
  </si>
  <si>
    <t>CLEVEDON</t>
  </si>
  <si>
    <t>CLIVE</t>
  </si>
  <si>
    <t>CLYDE</t>
  </si>
  <si>
    <t>COATESVILLE (AUCKLAND)</t>
  </si>
  <si>
    <t>COROMANDEL</t>
  </si>
  <si>
    <t>CROMWELL</t>
  </si>
  <si>
    <t>DAIRY FLAT (AUCKLAND)</t>
  </si>
  <si>
    <t>DANNEVIRKE</t>
  </si>
  <si>
    <t>DARGAVILLE</t>
  </si>
  <si>
    <t>DUNEDIN</t>
  </si>
  <si>
    <t>EDGECUMBE</t>
  </si>
  <si>
    <t>EKETAHUNA</t>
  </si>
  <si>
    <t>ELTHAM</t>
  </si>
  <si>
    <t>FAIRLIE</t>
  </si>
  <si>
    <t>FEATHERSTON</t>
  </si>
  <si>
    <t>FEILDING</t>
  </si>
  <si>
    <t>FOXTON</t>
  </si>
  <si>
    <t>GERALDINE</t>
  </si>
  <si>
    <t>GISBORNE</t>
  </si>
  <si>
    <t>GLENBROOK</t>
  </si>
  <si>
    <t>GORE</t>
  </si>
  <si>
    <t>GREYMOUTH</t>
  </si>
  <si>
    <t>GREYTOWN</t>
  </si>
  <si>
    <t>HANMER SPRINGS</t>
  </si>
  <si>
    <t>HASTINGS</t>
  </si>
  <si>
    <t>HAVELOCK NORTH</t>
  </si>
  <si>
    <t>HAWERA</t>
  </si>
  <si>
    <t>HELENSVILLE</t>
  </si>
  <si>
    <t>HIKURANGI</t>
  </si>
  <si>
    <t>HOBSONVILLE (AUCKLAND)</t>
  </si>
  <si>
    <t>HOKITIKA</t>
  </si>
  <si>
    <t>HUAPAI</t>
  </si>
  <si>
    <t>HUNTERVILLE</t>
  </si>
  <si>
    <t>HUNTLY</t>
  </si>
  <si>
    <t>INGLEWOOD</t>
  </si>
  <si>
    <t>INVERCARGILL</t>
  </si>
  <si>
    <t>KAEO</t>
  </si>
  <si>
    <t>KAIAPOI</t>
  </si>
  <si>
    <t>KAIKOHE</t>
  </si>
  <si>
    <t>KAIKOURA</t>
  </si>
  <si>
    <t>KAITAIA</t>
  </si>
  <si>
    <t>KAIWAKA</t>
  </si>
  <si>
    <t>KAMO</t>
  </si>
  <si>
    <t>KAPONGA</t>
  </si>
  <si>
    <t>KAPUNI</t>
  </si>
  <si>
    <t>KARAKA (AUCKLAND)</t>
  </si>
  <si>
    <t>KAUKAPAKAPA (AUCKLAND)</t>
  </si>
  <si>
    <t>KAWAKAWA</t>
  </si>
  <si>
    <t>KAWERAU</t>
  </si>
  <si>
    <t>KERIKERI</t>
  </si>
  <si>
    <t>KIHIKIHI</t>
  </si>
  <si>
    <t>KOPEOPEO</t>
  </si>
  <si>
    <t>KUMEU</t>
  </si>
  <si>
    <t>LEESTON</t>
  </si>
  <si>
    <t>LEVIN</t>
  </si>
  <si>
    <t>LINTON</t>
  </si>
  <si>
    <t>LONGBURN</t>
  </si>
  <si>
    <t>MANAIA</t>
  </si>
  <si>
    <t>MANGAKINO</t>
  </si>
  <si>
    <t>MANGATAWHIRI</t>
  </si>
  <si>
    <t>MANGAWHAI</t>
  </si>
  <si>
    <t>MANGONUI</t>
  </si>
  <si>
    <t>MANLY (AUCKLAND)</t>
  </si>
  <si>
    <t>MARAETAI (AUCKLAND)</t>
  </si>
  <si>
    <t>MARAMARUA</t>
  </si>
  <si>
    <t>MARTINBOROUGH</t>
  </si>
  <si>
    <t>MARTON</t>
  </si>
  <si>
    <t>MASSEY (AUCKLAND)</t>
  </si>
  <si>
    <t>MASTERTON</t>
  </si>
  <si>
    <t>MATAMATA</t>
  </si>
  <si>
    <t>MAUNGATUROTO</t>
  </si>
  <si>
    <t>METHVEN</t>
  </si>
  <si>
    <t>MILTON</t>
  </si>
  <si>
    <t>MOEREWA</t>
  </si>
  <si>
    <t>MORRINSVILLE</t>
  </si>
  <si>
    <t>MOSGIEL</t>
  </si>
  <si>
    <t>MOTUEKA</t>
  </si>
  <si>
    <t>MT MAUNGANUI</t>
  </si>
  <si>
    <t>MURUPARA</t>
  </si>
  <si>
    <t>NAPIER</t>
  </si>
  <si>
    <t>NATIONAL PARK</t>
  </si>
  <si>
    <t>NELSON</t>
  </si>
  <si>
    <t>NEW PLYMOUTH</t>
  </si>
  <si>
    <t>NGARUAWAHIA</t>
  </si>
  <si>
    <t>NGATEA</t>
  </si>
  <si>
    <t>NORSEWOOD (NAPIER)</t>
  </si>
  <si>
    <t>OAKURA (NEW PLYMOUTH)</t>
  </si>
  <si>
    <t>OAMARU</t>
  </si>
  <si>
    <t>OHAKEA (PALMERSTON NORTH)</t>
  </si>
  <si>
    <t>OHAKUNE</t>
  </si>
  <si>
    <t>OHOPE</t>
  </si>
  <si>
    <t>OKATO</t>
  </si>
  <si>
    <t>OPOTIKI</t>
  </si>
  <si>
    <t>OPUA</t>
  </si>
  <si>
    <t>OPUNAKE</t>
  </si>
  <si>
    <t>OREWA</t>
  </si>
  <si>
    <t>OTAKI</t>
  </si>
  <si>
    <t>OTOROHANGA</t>
  </si>
  <si>
    <t>PAEKAKARIKI</t>
  </si>
  <si>
    <t>PAEROA</t>
  </si>
  <si>
    <t>PAHIATUA</t>
  </si>
  <si>
    <t>PAIHIA</t>
  </si>
  <si>
    <t>PALMERSTON NORTH</t>
  </si>
  <si>
    <t>PAPAMOA</t>
  </si>
  <si>
    <t>PAPAROA</t>
  </si>
  <si>
    <t>PARAKAI (AUCKLAND)</t>
  </si>
  <si>
    <t>PARAPARAUMU</t>
  </si>
  <si>
    <t>PATEA</t>
  </si>
  <si>
    <t>PATUMAHOE (AUCKLAND)</t>
  </si>
  <si>
    <t>PICTON</t>
  </si>
  <si>
    <t>PLIMMERTON (WELLINGTON)</t>
  </si>
  <si>
    <t>POKENO</t>
  </si>
  <si>
    <t>PUKEKOHE</t>
  </si>
  <si>
    <t>PUTARURU</t>
  </si>
  <si>
    <t>QUEENSTOWN</t>
  </si>
  <si>
    <t>RAETIHI</t>
  </si>
  <si>
    <t>RAGLAN</t>
  </si>
  <si>
    <t>RAKAIA</t>
  </si>
  <si>
    <t>RANFURLY</t>
  </si>
  <si>
    <t>RANGIORA</t>
  </si>
  <si>
    <t>RAUMATI (PARAPARAUMU)</t>
  </si>
  <si>
    <t>RED BEACH (AUCKLAND)</t>
  </si>
  <si>
    <t>REEFTON</t>
  </si>
  <si>
    <t>REPOROA</t>
  </si>
  <si>
    <t>RIVERHEAD (AUCKLAND)</t>
  </si>
  <si>
    <t>RIVERTON</t>
  </si>
  <si>
    <t>ROLLESTON</t>
  </si>
  <si>
    <t>RONGOTEA (PALMERSTON NORTH)</t>
  </si>
  <si>
    <t>ROTORUA</t>
  </si>
  <si>
    <t>RUAKAKA</t>
  </si>
  <si>
    <t>RUAWAI</t>
  </si>
  <si>
    <t>RUSSELL</t>
  </si>
  <si>
    <t>SHANNON</t>
  </si>
  <si>
    <t>SILVERDALE</t>
  </si>
  <si>
    <t>STANMORE BAY (AUCKLAND)</t>
  </si>
  <si>
    <t>STRATFORD</t>
  </si>
  <si>
    <t>TAIHAPE</t>
  </si>
  <si>
    <t>TAIRUA</t>
  </si>
  <si>
    <t>TAKAPAU</t>
  </si>
  <si>
    <t>TAUMARUNUI</t>
  </si>
  <si>
    <t>TAUPIRI</t>
  </si>
  <si>
    <t>TAUPO</t>
  </si>
  <si>
    <t>TAURANGA</t>
  </si>
  <si>
    <t>TAURIKO (TAURANGA)</t>
  </si>
  <si>
    <t>TE ANAU</t>
  </si>
  <si>
    <t>TE ARAI (WHANGAREI)</t>
  </si>
  <si>
    <t>TE AROHA</t>
  </si>
  <si>
    <t>TE AWAMUTU</t>
  </si>
  <si>
    <t>TE KAUWHATA</t>
  </si>
  <si>
    <t>TE KUITI</t>
  </si>
  <si>
    <t>TE PUKE</t>
  </si>
  <si>
    <t>TE RAPA (HAMILTON)</t>
  </si>
  <si>
    <t>TEMUKA</t>
  </si>
  <si>
    <t>THAMES</t>
  </si>
  <si>
    <t>TIMARU</t>
  </si>
  <si>
    <t>TIRAU</t>
  </si>
  <si>
    <t>TOKOROA</t>
  </si>
  <si>
    <t>TUAKAU</t>
  </si>
  <si>
    <t>TURANGI</t>
  </si>
  <si>
    <t>URENUI (NEW PLYMOUTH)</t>
  </si>
  <si>
    <t>WAIHEKE ISLAND</t>
  </si>
  <si>
    <t>WAIHI</t>
  </si>
  <si>
    <t>WAIKANAE</t>
  </si>
  <si>
    <t>WAIMATE</t>
  </si>
  <si>
    <t>WAIPAPA</t>
  </si>
  <si>
    <t>WAIPAWA</t>
  </si>
  <si>
    <t>WAIPU</t>
  </si>
  <si>
    <t>WAIPUKURAU</t>
  </si>
  <si>
    <t>WAIROA</t>
  </si>
  <si>
    <t>WAITARA</t>
  </si>
  <si>
    <t>WAITOA</t>
  </si>
  <si>
    <t>WAIUKU</t>
  </si>
  <si>
    <t>WANAKA</t>
  </si>
  <si>
    <t>WANGANUI</t>
  </si>
  <si>
    <t>WARKWORTH</t>
  </si>
  <si>
    <t>WASHDYKE</t>
  </si>
  <si>
    <t>WAVERLY</t>
  </si>
  <si>
    <t>WELLSFORD</t>
  </si>
  <si>
    <t>WESTPORT</t>
  </si>
  <si>
    <t>WHAKATANE</t>
  </si>
  <si>
    <t>WHANGAMATA</t>
  </si>
  <si>
    <t>WHANGAREI</t>
  </si>
  <si>
    <t>WHENUAPAI (AUCKLAND)</t>
  </si>
  <si>
    <t>WHITIANGA</t>
  </si>
  <si>
    <t>WINTON</t>
  </si>
  <si>
    <t>WOODVILLE</t>
  </si>
  <si>
    <t>OMOKOROA (MT MAUNGANUI)</t>
  </si>
  <si>
    <t>PER TONNE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</si>
</sst>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_-&quot;$&quot;* #,##0.00_-;\-&quot;$&quot;* #,##0.00_-;_-&quot;$&quot;* &quot;-&quot;??_-;_-@_-"/>
    <numFmt numFmtId="165" formatCode="_-* #,##0.00_-;\-* #,##0.00_-;_-* &quot;-&quot;??_-;_-@_-"/>
    <numFmt numFmtId="166" formatCode="_-* #,##0_-;\-* #,##0_-;_-* &quot;-&quot;??_-;_-@_-"/>
    <numFmt numFmtId="167" formatCode="&quot;$&quot;#,##0.00"/>
    <numFmt numFmtId="168" formatCode="0.0%"/>
    <numFmt numFmtId="169" formatCode="0.000"/>
    <numFmt numFmtId="170" formatCode="_ * #,##0_ ;_ * \-#,##0_ ;_ * &quot;-&quot;??_ ;_ @_ "/>
  </numFmts>
  <fonts count="13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ptos Narrow"/>
      <family val="2"/>
    </font>
    <font>
      <sz val="11"/>
      <color theme="1"/>
      <name val="Aptos Narrow"/>
      <family val="2"/>
      <scheme val="minor"/>
    </font>
    <font>
      <sz val="11"/>
      <color theme="0"/>
      <name val="Aptos Narrow"/>
      <family val="2"/>
    </font>
    <font>
      <sz val="9"/>
      <color theme="0"/>
      <name val="Aptos Narrow"/>
      <family val="2"/>
    </font>
    <font>
      <sz val="11"/>
      <name val="Aptos Narrow"/>
      <family val="2"/>
      <scheme val="minor"/>
    </font>
    <font>
      <sz val="11"/>
      <name val="Aptos Narrow"/>
      <family val="2"/>
    </font>
    <font>
      <sz val="11"/>
      <color rgb="FFC00000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22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11"/>
      <color indexed="8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165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4" fontId="3" fillId="0" borderId="0" applyFont="0" applyFill="0" applyBorder="0" applyAlignment="0" applyProtection="0"/>
  </cellStyleXfs>
  <cellXfs count="64">
    <xf numFmtId="0" fontId="0" fillId="0" borderId="0" xfId="0"/>
    <xf numFmtId="0" fontId="0" fillId="2" borderId="3" xfId="0" applyFill="1" applyBorder="1"/>
    <xf numFmtId="0" fontId="0" fillId="0" borderId="3" xfId="0" applyBorder="1"/>
    <xf numFmtId="0" fontId="0" fillId="3" borderId="0" xfId="0" applyFill="1"/>
    <xf numFmtId="1" fontId="0" fillId="0" borderId="0" xfId="0" applyNumberFormat="1"/>
    <xf numFmtId="166" fontId="4" fillId="3" borderId="12" xfId="1" applyNumberFormat="1" applyFont="1" applyFill="1" applyBorder="1" applyAlignment="1">
      <alignment horizontal="center" wrapText="1"/>
    </xf>
    <xf numFmtId="0" fontId="0" fillId="0" borderId="0" xfId="0" applyAlignment="1">
      <alignment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3" borderId="0" xfId="0" applyFill="1" applyAlignment="1">
      <alignment vertical="center"/>
    </xf>
    <xf numFmtId="168" fontId="0" fillId="0" borderId="0" xfId="2" applyNumberFormat="1" applyFont="1"/>
    <xf numFmtId="0" fontId="0" fillId="5" borderId="2" xfId="0" applyFill="1" applyBorder="1"/>
    <xf numFmtId="0" fontId="9" fillId="3" borderId="0" xfId="0" applyFont="1" applyFill="1"/>
    <xf numFmtId="0" fontId="0" fillId="4" borderId="0" xfId="0" applyFill="1"/>
    <xf numFmtId="0" fontId="0" fillId="4" borderId="8" xfId="0" applyFill="1" applyBorder="1" applyAlignment="1">
      <alignment vertical="center"/>
    </xf>
    <xf numFmtId="0" fontId="0" fillId="4" borderId="8" xfId="0" applyFill="1" applyBorder="1"/>
    <xf numFmtId="0" fontId="0" fillId="4" borderId="6" xfId="0" applyFill="1" applyBorder="1"/>
    <xf numFmtId="0" fontId="0" fillId="4" borderId="10" xfId="0" applyFill="1" applyBorder="1"/>
    <xf numFmtId="0" fontId="0" fillId="4" borderId="9" xfId="0" applyFill="1" applyBorder="1"/>
    <xf numFmtId="0" fontId="0" fillId="4" borderId="11" xfId="0" applyFill="1" applyBorder="1"/>
    <xf numFmtId="0" fontId="0" fillId="4" borderId="4" xfId="0" applyFill="1" applyBorder="1"/>
    <xf numFmtId="0" fontId="0" fillId="4" borderId="9" xfId="0" applyFill="1" applyBorder="1" applyAlignment="1">
      <alignment horizontal="left" vertical="center"/>
    </xf>
    <xf numFmtId="4" fontId="0" fillId="0" borderId="0" xfId="0" applyNumberFormat="1"/>
    <xf numFmtId="3" fontId="0" fillId="0" borderId="0" xfId="0" applyNumberFormat="1"/>
    <xf numFmtId="167" fontId="4" fillId="3" borderId="9" xfId="1" applyNumberFormat="1" applyFont="1" applyFill="1" applyBorder="1" applyAlignment="1">
      <alignment horizontal="center" wrapText="1"/>
    </xf>
    <xf numFmtId="0" fontId="6" fillId="6" borderId="13" xfId="0" applyFont="1" applyFill="1" applyBorder="1" applyAlignment="1">
      <alignment horizontal="center" vertical="center" wrapText="1"/>
    </xf>
    <xf numFmtId="0" fontId="7" fillId="6" borderId="14" xfId="0" applyFont="1" applyFill="1" applyBorder="1" applyAlignment="1">
      <alignment horizontal="center" vertical="center"/>
    </xf>
    <xf numFmtId="0" fontId="7" fillId="6" borderId="14" xfId="0" applyFont="1" applyFill="1" applyBorder="1" applyAlignment="1">
      <alignment horizontal="center" vertical="center" wrapText="1"/>
    </xf>
    <xf numFmtId="0" fontId="6" fillId="6" borderId="14" xfId="0" applyFont="1" applyFill="1" applyBorder="1" applyAlignment="1">
      <alignment horizontal="center" vertical="center" wrapText="1"/>
    </xf>
    <xf numFmtId="166" fontId="4" fillId="3" borderId="14" xfId="1" applyNumberFormat="1" applyFont="1" applyFill="1" applyBorder="1" applyAlignment="1">
      <alignment horizontal="center" vertical="center" wrapText="1"/>
    </xf>
    <xf numFmtId="0" fontId="5" fillId="3" borderId="15" xfId="0" applyFont="1" applyFill="1" applyBorder="1" applyAlignment="1">
      <alignment horizontal="center" vertical="center"/>
    </xf>
    <xf numFmtId="0" fontId="10" fillId="4" borderId="7" xfId="0" applyFont="1" applyFill="1" applyBorder="1" applyAlignment="1">
      <alignment vertical="center"/>
    </xf>
    <xf numFmtId="0" fontId="0" fillId="0" borderId="1" xfId="0" applyBorder="1"/>
    <xf numFmtId="0" fontId="2" fillId="0" borderId="1" xfId="0" applyFont="1" applyBorder="1"/>
    <xf numFmtId="0" fontId="0" fillId="0" borderId="2" xfId="0" applyBorder="1"/>
    <xf numFmtId="0" fontId="0" fillId="0" borderId="2" xfId="0" applyBorder="1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5" borderId="1" xfId="0" applyFill="1" applyBorder="1"/>
    <xf numFmtId="0" fontId="0" fillId="5" borderId="0" xfId="0" applyFill="1"/>
    <xf numFmtId="0" fontId="0" fillId="4" borderId="9" xfId="0" applyFill="1" applyBorder="1" applyAlignment="1">
      <alignment vertical="center"/>
    </xf>
    <xf numFmtId="0" fontId="0" fillId="4" borderId="5" xfId="0" applyFill="1" applyBorder="1"/>
    <xf numFmtId="0" fontId="0" fillId="5" borderId="9" xfId="0" applyFill="1" applyBorder="1"/>
    <xf numFmtId="164" fontId="0" fillId="0" borderId="0" xfId="0" applyNumberFormat="1"/>
    <xf numFmtId="169" fontId="0" fillId="0" borderId="0" xfId="0" applyNumberFormat="1"/>
    <xf numFmtId="10" fontId="0" fillId="0" borderId="0" xfId="2" applyNumberFormat="1" applyFont="1"/>
    <xf numFmtId="164" fontId="0" fillId="0" borderId="0" xfId="3" applyFont="1"/>
    <xf numFmtId="0" fontId="0" fillId="4" borderId="0" xfId="0" applyFill="1" applyAlignment="1">
      <alignment vertical="center" wrapText="1"/>
    </xf>
    <xf numFmtId="168" fontId="0" fillId="0" borderId="0" xfId="0" applyNumberFormat="1"/>
    <xf numFmtId="10" fontId="0" fillId="0" borderId="0" xfId="0" applyNumberFormat="1"/>
    <xf numFmtId="165" fontId="0" fillId="0" borderId="0" xfId="1" applyFont="1"/>
    <xf numFmtId="0" fontId="0" fillId="0" borderId="0" xfId="3" applyNumberFormat="1" applyFont="1"/>
    <xf numFmtId="2" fontId="0" fillId="0" borderId="0" xfId="3" applyNumberFormat="1" applyFont="1"/>
    <xf numFmtId="2" fontId="0" fillId="0" borderId="0" xfId="0" applyNumberFormat="1"/>
    <xf numFmtId="165" fontId="0" fillId="0" borderId="0" xfId="0" applyNumberFormat="1"/>
    <xf numFmtId="168" fontId="0" fillId="4" borderId="0" xfId="2" applyNumberFormat="1" applyFont="1" applyFill="1"/>
    <xf numFmtId="4" fontId="0" fillId="4" borderId="0" xfId="0" applyNumberFormat="1" applyFill="1"/>
    <xf numFmtId="1" fontId="0" fillId="0" borderId="0" xfId="3" applyNumberFormat="1" applyFont="1"/>
    <xf numFmtId="0" fontId="0" fillId="6" borderId="0" xfId="0" applyFill="1"/>
    <xf numFmtId="0" fontId="11" fillId="6" borderId="0" xfId="0" applyFont="1" applyFill="1" applyAlignment="1">
      <alignment horizontal="center" vertical="center"/>
    </xf>
    <xf numFmtId="2" fontId="0" fillId="0" borderId="0" xfId="0" applyNumberFormat="1" applyAlignment="1">
      <alignment horizontal="right"/>
    </xf>
    <xf numFmtId="2" fontId="11" fillId="6" borderId="0" xfId="0" applyNumberFormat="1" applyFont="1" applyFill="1" applyAlignment="1">
      <alignment horizontal="right"/>
    </xf>
    <xf numFmtId="170" fontId="6" fillId="0" borderId="0" xfId="0" applyNumberFormat="1" applyFont="1" applyAlignment="1">
      <alignment vertical="top"/>
    </xf>
    <xf numFmtId="166" fontId="4" fillId="3" borderId="10" xfId="1" applyNumberFormat="1" applyFont="1" applyFill="1" applyBorder="1" applyAlignment="1">
      <alignment horizontal="center" wrapText="1"/>
    </xf>
    <xf numFmtId="167" fontId="5" fillId="3" borderId="9" xfId="1" applyNumberFormat="1" applyFont="1" applyFill="1" applyBorder="1" applyAlignment="1">
      <alignment horizontal="center" wrapText="1"/>
    </xf>
    <xf numFmtId="0" fontId="12" fillId="0" borderId="0" xfId="0" applyFont="1"/>
    <xf numFmtId="0" fontId="0" fillId="7" borderId="0" xfId="0" applyNumberFormat="1" applyFill="1"/>
    <xf numFmtId="0" fontId="0" fillId="0" borderId="0" xfId="0" applyNumberFormat="1"/>
  </cellXfs>
  <cellStyles count="4">
    <cellStyle name="Comma" xfId="1" builtinId="3"/>
    <cellStyle name="Currency" xfId="3" builtinId="4"/>
    <cellStyle name="Normal" xfId="0" builtinId="0"/>
    <cellStyle name="Per cent" xfId="2" builtinId="5"/>
  </cellStyles>
  <dxfs count="96">
    <dxf>
      <numFmt numFmtId="168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4" formatCode="_-&quot;$&quot;* #,##0.00_-;\-&quot;$&quot;* #,##0.00_-;_-&quot;$&quot;* &quot;-&quot;??_-;_-@_-"/>
    </dxf>
    <dxf>
      <numFmt numFmtId="164" formatCode="_-&quot;$&quot;* #,##0.00_-;\-&quot;$&quot;* #,##0.00_-;_-&quot;$&quot;* &quot;-&quot;??_-;_-@_-"/>
    </dxf>
    <dxf>
      <numFmt numFmtId="164" formatCode="_-&quot;$&quot;* #,##0.00_-;\-&quot;$&quot;* #,##0.00_-;_-&quot;$&quot;* &quot;-&quot;??_-;_-@_-"/>
    </dxf>
    <dxf>
      <numFmt numFmtId="164" formatCode="_-&quot;$&quot;* #,##0.00_-;\-&quot;$&quot;* #,##0.00_-;_-&quot;$&quot;* &quot;-&quot;??_-;_-@_-"/>
    </dxf>
    <dxf>
      <numFmt numFmtId="1" formatCode="0"/>
    </dxf>
    <dxf>
      <numFmt numFmtId="4" formatCode="#,##0.00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5" formatCode="_-* #,##0.00_-;\-* #,##0.00_-;_-* &quot;-&quot;??_-;_-@_-"/>
    </dxf>
    <dxf>
      <numFmt numFmtId="2" formatCode="0.00"/>
    </dxf>
    <dxf>
      <numFmt numFmtId="4" formatCode="#,##0.00"/>
    </dxf>
    <dxf>
      <numFmt numFmtId="1" formatCode="0"/>
    </dxf>
    <dxf>
      <numFmt numFmtId="164" formatCode="_-&quot;$&quot;* #,##0.00_-;\-&quot;$&quot;* #,##0.00_-;_-&quot;$&quot;* &quot;-&quot;??_-;_-@_-"/>
    </dxf>
    <dxf>
      <numFmt numFmtId="14" formatCode="0.00%"/>
    </dxf>
    <dxf>
      <numFmt numFmtId="4" formatCode="#,##0.00"/>
    </dxf>
    <dxf>
      <numFmt numFmtId="1" formatCode="0"/>
    </dxf>
    <dxf>
      <numFmt numFmtId="164" formatCode="_-&quot;$&quot;* #,##0.00_-;\-&quot;$&quot;* #,##0.00_-;_-&quot;$&quot;* &quot;-&quot;??_-;_-@_-"/>
    </dxf>
    <dxf>
      <numFmt numFmtId="164" formatCode="_-&quot;$&quot;* #,##0.00_-;\-&quot;$&quot;* #,##0.00_-;_-&quot;$&quot;* &quot;-&quot;??_-;_-@_-"/>
    </dxf>
    <dxf>
      <numFmt numFmtId="164" formatCode="_-&quot;$&quot;* #,##0.00_-;\-&quot;$&quot;* #,##0.00_-;_-&quot;$&quot;* &quot;-&quot;??_-;_-@_-"/>
    </dxf>
    <dxf>
      <numFmt numFmtId="164" formatCode="_-&quot;$&quot;* #,##0.00_-;\-&quot;$&quot;* #,##0.00_-;_-&quot;$&quot;* &quot;-&quot;??_-;_-@_-"/>
    </dxf>
    <dxf>
      <numFmt numFmtId="164" formatCode="_-&quot;$&quot;* #,##0.00_-;\-&quot;$&quot;* #,##0.00_-;_-&quot;$&quot;* &quot;-&quot;??_-;_-@_-"/>
    </dxf>
    <dxf>
      <numFmt numFmtId="164" formatCode="_-&quot;$&quot;* #,##0.00_-;\-&quot;$&quot;* #,##0.00_-;_-&quot;$&quot;* &quot;-&quot;??_-;_-@_-"/>
    </dxf>
    <dxf>
      <numFmt numFmtId="164" formatCode="_-&quot;$&quot;* #,##0.00_-;\-&quot;$&quot;* #,##0.00_-;_-&quot;$&quot;* &quot;-&quot;??_-;_-@_-"/>
    </dxf>
    <dxf>
      <numFmt numFmtId="164" formatCode="_-&quot;$&quot;* #,##0.00_-;\-&quot;$&quot;* #,##0.00_-;_-&quot;$&quot;* &quot;-&quot;??_-;_-@_-"/>
    </dxf>
    <dxf>
      <numFmt numFmtId="168" formatCode="0.0%"/>
    </dxf>
    <dxf>
      <numFmt numFmtId="168" formatCode="0.0%"/>
    </dxf>
    <dxf>
      <numFmt numFmtId="164" formatCode="_-&quot;$&quot;* #,##0.00_-;\-&quot;$&quot;* #,##0.00_-;_-&quot;$&quot;* &quot;-&quot;??_-;_-@_-"/>
    </dxf>
    <dxf>
      <numFmt numFmtId="164" formatCode="_-&quot;$&quot;* #,##0.00_-;\-&quot;$&quot;* #,##0.00_-;_-&quot;$&quot;* &quot;-&quot;??_-;_-@_-"/>
    </dxf>
    <dxf>
      <numFmt numFmtId="3" formatCode="#,##0"/>
    </dxf>
    <dxf>
      <numFmt numFmtId="0" formatCode="General"/>
    </dxf>
    <dxf>
      <numFmt numFmtId="0" formatCode="General"/>
    </dxf>
    <dxf>
      <numFmt numFmtId="3" formatCode="#,##0"/>
    </dxf>
    <dxf>
      <numFmt numFmtId="164" formatCode="_-&quot;$&quot;* #,##0.00_-;\-&quot;$&quot;* #,##0.00_-;_-&quot;$&quot;* &quot;-&quot;??_-;_-@_-"/>
    </dxf>
    <dxf>
      <numFmt numFmtId="164" formatCode="_-&quot;$&quot;* #,##0.00_-;\-&quot;$&quot;* #,##0.00_-;_-&quot;$&quot;* &quot;-&quot;??_-;_-@_-"/>
    </dxf>
    <dxf>
      <numFmt numFmtId="168" formatCode="0.0%"/>
    </dxf>
    <dxf>
      <font>
        <color indexed="8"/>
        <name val="Calibri"/>
        <family val="2"/>
        <scheme val="none"/>
      </font>
      <alignment horizontal="general" vertical="center" textRotation="0" wrapText="0" indent="0" justifyLastLine="0" shrinkToFit="0" readingOrder="0"/>
    </dxf>
    <dxf>
      <font>
        <color indexed="8"/>
        <name val="Calibri"/>
        <family val="2"/>
        <scheme val="none"/>
      </font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center" textRotation="0" wrapText="0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ill>
        <patternFill patternType="solid">
          <fgColor indexed="64"/>
          <bgColor rgb="FFC00000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rgb="FFC00000"/>
        </patternFill>
      </fill>
    </dxf>
    <dxf>
      <fill>
        <patternFill patternType="solid">
          <fgColor indexed="64"/>
          <bgColor theme="0" tint="-0.14999847407452621"/>
        </patternFill>
      </fill>
      <border diagonalUp="0" diagonalDown="0">
        <left style="thin">
          <color indexed="64"/>
        </left>
        <right/>
        <top/>
        <bottom/>
        <vertical/>
        <horizontal/>
      </border>
    </dxf>
    <dxf>
      <fill>
        <patternFill patternType="solid">
          <fgColor indexed="64"/>
          <bgColor theme="0" tint="-0.14999847407452621"/>
        </patternFill>
      </fill>
    </dxf>
    <dxf>
      <fill>
        <patternFill patternType="solid">
          <fgColor indexed="64"/>
          <bgColor theme="0" tint="-0.14999847407452621"/>
        </patternFill>
      </fill>
    </dxf>
    <dxf>
      <fill>
        <patternFill patternType="solid">
          <fgColor indexed="64"/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Aptos Narrow"/>
        <family val="2"/>
        <scheme val="none"/>
      </font>
      <numFmt numFmtId="167" formatCode="&quot;$&quot;#,##0.00"/>
      <fill>
        <patternFill patternType="solid">
          <fgColor indexed="64"/>
          <bgColor rgb="FFC00000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6" formatCode="_-* #,##0_-;\-* #,##0_-;_-* &quot;-&quot;??_-;_-@_-"/>
      <fill>
        <patternFill patternType="solid">
          <fgColor indexed="64"/>
          <bgColor rgb="FFC00000"/>
        </patternFill>
      </fill>
      <alignment horizontal="center" vertical="bottom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color rgb="FF000000"/>
      </font>
      <numFmt numFmtId="2" formatCode="0.00"/>
      <fill>
        <patternFill patternType="solid">
          <fgColor indexed="64"/>
          <bgColor theme="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2" formatCode="0.00"/>
      <fill>
        <patternFill patternType="solid">
          <fgColor indexed="64"/>
          <bgColor theme="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2" formatCode="0.00"/>
      <fill>
        <patternFill patternType="solid">
          <fgColor indexed="64"/>
          <bgColor theme="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2" formatCode="0.00"/>
      <fill>
        <patternFill patternType="solid">
          <fgColor indexed="64"/>
          <bgColor theme="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2" formatCode="0.00"/>
      <fill>
        <patternFill patternType="solid">
          <fgColor indexed="64"/>
          <bgColor theme="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2"/>
        </patternFill>
      </fill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Table Style 1" pivot="0" count="3" xr9:uid="{A211B084-C8D9-4F0D-B639-A79FA10B168B}">
      <tableStyleElement type="wholeTable" dxfId="95"/>
      <tableStyleElement type="headerRow" dxfId="94"/>
      <tableStyleElement type="totalRow" dxfId="9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22/11/relationships/FeaturePropertyBag" Target="featurePropertyBag/featurePropertyBag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1104901</xdr:colOff>
      <xdr:row>10</xdr:row>
      <xdr:rowOff>31750</xdr:rowOff>
    </xdr:from>
    <xdr:to>
      <xdr:col>14</xdr:col>
      <xdr:colOff>587376</xdr:colOff>
      <xdr:row>12</xdr:row>
      <xdr:rowOff>95250</xdr:rowOff>
    </xdr:to>
    <xdr:sp macro="[0]!ExportTablesToNewWorkbook1" textlink="">
      <xdr:nvSpPr>
        <xdr:cNvPr id="2" name="Rectangle 1">
          <a:extLst>
            <a:ext uri="{FF2B5EF4-FFF2-40B4-BE49-F238E27FC236}">
              <a16:creationId xmlns:a16="http://schemas.microsoft.com/office/drawing/2014/main" id="{FF0DA174-F3AF-096A-658E-2B5E5D09A3F4}"/>
            </a:ext>
          </a:extLst>
        </xdr:cNvPr>
        <xdr:cNvSpPr/>
      </xdr:nvSpPr>
      <xdr:spPr>
        <a:xfrm>
          <a:off x="15649576" y="2432050"/>
          <a:ext cx="1025525" cy="444500"/>
        </a:xfrm>
        <a:prstGeom prst="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1100" b="1"/>
            <a:t>Extract</a:t>
          </a:r>
          <a:r>
            <a:rPr lang="en-NZ" sz="1100" b="1" baseline="0"/>
            <a:t> Results</a:t>
          </a:r>
          <a:endParaRPr lang="en-NZ" sz="1100" b="1"/>
        </a:p>
      </xdr:txBody>
    </xdr:sp>
    <xdr:clientData/>
  </xdr:twoCellAnchor>
  <xdr:twoCellAnchor editAs="oneCell">
    <xdr:from>
      <xdr:col>13</xdr:col>
      <xdr:colOff>117476</xdr:colOff>
      <xdr:row>9</xdr:row>
      <xdr:rowOff>31751</xdr:rowOff>
    </xdr:from>
    <xdr:to>
      <xdr:col>13</xdr:col>
      <xdr:colOff>911226</xdr:colOff>
      <xdr:row>13</xdr:row>
      <xdr:rowOff>57151</xdr:rowOff>
    </xdr:to>
    <xdr:pic macro="[0]!Refresh">
      <xdr:nvPicPr>
        <xdr:cNvPr id="4" name="Graphic 3" descr="Repeat with solid fill">
          <a:extLst>
            <a:ext uri="{FF2B5EF4-FFF2-40B4-BE49-F238E27FC236}">
              <a16:creationId xmlns:a16="http://schemas.microsoft.com/office/drawing/2014/main" id="{E18B07DC-4D67-6318-81FD-4CB0B09337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4662151" y="2241551"/>
          <a:ext cx="787400" cy="787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133349</xdr:colOff>
      <xdr:row>7</xdr:row>
      <xdr:rowOff>28575</xdr:rowOff>
    </xdr:from>
    <xdr:to>
      <xdr:col>6</xdr:col>
      <xdr:colOff>542924</xdr:colOff>
      <xdr:row>9</xdr:row>
      <xdr:rowOff>76200</xdr:rowOff>
    </xdr:to>
    <xdr:sp macro="[0]!Standard" textlink="">
      <xdr:nvSpPr>
        <xdr:cNvPr id="2" name="Rectangle 1">
          <a:extLst>
            <a:ext uri="{FF2B5EF4-FFF2-40B4-BE49-F238E27FC236}">
              <a16:creationId xmlns:a16="http://schemas.microsoft.com/office/drawing/2014/main" id="{7C6AE0CA-0B7E-8425-4EC8-2BF518566FEC}"/>
            </a:ext>
          </a:extLst>
        </xdr:cNvPr>
        <xdr:cNvSpPr/>
      </xdr:nvSpPr>
      <xdr:spPr>
        <a:xfrm>
          <a:off x="6981824" y="1362075"/>
          <a:ext cx="1628775" cy="428625"/>
        </a:xfrm>
        <a:prstGeom prst="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1100" b="1"/>
            <a:t>Standard Selection</a:t>
          </a:r>
        </a:p>
      </xdr:txBody>
    </xdr:sp>
    <xdr:clientData/>
  </xdr:twoCellAnchor>
  <xdr:twoCellAnchor>
    <xdr:from>
      <xdr:col>4</xdr:col>
      <xdr:colOff>142875</xdr:colOff>
      <xdr:row>10</xdr:row>
      <xdr:rowOff>66675</xdr:rowOff>
    </xdr:from>
    <xdr:to>
      <xdr:col>6</xdr:col>
      <xdr:colOff>552450</xdr:colOff>
      <xdr:row>12</xdr:row>
      <xdr:rowOff>114300</xdr:rowOff>
    </xdr:to>
    <xdr:sp macro="[0]!Clear_All" textlink="">
      <xdr:nvSpPr>
        <xdr:cNvPr id="3" name="Rectangle 2">
          <a:extLst>
            <a:ext uri="{FF2B5EF4-FFF2-40B4-BE49-F238E27FC236}">
              <a16:creationId xmlns:a16="http://schemas.microsoft.com/office/drawing/2014/main" id="{AAE7175B-D6D3-46DD-B8C0-4B7B290A5D7F}"/>
            </a:ext>
          </a:extLst>
        </xdr:cNvPr>
        <xdr:cNvSpPr/>
      </xdr:nvSpPr>
      <xdr:spPr>
        <a:xfrm>
          <a:off x="6991350" y="1971675"/>
          <a:ext cx="1628775" cy="428625"/>
        </a:xfrm>
        <a:prstGeom prst="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1100" b="1"/>
            <a:t>Clear ALL</a:t>
          </a:r>
        </a:p>
      </xdr:txBody>
    </xdr:sp>
    <xdr:clientData/>
  </xdr:twoCellAnchor>
  <xdr:twoCellAnchor>
    <xdr:from>
      <xdr:col>4</xdr:col>
      <xdr:colOff>152400</xdr:colOff>
      <xdr:row>0</xdr:row>
      <xdr:rowOff>171450</xdr:rowOff>
    </xdr:from>
    <xdr:to>
      <xdr:col>6</xdr:col>
      <xdr:colOff>523875</xdr:colOff>
      <xdr:row>6</xdr:row>
      <xdr:rowOff>76200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21A121A3-0F4F-EE9E-B89D-D24B8C8782B4}"/>
            </a:ext>
          </a:extLst>
        </xdr:cNvPr>
        <xdr:cNvSpPr txBox="1"/>
      </xdr:nvSpPr>
      <xdr:spPr>
        <a:xfrm>
          <a:off x="7000875" y="171450"/>
          <a:ext cx="1590675" cy="1047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NZ"/>
            <a:t>Please select Warehouse options and fill empty cells in red if necessary. Afterwards, click on the Refresh button.</a:t>
          </a:r>
          <a:endParaRPr lang="en-NZ" sz="1100"/>
        </a:p>
      </xdr:txBody>
    </xdr:sp>
    <xdr:clientData/>
  </xdr:twoCellAnchor>
  <xdr:twoCellAnchor editAs="oneCell">
    <xdr:from>
      <xdr:col>4</xdr:col>
      <xdr:colOff>495300</xdr:colOff>
      <xdr:row>14</xdr:row>
      <xdr:rowOff>9525</xdr:rowOff>
    </xdr:from>
    <xdr:to>
      <xdr:col>6</xdr:col>
      <xdr:colOff>200025</xdr:colOff>
      <xdr:row>18</xdr:row>
      <xdr:rowOff>168275</xdr:rowOff>
    </xdr:to>
    <xdr:pic macro="[0]!Refresh">
      <xdr:nvPicPr>
        <xdr:cNvPr id="5" name="Graphic 4" descr="Repeat with solid fill">
          <a:extLst>
            <a:ext uri="{FF2B5EF4-FFF2-40B4-BE49-F238E27FC236}">
              <a16:creationId xmlns:a16="http://schemas.microsoft.com/office/drawing/2014/main" id="{A6F767C6-1C4D-4D55-BA3D-99B97BB822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343775" y="2676525"/>
          <a:ext cx="917575" cy="917575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F6C2BA7D-F142-491B-ABBC-4D01ABF6EBC6}" autoFormatId="16" applyNumberFormats="0" applyBorderFormats="0" applyFontFormats="0" applyPatternFormats="0" applyAlignmentFormats="0" applyWidthHeightFormats="0">
  <queryTableRefresh nextId="11">
    <queryTableFields count="6">
      <queryTableField id="1" name="Stage" tableColumnId="1"/>
      <queryTableField id="6" name="Description" tableColumnId="6"/>
      <queryTableField id="3" name="Quantity" tableColumnId="3"/>
      <queryTableField id="7" name="Rate" tableColumnId="7"/>
      <queryTableField id="8" name="Total" tableColumnId="8"/>
      <queryTableField id="10" name="% of Total Cost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8" xr16:uid="{662AF442-CC83-4E8C-A504-84D63E8F4812}" autoFormatId="16" applyNumberFormats="0" applyBorderFormats="0" applyFontFormats="0" applyPatternFormats="0" applyAlignmentFormats="0" applyWidthHeightFormats="0">
  <queryTableRefresh nextId="24">
    <queryTableFields count="6">
      <queryTableField id="1" name="BRAND DESCRIPTION" tableColumnId="1"/>
      <queryTableField id="2" name="ITEM" tableColumnId="2"/>
      <queryTableField id="18" name="ARROWTOWN" tableColumnId="3"/>
      <queryTableField id="19" name="BOMBAY (AUCKLAND)" tableColumnId="4"/>
      <queryTableField id="20" name="ST HELENS" tableColumnId="5"/>
      <queryTableField id="13" name="TOOWOOMBA" tableColumnId="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6BBD2E69-B3B9-4A8D-8026-6FA615518A8B}" autoFormatId="16" applyNumberFormats="0" applyBorderFormats="0" applyFontFormats="0" applyPatternFormats="0" applyAlignmentFormats="0" applyWidthHeightFormats="0">
  <queryTableRefresh nextId="69">
    <queryTableFields count="30">
      <queryTableField id="55" name="BRAND_x000a_DESCRIPTION" tableColumnId="1"/>
      <queryTableField id="3" name="ITEM" tableColumnId="3"/>
      <queryTableField id="56" name="WIDTH(CM)" tableColumnId="2"/>
      <queryTableField id="57" name="DEPTH(CM)" tableColumnId="4"/>
      <queryTableField id="58" name="HEIGHT(CM)" tableColumnId="5"/>
      <queryTableField id="59" name="WEIGHT(KG)" tableColumnId="6"/>
      <queryTableField id="60" name="RETAIL UNITS PER MASTER SHIPPER PKG" tableColumnId="7"/>
      <queryTableField id="61" name="ANNUAL UNITS" tableColumnId="8"/>
      <queryTableField id="12" name="QUOTE USD" tableColumnId="12"/>
      <queryTableField id="13" name="Annual Case Quantity" tableColumnId="13"/>
      <queryTableField id="51" name="Estimated Cases per Pallet By Volume" tableColumnId="14"/>
      <queryTableField id="15" name="Pallet Quantity" tableColumnId="15"/>
      <queryTableField id="16" name="Monthly Sales" tableColumnId="16"/>
      <queryTableField id="52" name="Storage Requirement (Pallet)" tableColumnId="17"/>
      <queryTableField id="18" name="Weight per pallet (kgs)" tableColumnId="18"/>
      <queryTableField id="19" name="Total CBM" tableColumnId="19"/>
      <queryTableField id="20" name="Estimate Container QTY" tableColumnId="20"/>
      <queryTableField id="21" name="Revenue" tableColumnId="21"/>
      <queryTableField id="22" name="Total % of Space" tableColumnId="22"/>
      <queryTableField id="28" name="Total Weight" tableColumnId="28"/>
      <queryTableField id="27" name="Number of Trucks" tableColumnId="27"/>
      <queryTableField id="30" name="Annual Seafreight cost" tableColumnId="29"/>
      <queryTableField id="31" name="Seafreight cost per unit" tableColumnId="30"/>
      <queryTableField id="32" name="Annual WH cost" tableColumnId="31"/>
      <queryTableField id="33" name="WH cost per unit" tableColumnId="32"/>
      <queryTableField id="45" name="Delivery Cost" tableColumnId="23"/>
      <queryTableField id="43" name="Delivery Cost per Unit" tableColumnId="42"/>
      <queryTableField id="46" name="Total Logistic Cost" tableColumnId="24"/>
      <queryTableField id="47" name="Total Logistic Cost per unit" tableColumnId="25"/>
      <queryTableField id="42" name="% of Revenue" tableColumnId="4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1" xr16:uid="{A94AB0D9-1E6F-46D0-8C63-E055E5428310}" autoFormatId="16" applyNumberFormats="0" applyBorderFormats="0" applyFontFormats="0" applyPatternFormats="0" applyAlignmentFormats="0" applyWidthHeightFormats="0">
  <queryTableRefresh nextId="11">
    <queryTableFields count="3">
      <queryTableField id="1" name="To(Location)" tableColumnId="1"/>
      <queryTableField id="3" name="PER CON_1" tableColumnId="3"/>
      <queryTableField id="10" name="PER TONNE" tableColumnId="2"/>
    </queryTableFields>
  </queryTableRefresh>
</queryTable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783FF8C-95BC-4C19-8AA3-19EE343E4106}" name="Table10" displayName="Table10" ref="A2:I50" totalsRowShown="0" headerRowDxfId="92" headerRowBorderDxfId="91" tableBorderDxfId="90">
  <autoFilter ref="A2:I50" xr:uid="{D783FF8C-95BC-4C19-8AA3-19EE343E4106}"/>
  <tableColumns count="9">
    <tableColumn id="3" xr3:uid="{8C0D26FC-D8B5-41A8-BD03-2E92AFC7F277}" name="BRAND_x000a_DESCRIPTION" dataDxfId="89"/>
    <tableColumn id="6" xr3:uid="{76F975CA-4829-4C5B-AE97-8FE01F9B331D}" name="ITEM" dataDxfId="88"/>
    <tableColumn id="13" xr3:uid="{F7EBC377-1342-4B2D-8C3C-3E638309AE48}" name="MASTER SHIPPER _x000a_PKG WIDTH(CM)" dataDxfId="87"/>
    <tableColumn id="14" xr3:uid="{CF2A43AD-C57D-46A8-82A2-CD39BA393C06}" name="MASTER SHIPPER _x000a_PKG DEPTH(CM)" dataDxfId="86"/>
    <tableColumn id="15" xr3:uid="{259582FE-535C-4AC7-BEDC-43401EEAF9C7}" name="MASTER SHIPPER _x000a_PKG HEIGHT(CM)" dataDxfId="85"/>
    <tableColumn id="16" xr3:uid="{091A50C7-1D07-498B-BAEB-7F47FE7E5103}" name="MASTER SHIPPER _x000a_PKG GROSS WEIGHT(KG)" dataDxfId="84"/>
    <tableColumn id="5" xr3:uid="{DC74C2F9-071C-498A-812B-7E73D261AB28}" name="RETAIL UNITS _x000a_PER MASTER SHIPPER PKG" dataDxfId="83"/>
    <tableColumn id="8" xr3:uid="{60F4537D-1222-41C7-A203-6B21E96557B5}" name="Annual_x000a_Units" dataDxfId="82" dataCellStyle="Comma"/>
    <tableColumn id="18" xr3:uid="{AA678CF2-C24F-4C47-AE90-4FF0B8024E0D}" name="QUOTE USD" dataDxfId="81" dataCellStyle="Comma"/>
  </tableColumns>
  <tableStyleInfo name="Table Style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40DB4AE1-CB0F-4472-B087-C50B8E452B22}" name="Table16" displayName="Table16" ref="K11:L25" totalsRowShown="0" headerRowDxfId="80" dataDxfId="79">
  <autoFilter ref="K11:L25" xr:uid="{40DB4AE1-CB0F-4472-B087-C50B8E452B22}"/>
  <tableColumns count="2">
    <tableColumn id="1" xr3:uid="{FFE6682E-4525-4DEF-AF1B-12B612733AA6}" name="DESTINATION " dataDxfId="78"/>
    <tableColumn id="2" xr3:uid="{6E79F31D-8F2D-4724-92FE-755CF1184491}" name="%" dataDxfId="77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B733BE7-32BB-4C71-851B-EAEDBBDBFEFB}" name="Table4" displayName="Table4" ref="N15:O27" totalsRowShown="0" headerRowDxfId="76" dataDxfId="75">
  <autoFilter ref="N15:O27" xr:uid="{CB733BE7-32BB-4C71-851B-EAEDBBDBFEFB}"/>
  <tableColumns count="2">
    <tableColumn id="1" xr3:uid="{926DE0C5-E292-4888-B8A5-1AACBBA427AA}" name="Item" dataDxfId="74"/>
    <tableColumn id="2" xr3:uid="{9AD0AFB4-E00E-4521-B1D1-8FD6BFAB7BF1}" name="Value" dataDxfId="73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570EC2-4232-4313-87D2-1159E0E19652}" name="WHrate" displayName="WHrate" ref="A1:D40" totalsRowShown="0" headerRowDxfId="72">
  <autoFilter ref="A1:D40" xr:uid="{27570EC2-4232-4313-87D2-1159E0E19652}"/>
  <tableColumns count="4">
    <tableColumn id="1" xr3:uid="{06445078-A35A-404A-8B40-A0FCA128C778}" name="Description" dataDxfId="56"/>
    <tableColumn id="2" xr3:uid="{1C93E017-008B-4193-B663-CA2801096BA9}" name="Rate" dataDxfId="55"/>
    <tableColumn id="3" xr3:uid="{71130363-6D85-452A-A33C-410D7B80AAE6}" name="Apply" dataDxfId="71"/>
    <tableColumn id="4" xr3:uid="{A64991CC-CC3F-4917-B964-3F71CBF98102}" name="Values"/>
  </tableColumns>
  <tableStyleInfo name="Table Style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62C2CBF8-5A10-4918-AF6F-1C35441D11F9}" name="Card" displayName="Card" ref="A1:F16" tableType="queryTable" totalsRowCount="1">
  <autoFilter ref="A1:F15" xr:uid="{62C2CBF8-5A10-4918-AF6F-1C35441D11F9}"/>
  <tableColumns count="6">
    <tableColumn id="1" xr3:uid="{642684A6-CBB5-4B9E-B6A1-87A431FB5156}" uniqueName="1" name="Stage" queryTableFieldId="1" dataDxfId="50"/>
    <tableColumn id="6" xr3:uid="{2CBF4B0D-BDB9-4BE9-BD1B-A07C087E6286}" uniqueName="6" name="Description" queryTableFieldId="6" dataDxfId="49"/>
    <tableColumn id="3" xr3:uid="{372262EF-8A6B-4F7D-9505-F2530E01F309}" uniqueName="3" name="Quantity" queryTableFieldId="3" dataDxfId="48" totalsRowDxfId="51"/>
    <tableColumn id="7" xr3:uid="{DD68A7F5-82A9-4EC1-9444-D8F814AEE740}" uniqueName="7" name="Rate" queryTableFieldId="7" dataDxfId="47" totalsRowDxfId="52"/>
    <tableColumn id="8" xr3:uid="{B97C0E14-2DA5-4C7A-BCD5-81C719961F46}" uniqueName="8" name="Total" totalsRowFunction="custom" queryTableFieldId="8" dataDxfId="46" totalsRowDxfId="53">
      <totalsRowFormula>SUM(E2:E15)</totalsRowFormula>
    </tableColumn>
    <tableColumn id="9" xr3:uid="{537DFAB7-4B81-4397-84EA-3715FAEDC048}" uniqueName="9" name="% of Total Cost" queryTableFieldId="10" dataDxfId="45" totalsRowDxfId="54" dataCellStyle="Per cent"/>
  </tableColumns>
  <tableStyleInfo name="Table Style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673F6EB5-E198-43DD-86A9-80BE1E6D1F75}" name="Product_destination" displayName="Product_destination" ref="A1:F49" tableType="queryTable" totalsRowShown="0">
  <autoFilter ref="A1:F49" xr:uid="{673F6EB5-E198-43DD-86A9-80BE1E6D1F75}"/>
  <tableColumns count="6">
    <tableColumn id="1" xr3:uid="{F84BDB62-313A-4A0E-98E0-6DDAB997BDB3}" uniqueName="1" name="BRAND DESCRIPTION" queryTableFieldId="1"/>
    <tableColumn id="2" xr3:uid="{E7B4810F-C6C3-4DC8-8FE7-D983C076905D}" uniqueName="2" name="ITEM" queryTableFieldId="2" dataDxfId="70"/>
    <tableColumn id="3" xr3:uid="{F6CF4E37-BB66-4D35-A478-F7DDDACB1B2B}" uniqueName="3" name="ARROWTOWN" queryTableFieldId="18"/>
    <tableColumn id="4" xr3:uid="{01A57157-4EB2-452B-A70F-6948DB17BA18}" uniqueName="4" name="BOMBAY (AUCKLAND)" queryTableFieldId="19"/>
    <tableColumn id="5" xr3:uid="{37F36046-DCE7-4457-9D8E-8F227325205E}" uniqueName="5" name="ST HELENS" queryTableFieldId="20"/>
    <tableColumn id="6" xr3:uid="{23B07409-964C-4DE2-AF88-E4C2A7083177}" uniqueName="6" name="TOOWOOMBA" queryTableFieldId="13"/>
  </tableColumns>
  <tableStyleInfo name="Table Style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5597CD3-C61E-4C6A-81DA-E59FA161495A}" name="Append1" displayName="Append1" ref="A1:D40" totalsRowShown="0">
  <autoFilter ref="A1:D40" xr:uid="{15597CD3-C61E-4C6A-81DA-E59FA161495A}"/>
  <tableColumns count="4">
    <tableColumn id="1" xr3:uid="{A62366C3-2CC4-4B52-A891-98CFBAD9AC98}" name="Inbound" dataDxfId="69"/>
    <tableColumn id="2" xr3:uid="{A2316407-3212-4EF7-A0E7-F6FDF9CF03FA}" name="Rate UoM" dataDxfId="68"/>
    <tableColumn id="3" xr3:uid="{7AB4C4FC-E0EA-4E37-8EC6-A425DA7599F8}" name="Currency" dataDxfId="67"/>
    <tableColumn id="4" xr3:uid="{215E4D8A-E554-4DD0-AE99-17744FB855B7}" name="Rate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03994D9-886E-44E7-80F2-2CE42252E165}" name="Table003__Page_2_8" displayName="Table003__Page_2_8" ref="A1:C263" totalsRowShown="0">
  <autoFilter ref="A1:C263" xr:uid="{B03994D9-886E-44E7-80F2-2CE42252E165}"/>
  <tableColumns count="3">
    <tableColumn id="1" xr3:uid="{586A04DA-EC53-41FA-BD6B-32DA1CF8A499}" name="To(Location)" dataDxfId="66"/>
    <tableColumn id="3" xr3:uid="{C267B484-5BF1-4B36-B391-126AB8BBD216}" name="PER CON_1"/>
    <tableColumn id="4" xr3:uid="{DDF8F51B-EBEC-48F4-89CD-CB3DC2A8A6BE}" name="PER TONNE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B01D426-D22C-4DAF-839B-6A2D72A5CE6F}" name="seafreight_forecast" displayName="seafreight_forecast" ref="A1:M35" totalsRowShown="0">
  <autoFilter ref="A1:M35" xr:uid="{2B01D426-D22C-4DAF-839B-6A2D72A5CE6F}"/>
  <tableColumns count="13">
    <tableColumn id="1" xr3:uid="{7AD84F68-A169-4AF0-8DEE-801F26349450}" name="Brand.1" dataDxfId="65"/>
    <tableColumn id="2" xr3:uid="{2BF013A5-06BF-4D40-9C2F-8E48B9295396}" name="Country" dataDxfId="64"/>
    <tableColumn id="3" xr3:uid="{638DFD24-6A6D-406B-B067-680458B76405}" name="POL" dataDxfId="63"/>
    <tableColumn id="4" xr3:uid="{AB17D869-D727-4DDD-8C89-EE821ECDE18C}" name="POD" dataDxfId="62"/>
    <tableColumn id="5" xr3:uid="{8E8EA272-7A61-42AF-80D3-1C9C0A01069D}" name="Estimated Sea Freight MIN USD"/>
    <tableColumn id="6" xr3:uid="{D63C529B-04EB-4916-BFA5-343F4A0FC5BD}" name="Estimated Sea Freight MAX USD"/>
    <tableColumn id="7" xr3:uid="{CEF1BBCC-6610-4D89-A535-76FE53F0143E}" name="Estimated Sea Freight AVE USD"/>
    <tableColumn id="8" xr3:uid="{4ABAEB36-DD85-4AFC-8804-665C9EAF7683}" name="Container type" dataDxfId="61"/>
    <tableColumn id="9" xr3:uid="{E9FA902C-F9F9-4437-85BE-A35D34CE968E}" name="Destination cost value"/>
    <tableColumn id="10" xr3:uid="{0F93890E-CC0B-43F1-A08B-5389AE8F6597}" name="Original cost currency"/>
    <tableColumn id="11" xr3:uid="{243207C0-9F4E-4887-B29F-D63A337749B2}" name="Destinatio cost"/>
    <tableColumn id="12" xr3:uid="{5C1DC3B2-F76C-4DED-AE5E-3925A050AA9F}" name="Destination cost currency" dataDxfId="60"/>
    <tableColumn id="13" xr3:uid="{586E52F4-E192-447A-9E97-82F55DF511A3}" name="Estimate Leadtime(Door to Door)Cover 80%-90% Shipments in Mar" dataDxfId="59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3C3DAF26-BE7B-4D17-AD2E-48E438E2A6C0}" name="AU" displayName="AU" ref="A1:AD50" tableType="queryTable" totalsRowCount="1">
  <autoFilter ref="A1:AD49" xr:uid="{3C3DAF26-BE7B-4D17-AD2E-48E438E2A6C0}"/>
  <tableColumns count="30">
    <tableColumn id="1" xr3:uid="{05578B41-A01B-439C-9084-7A8CDF75F229}" uniqueName="1" name="BRAND_x000a_DESCRIPTION" queryTableFieldId="55" dataDxfId="22" dataCellStyle="Currency"/>
    <tableColumn id="3" xr3:uid="{BB787D81-FA37-48B9-AE91-AE1A456B7293}" uniqueName="3" name="ITEM" queryTableFieldId="3" dataDxfId="58"/>
    <tableColumn id="2" xr3:uid="{099E95C5-B24E-4E48-A998-EA439A18F82D}" uniqueName="2" name="WIDTH(CM)" queryTableFieldId="56" dataDxfId="21" totalsRowDxfId="23" dataCellStyle="Currency"/>
    <tableColumn id="4" xr3:uid="{26355AE5-9662-4910-81CD-9FDB6FEF1201}" uniqueName="4" name="DEPTH(CM)" queryTableFieldId="57" dataDxfId="20" totalsRowDxfId="24" dataCellStyle="Currency"/>
    <tableColumn id="5" xr3:uid="{E5EACCBC-B3FC-45E8-A9D8-1DD5410FA02B}" uniqueName="5" name="HEIGHT(CM)" queryTableFieldId="58" dataDxfId="19" totalsRowDxfId="25" dataCellStyle="Currency"/>
    <tableColumn id="6" xr3:uid="{166ABAC7-F99B-4DA3-9BC1-AF34A318000C}" uniqueName="6" name="WEIGHT(KG)" queryTableFieldId="59" dataDxfId="18" totalsRowDxfId="26" dataCellStyle="Currency"/>
    <tableColumn id="7" xr3:uid="{CFC69CAF-326B-444D-BA79-F462C10FD417}" uniqueName="7" name="RETAIL UNITS PER MASTER SHIPPER PKG" queryTableFieldId="60" dataDxfId="17" totalsRowDxfId="27" dataCellStyle="Currency"/>
    <tableColumn id="8" xr3:uid="{8FE3012C-6260-49C6-AC77-36354AC63093}" uniqueName="8" name="ANNUAL UNITS" queryTableFieldId="61" dataDxfId="16" totalsRowDxfId="28" dataCellStyle="Comma"/>
    <tableColumn id="12" xr3:uid="{E0529EB4-D046-4F5F-9A70-95A23A231430}" uniqueName="12" name="QUOTE USD" queryTableFieldId="12"/>
    <tableColumn id="13" xr3:uid="{385315A0-0A04-4008-9476-465E05B4513A}" uniqueName="13" name="Annual Case Quantity" totalsRowFunction="custom" queryTableFieldId="13">
      <totalsRowFormula>SUM(J2:J49)</totalsRowFormula>
    </tableColumn>
    <tableColumn id="14" xr3:uid="{006AEFCB-A936-4AEF-9C0C-CDA2B592F1E4}" uniqueName="14" name="Estimated Cases per Pallet By Volume" queryTableFieldId="51" dataDxfId="15" totalsRowDxfId="29" dataCellStyle="Currency"/>
    <tableColumn id="15" xr3:uid="{79CEAD43-3249-44B1-9017-661252642DCA}" uniqueName="15" name="Pallet Quantity" totalsRowFunction="custom" queryTableFieldId="15">
      <totalsRowFormula>SUM(L2:L49)</totalsRowFormula>
    </tableColumn>
    <tableColumn id="16" xr3:uid="{79DF66F3-9B26-469A-8A91-A16D2EC0C3A5}" uniqueName="16" name="Monthly Sales" totalsRowFunction="custom" queryTableFieldId="16">
      <totalsRowFormula>SUM(M2:M49)</totalsRowFormula>
    </tableColumn>
    <tableColumn id="17" xr3:uid="{A860E39D-1BC7-4D9A-9818-C1CD114605F3}" uniqueName="17" name="Storage Requirement (Pallet)" queryTableFieldId="52" dataDxfId="14" dataCellStyle="Currency"/>
    <tableColumn id="18" xr3:uid="{0458F2FB-BA29-4DA4-ACEE-D609B98EBCF0}" uniqueName="18" name="Weight per Pallet (kgs)" queryTableFieldId="18"/>
    <tableColumn id="19" xr3:uid="{0471CDB3-7F00-4CBA-B158-C7FD32F10E60}" uniqueName="19" name="Total CBM" totalsRowFunction="custom" queryTableFieldId="19" dataDxfId="13" totalsRowDxfId="30">
      <totalsRowFormula>SUM(P2:P49)</totalsRowFormula>
    </tableColumn>
    <tableColumn id="20" xr3:uid="{1B98898D-0082-40EC-A384-042C52D6E6C5}" uniqueName="20" name="Estimate Container QTY" totalsRowFunction="custom" queryTableFieldId="20" totalsRowDxfId="31">
      <totalsRowFormula>SUM(Q2:Q49)</totalsRowFormula>
    </tableColumn>
    <tableColumn id="21" xr3:uid="{CA79D92B-3050-4858-A52E-AC8909046E01}" uniqueName="21" name="Revenue" totalsRowFunction="custom" queryTableFieldId="21" dataDxfId="12" totalsRowDxfId="32" dataCellStyle="Currency">
      <totalsRowFormula>SUM(R2:R49)</totalsRowFormula>
    </tableColumn>
    <tableColumn id="22" xr3:uid="{071CFB14-D00B-4529-B8E8-D6EA4D4C5520}" uniqueName="22" name="Total % of Space" queryTableFieldId="22" dataDxfId="11" totalsRowDxfId="33" dataCellStyle="Per cent"/>
    <tableColumn id="28" xr3:uid="{2DE643E4-C8D1-4C6A-9D1E-0EA3C1CB83BE}" uniqueName="28" name="Total Weight" totalsRowFunction="custom" queryTableFieldId="28" dataDxfId="10" totalsRowDxfId="34">
      <totalsRowFormula>SUM(T2:T49)</totalsRowFormula>
    </tableColumn>
    <tableColumn id="27" xr3:uid="{B1A01D78-B130-400F-B26A-2C15B16DA51E}" uniqueName="27" name="Number of Trucks" queryTableFieldId="27" dataDxfId="9" totalsRowDxfId="35"/>
    <tableColumn id="29" xr3:uid="{E4AE9779-9F82-4D17-862F-7640DA7AED3E}" uniqueName="29" name="Annual Seafreight Cost" totalsRowFunction="custom" queryTableFieldId="30" dataDxfId="8" totalsRowDxfId="36">
      <totalsRowFormula>SUM(V2:V49)</totalsRowFormula>
    </tableColumn>
    <tableColumn id="30" xr3:uid="{28A38516-42A6-494A-A9EE-4BC8E48309A7}" uniqueName="30" name="Seafreight Cost per Unit" queryTableFieldId="31" dataDxfId="7" totalsRowDxfId="37"/>
    <tableColumn id="31" xr3:uid="{01F5312F-011E-4174-9C80-E4716CFC8C57}" uniqueName="31" name="Annual WH Cost" totalsRowFunction="custom" queryTableFieldId="32" dataDxfId="6" totalsRowDxfId="38">
      <totalsRowFormula>SUM(X2:X49)</totalsRowFormula>
    </tableColumn>
    <tableColumn id="32" xr3:uid="{25946182-31BF-46D8-93E6-C43FD86C7B71}" uniqueName="32" name="WH Cost per Unit" queryTableFieldId="33" dataDxfId="5" totalsRowDxfId="39"/>
    <tableColumn id="23" xr3:uid="{97C3EF99-7DB8-4F51-AE27-1EC72EF9D939}" uniqueName="23" name="Delivery Cost" totalsRowFunction="custom" queryTableFieldId="45" dataDxfId="4" totalsRowDxfId="40" dataCellStyle="Currency">
      <totalsRowFormula>SUM(Z2:Z49)</totalsRowFormula>
    </tableColumn>
    <tableColumn id="42" xr3:uid="{1CE7CBF6-3036-4B65-B49F-0CBBFC4AB2A2}" uniqueName="42" name="Delivery Cost per Unit" queryTableFieldId="43" dataDxfId="3" totalsRowDxfId="41"/>
    <tableColumn id="24" xr3:uid="{2B1FADBC-3AD9-4B97-814E-51915743937C}" uniqueName="24" name="Total Logistic Cost" totalsRowFunction="custom" queryTableFieldId="46" dataDxfId="2" totalsRowDxfId="42" dataCellStyle="Currency">
      <totalsRowFormula>SUM(AB2:AB49)</totalsRowFormula>
    </tableColumn>
    <tableColumn id="25" xr3:uid="{478C2A16-11B7-41F0-9A4B-64FCC95B8C0A}" uniqueName="25" name="Total Logistic Cost per Unit" queryTableFieldId="47" dataDxfId="1" totalsRowDxfId="43" dataCellStyle="Currency"/>
    <tableColumn id="41" xr3:uid="{2C1D7A41-F8B4-487F-88E9-1F21930A0F95}" uniqueName="41" name="% of Revenue" queryTableFieldId="42" dataDxfId="0" totalsRowDxfId="44" dataCellStyle="Per cent"/>
  </tableColumns>
  <tableStyleInfo name="Table Style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8F2088A-0F0E-4EE9-AE39-F96A609133B7}" name="TransportRate" displayName="TransportRate" ref="A1:C263" tableType="queryTable" totalsRowShown="0">
  <autoFilter ref="A1:C263" xr:uid="{78F2088A-0F0E-4EE9-AE39-F96A609133B7}"/>
  <tableColumns count="3">
    <tableColumn id="1" xr3:uid="{25B0DCF6-DED0-4D39-876B-AE5DA78F6050}" uniqueName="1" name="To(Location)" queryTableFieldId="1" dataDxfId="57"/>
    <tableColumn id="3" xr3:uid="{CC45190B-C58C-4013-8A74-CF6091D5A58C}" uniqueName="3" name="PER CON_1" queryTableFieldId="3"/>
    <tableColumn id="2" xr3:uid="{01724655-673E-4BC0-984F-8227BF3DE466}" uniqueName="2" name="PER TONNE" queryTableFieldId="1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9F0567-F501-4E91-B898-4F113B2CB2EE}">
  <sheetPr codeName="Sheet1"/>
  <dimension ref="A1:S241"/>
  <sheetViews>
    <sheetView topLeftCell="A2" zoomScale="70" zoomScaleNormal="70" workbookViewId="0">
      <selection activeCell="L36" sqref="L36"/>
    </sheetView>
    <sheetView topLeftCell="A26" workbookViewId="1"/>
  </sheetViews>
  <sheetFormatPr defaultColWidth="0" defaultRowHeight="14.5" x14ac:dyDescent="0.35"/>
  <cols>
    <col min="1" max="1" width="19.26953125" customWidth="1"/>
    <col min="2" max="2" width="39.1796875" customWidth="1"/>
    <col min="3" max="3" width="12.453125" customWidth="1"/>
    <col min="4" max="4" width="11.26953125" customWidth="1"/>
    <col min="5" max="5" width="13.1796875" customWidth="1"/>
    <col min="6" max="6" width="12.453125" customWidth="1"/>
    <col min="7" max="7" width="13.54296875" customWidth="1"/>
    <col min="8" max="8" width="9.1796875" customWidth="1"/>
    <col min="9" max="9" width="10.7265625" customWidth="1"/>
    <col min="10" max="10" width="3.453125" style="11" customWidth="1"/>
    <col min="11" max="11" width="15.81640625" style="11" customWidth="1"/>
    <col min="12" max="12" width="11.81640625" style="11" customWidth="1"/>
    <col min="13" max="13" width="7" style="11" customWidth="1"/>
    <col min="14" max="14" width="23.1796875" style="11" customWidth="1"/>
    <col min="15" max="15" width="9.7265625" style="11" customWidth="1"/>
    <col min="16" max="16" width="3" style="11" customWidth="1"/>
    <col min="17" max="16384" width="9.1796875" hidden="1"/>
  </cols>
  <sheetData>
    <row r="1" spans="1:19" ht="8.25" customHeight="1" thickBot="1" x14ac:dyDescent="0.4">
      <c r="A1" s="11"/>
      <c r="B1" s="11"/>
      <c r="C1" s="11"/>
      <c r="D1" s="11"/>
      <c r="E1" s="11"/>
      <c r="F1" s="11"/>
      <c r="G1" s="11"/>
      <c r="H1" s="11"/>
      <c r="I1" s="11"/>
    </row>
    <row r="2" spans="1:19" ht="112.5" customHeight="1" thickBot="1" x14ac:dyDescent="0.4">
      <c r="A2" s="23" t="s">
        <v>92</v>
      </c>
      <c r="B2" s="24" t="s">
        <v>90</v>
      </c>
      <c r="C2" s="25" t="s">
        <v>2</v>
      </c>
      <c r="D2" s="25" t="s">
        <v>3</v>
      </c>
      <c r="E2" s="25" t="s">
        <v>4</v>
      </c>
      <c r="F2" s="25" t="s">
        <v>5</v>
      </c>
      <c r="G2" s="26" t="s">
        <v>6</v>
      </c>
      <c r="H2" s="27" t="s">
        <v>1</v>
      </c>
      <c r="I2" s="28" t="s">
        <v>89</v>
      </c>
      <c r="K2" s="29" t="s">
        <v>88</v>
      </c>
      <c r="L2" s="12"/>
      <c r="M2" s="13"/>
      <c r="N2" s="13"/>
      <c r="O2" s="14"/>
    </row>
    <row r="3" spans="1:19" ht="15" customHeight="1" x14ac:dyDescent="0.35">
      <c r="A3" t="s">
        <v>233</v>
      </c>
      <c r="B3" t="s">
        <v>234</v>
      </c>
      <c r="C3" s="56">
        <v>1</v>
      </c>
      <c r="D3" s="56">
        <v>1</v>
      </c>
      <c r="E3" s="56">
        <v>37284.543325526916</v>
      </c>
      <c r="F3" s="56">
        <v>14.660000000000004</v>
      </c>
      <c r="G3" s="58">
        <v>32</v>
      </c>
      <c r="H3" s="5">
        <v>27328</v>
      </c>
      <c r="I3" s="22">
        <v>0</v>
      </c>
      <c r="K3" s="19" t="s">
        <v>203</v>
      </c>
      <c r="L3" s="43"/>
      <c r="O3" s="15"/>
    </row>
    <row r="4" spans="1:19" x14ac:dyDescent="0.35">
      <c r="A4" t="s">
        <v>233</v>
      </c>
      <c r="B4" t="s">
        <v>235</v>
      </c>
      <c r="C4" s="56">
        <v>1</v>
      </c>
      <c r="D4" s="56">
        <v>1</v>
      </c>
      <c r="E4" s="56">
        <v>36000</v>
      </c>
      <c r="F4" s="56">
        <v>14.56</v>
      </c>
      <c r="G4" s="58">
        <v>32</v>
      </c>
      <c r="H4" s="5">
        <v>8</v>
      </c>
      <c r="I4" s="22"/>
      <c r="K4" s="16" t="s">
        <v>204</v>
      </c>
      <c r="L4" s="43"/>
      <c r="O4" s="15"/>
    </row>
    <row r="5" spans="1:19" x14ac:dyDescent="0.35">
      <c r="A5" t="s">
        <v>233</v>
      </c>
      <c r="B5" t="s">
        <v>236</v>
      </c>
      <c r="C5" s="56">
        <v>1</v>
      </c>
      <c r="D5" s="56">
        <v>1</v>
      </c>
      <c r="E5" s="56">
        <v>37285.343228200363</v>
      </c>
      <c r="F5" s="56">
        <v>14.559999999999999</v>
      </c>
      <c r="G5" s="58">
        <v>32</v>
      </c>
      <c r="H5" s="5">
        <v>21560</v>
      </c>
      <c r="I5" s="22"/>
      <c r="K5" s="36" t="s">
        <v>205</v>
      </c>
      <c r="L5" s="43"/>
      <c r="O5" s="15"/>
    </row>
    <row r="6" spans="1:19" x14ac:dyDescent="0.35">
      <c r="A6" s="54" t="s">
        <v>233</v>
      </c>
      <c r="B6" s="55" t="s">
        <v>237</v>
      </c>
      <c r="C6" s="57">
        <v>1</v>
      </c>
      <c r="D6" s="57">
        <v>1</v>
      </c>
      <c r="E6" s="57">
        <v>37285.509325681494</v>
      </c>
      <c r="F6" s="57">
        <v>14.559999999999999</v>
      </c>
      <c r="G6" s="58">
        <v>32</v>
      </c>
      <c r="H6" s="5">
        <v>44608</v>
      </c>
      <c r="I6" s="22"/>
      <c r="K6" s="36" t="s">
        <v>206</v>
      </c>
      <c r="L6" s="43"/>
      <c r="O6" s="15"/>
    </row>
    <row r="7" spans="1:19" x14ac:dyDescent="0.35">
      <c r="A7" s="54" t="s">
        <v>233</v>
      </c>
      <c r="B7" s="55" t="s">
        <v>238</v>
      </c>
      <c r="C7" s="57">
        <v>1</v>
      </c>
      <c r="D7" s="57">
        <v>1</v>
      </c>
      <c r="E7" s="57">
        <v>37285.930408472021</v>
      </c>
      <c r="F7" s="57">
        <v>14.659999999999998</v>
      </c>
      <c r="G7" s="58">
        <v>32</v>
      </c>
      <c r="H7" s="5">
        <v>42304</v>
      </c>
      <c r="I7" s="22"/>
      <c r="K7" s="16" t="s">
        <v>207</v>
      </c>
      <c r="O7" s="15"/>
    </row>
    <row r="8" spans="1:19" x14ac:dyDescent="0.35">
      <c r="A8" s="54" t="s">
        <v>233</v>
      </c>
      <c r="B8" s="55" t="s">
        <v>239</v>
      </c>
      <c r="C8" s="57">
        <v>1</v>
      </c>
      <c r="D8" s="57">
        <v>1</v>
      </c>
      <c r="E8" s="57">
        <v>37281.899109792277</v>
      </c>
      <c r="F8" s="57">
        <v>14.690000000000001</v>
      </c>
      <c r="G8" s="58">
        <v>32</v>
      </c>
      <c r="H8" s="5">
        <v>21568</v>
      </c>
      <c r="I8" s="22"/>
      <c r="K8" s="16" t="s">
        <v>208</v>
      </c>
      <c r="O8" s="15"/>
      <c r="S8" t="s">
        <v>86</v>
      </c>
    </row>
    <row r="9" spans="1:19" x14ac:dyDescent="0.35">
      <c r="A9" s="54" t="s">
        <v>233</v>
      </c>
      <c r="B9" s="55" t="s">
        <v>240</v>
      </c>
      <c r="C9" s="57">
        <v>1</v>
      </c>
      <c r="D9" s="57">
        <v>1</v>
      </c>
      <c r="E9" s="57">
        <v>37282.841823056282</v>
      </c>
      <c r="F9" s="57">
        <v>14.200000000000003</v>
      </c>
      <c r="G9" s="58">
        <v>32</v>
      </c>
      <c r="H9" s="59">
        <v>23872</v>
      </c>
      <c r="I9" s="60"/>
      <c r="K9" s="37" t="s">
        <v>209</v>
      </c>
      <c r="L9" s="17"/>
      <c r="M9" s="17"/>
      <c r="N9" s="17"/>
      <c r="O9" s="18"/>
      <c r="S9" t="s">
        <v>87</v>
      </c>
    </row>
    <row r="10" spans="1:19" x14ac:dyDescent="0.35">
      <c r="A10" s="54" t="s">
        <v>233</v>
      </c>
      <c r="B10" s="55" t="s">
        <v>241</v>
      </c>
      <c r="C10" s="57">
        <v>1</v>
      </c>
      <c r="D10" s="57">
        <v>1</v>
      </c>
      <c r="E10" s="57">
        <v>37284.053156146168</v>
      </c>
      <c r="F10" s="57">
        <v>14.14</v>
      </c>
      <c r="G10" s="58">
        <v>32</v>
      </c>
      <c r="H10" s="59">
        <v>19264</v>
      </c>
      <c r="I10" s="60"/>
    </row>
    <row r="11" spans="1:19" x14ac:dyDescent="0.35">
      <c r="A11" s="54" t="s">
        <v>233</v>
      </c>
      <c r="B11" s="55" t="s">
        <v>242</v>
      </c>
      <c r="C11" s="57">
        <v>1</v>
      </c>
      <c r="D11" s="57">
        <v>1</v>
      </c>
      <c r="E11" s="57">
        <v>40000</v>
      </c>
      <c r="F11" s="57">
        <v>14.2</v>
      </c>
      <c r="G11" s="58">
        <v>32</v>
      </c>
      <c r="H11" s="59">
        <v>4</v>
      </c>
      <c r="I11" s="60"/>
      <c r="K11" s="3" t="s">
        <v>93</v>
      </c>
      <c r="L11" s="3" t="s">
        <v>210</v>
      </c>
    </row>
    <row r="12" spans="1:19" x14ac:dyDescent="0.35">
      <c r="A12" s="54" t="s">
        <v>233</v>
      </c>
      <c r="B12" s="55" t="s">
        <v>243</v>
      </c>
      <c r="C12" s="57">
        <v>1</v>
      </c>
      <c r="D12" s="57">
        <v>1</v>
      </c>
      <c r="E12" s="57">
        <v>37285.776728735029</v>
      </c>
      <c r="F12" s="57">
        <v>14.200000000000001</v>
      </c>
      <c r="G12" s="58">
        <v>32</v>
      </c>
      <c r="H12" s="59">
        <v>45756</v>
      </c>
      <c r="I12" s="60"/>
      <c r="K12" s="35" t="s">
        <v>42</v>
      </c>
      <c r="L12" s="38">
        <v>0.03</v>
      </c>
    </row>
    <row r="13" spans="1:19" x14ac:dyDescent="0.35">
      <c r="A13" s="54" t="s">
        <v>233</v>
      </c>
      <c r="B13" s="55" t="s">
        <v>244</v>
      </c>
      <c r="C13" s="57">
        <v>1</v>
      </c>
      <c r="D13" s="57">
        <v>1</v>
      </c>
      <c r="E13" s="57">
        <v>37285.509325681494</v>
      </c>
      <c r="F13" s="57">
        <v>14.200000000000005</v>
      </c>
      <c r="G13" s="58">
        <v>32</v>
      </c>
      <c r="H13" s="59">
        <v>44608</v>
      </c>
      <c r="I13" s="60"/>
      <c r="K13" s="35" t="s">
        <v>366</v>
      </c>
      <c r="L13" s="38">
        <v>0.74</v>
      </c>
    </row>
    <row r="14" spans="1:19" x14ac:dyDescent="0.35">
      <c r="A14" s="54" t="s">
        <v>233</v>
      </c>
      <c r="B14" s="55" t="s">
        <v>245</v>
      </c>
      <c r="C14" s="57">
        <v>1</v>
      </c>
      <c r="D14" s="57">
        <v>1</v>
      </c>
      <c r="E14" s="57">
        <v>37281.690140845058</v>
      </c>
      <c r="F14" s="57">
        <v>14.200000000000003</v>
      </c>
      <c r="G14" s="58">
        <v>32</v>
      </c>
      <c r="H14" s="59">
        <v>22720</v>
      </c>
      <c r="I14" s="60"/>
      <c r="K14" s="35" t="s">
        <v>56</v>
      </c>
      <c r="L14" s="38">
        <v>0.15</v>
      </c>
      <c r="S14" s="1" t="s">
        <v>21</v>
      </c>
    </row>
    <row r="15" spans="1:19" x14ac:dyDescent="0.35">
      <c r="A15" s="54" t="s">
        <v>246</v>
      </c>
      <c r="B15" s="55" t="s">
        <v>247</v>
      </c>
      <c r="C15" s="57">
        <v>1</v>
      </c>
      <c r="D15" s="57">
        <v>1</v>
      </c>
      <c r="E15" s="57">
        <v>49556.701030927827</v>
      </c>
      <c r="F15" s="57">
        <v>15.21</v>
      </c>
      <c r="G15" s="58">
        <v>84</v>
      </c>
      <c r="H15" s="59">
        <v>8148</v>
      </c>
      <c r="I15" s="60"/>
      <c r="K15" s="35" t="s">
        <v>373</v>
      </c>
      <c r="L15" s="38">
        <v>0.08</v>
      </c>
      <c r="N15" s="3" t="s">
        <v>0</v>
      </c>
      <c r="O15" s="3" t="s">
        <v>96</v>
      </c>
      <c r="S15" s="2" t="s">
        <v>22</v>
      </c>
    </row>
    <row r="16" spans="1:19" x14ac:dyDescent="0.35">
      <c r="A16" s="54" t="s">
        <v>246</v>
      </c>
      <c r="B16" s="55" t="s">
        <v>248</v>
      </c>
      <c r="C16" s="57">
        <v>1</v>
      </c>
      <c r="D16" s="57">
        <v>1</v>
      </c>
      <c r="E16" s="57">
        <v>49560</v>
      </c>
      <c r="F16" s="57">
        <v>15.21</v>
      </c>
      <c r="G16" s="58">
        <v>84</v>
      </c>
      <c r="H16" s="59">
        <v>2100</v>
      </c>
      <c r="I16" s="60"/>
      <c r="K16" s="35"/>
      <c r="L16" s="38"/>
      <c r="N16" s="30" t="s">
        <v>18</v>
      </c>
      <c r="O16" s="30">
        <v>1.47</v>
      </c>
    </row>
    <row r="17" spans="1:15" x14ac:dyDescent="0.35">
      <c r="A17" s="54" t="s">
        <v>246</v>
      </c>
      <c r="B17" s="55" t="s">
        <v>249</v>
      </c>
      <c r="C17" s="57">
        <v>1</v>
      </c>
      <c r="D17" s="57">
        <v>1</v>
      </c>
      <c r="E17" s="57">
        <v>49556.701030927827</v>
      </c>
      <c r="F17" s="57">
        <v>15.21</v>
      </c>
      <c r="G17" s="58">
        <v>84</v>
      </c>
      <c r="H17" s="59">
        <v>8148</v>
      </c>
      <c r="I17" s="60"/>
      <c r="K17" s="35"/>
      <c r="L17" s="38"/>
      <c r="N17" s="31" t="s">
        <v>15</v>
      </c>
      <c r="O17" s="30">
        <v>1.94</v>
      </c>
    </row>
    <row r="18" spans="1:15" x14ac:dyDescent="0.35">
      <c r="A18" s="54" t="s">
        <v>246</v>
      </c>
      <c r="B18" s="55" t="s">
        <v>250</v>
      </c>
      <c r="C18" s="57">
        <v>1</v>
      </c>
      <c r="D18" s="57">
        <v>1</v>
      </c>
      <c r="E18" s="57">
        <v>50000</v>
      </c>
      <c r="F18" s="57">
        <v>15.21</v>
      </c>
      <c r="G18" s="58">
        <v>84</v>
      </c>
      <c r="H18" s="59">
        <v>84</v>
      </c>
      <c r="I18" s="60"/>
      <c r="K18" s="35"/>
      <c r="L18" s="38"/>
      <c r="N18" s="31" t="s">
        <v>19</v>
      </c>
      <c r="O18" s="30">
        <v>1.62</v>
      </c>
    </row>
    <row r="19" spans="1:15" x14ac:dyDescent="0.35">
      <c r="A19" s="54" t="s">
        <v>246</v>
      </c>
      <c r="B19" s="55" t="s">
        <v>251</v>
      </c>
      <c r="C19" s="57">
        <v>1</v>
      </c>
      <c r="D19" s="57">
        <v>1</v>
      </c>
      <c r="E19" s="57">
        <v>49542.857142857145</v>
      </c>
      <c r="F19" s="57">
        <v>15.21</v>
      </c>
      <c r="G19" s="58">
        <v>84</v>
      </c>
      <c r="H19" s="59">
        <v>8820</v>
      </c>
      <c r="I19" s="60"/>
      <c r="K19" s="35"/>
      <c r="L19" s="38"/>
      <c r="N19" s="30" t="s">
        <v>94</v>
      </c>
      <c r="O19" s="30">
        <v>3</v>
      </c>
    </row>
    <row r="20" spans="1:15" x14ac:dyDescent="0.35">
      <c r="A20" s="54" t="s">
        <v>246</v>
      </c>
      <c r="B20" s="55" t="s">
        <v>252</v>
      </c>
      <c r="C20" s="57">
        <v>1</v>
      </c>
      <c r="D20" s="57">
        <v>1</v>
      </c>
      <c r="E20" s="57">
        <v>50000</v>
      </c>
      <c r="F20" s="57">
        <v>15.21</v>
      </c>
      <c r="G20" s="58">
        <v>84</v>
      </c>
      <c r="H20" s="59">
        <v>84</v>
      </c>
      <c r="I20" s="60"/>
      <c r="K20" s="35"/>
      <c r="L20" s="38"/>
      <c r="N20" s="30" t="s">
        <v>95</v>
      </c>
      <c r="O20" s="30">
        <v>66</v>
      </c>
    </row>
    <row r="21" spans="1:15" x14ac:dyDescent="0.35">
      <c r="A21" s="54" t="s">
        <v>246</v>
      </c>
      <c r="B21" s="55" t="s">
        <v>253</v>
      </c>
      <c r="C21" s="57">
        <v>1</v>
      </c>
      <c r="D21" s="57">
        <v>1</v>
      </c>
      <c r="E21" s="57">
        <v>40082.474226804123</v>
      </c>
      <c r="F21" s="57">
        <v>10.65</v>
      </c>
      <c r="G21" s="58">
        <v>70</v>
      </c>
      <c r="H21" s="59">
        <v>6790</v>
      </c>
      <c r="I21" s="60"/>
      <c r="K21" s="35"/>
      <c r="L21" s="38"/>
      <c r="N21" s="30" t="s">
        <v>214</v>
      </c>
      <c r="O21" s="30">
        <v>24</v>
      </c>
    </row>
    <row r="22" spans="1:15" x14ac:dyDescent="0.35">
      <c r="A22" s="54" t="s">
        <v>246</v>
      </c>
      <c r="B22" s="55" t="s">
        <v>254</v>
      </c>
      <c r="C22" s="57">
        <v>1</v>
      </c>
      <c r="D22" s="57">
        <v>1</v>
      </c>
      <c r="E22" s="57">
        <v>40082.474226804123</v>
      </c>
      <c r="F22" s="57">
        <v>10.65</v>
      </c>
      <c r="G22" s="58">
        <v>70</v>
      </c>
      <c r="H22" s="59">
        <v>6790</v>
      </c>
      <c r="I22" s="60"/>
      <c r="K22" s="35"/>
      <c r="L22" s="38"/>
      <c r="N22" s="30" t="s">
        <v>85</v>
      </c>
      <c r="O22" s="34" t="s">
        <v>86</v>
      </c>
    </row>
    <row r="23" spans="1:15" x14ac:dyDescent="0.35">
      <c r="A23" s="54" t="s">
        <v>246</v>
      </c>
      <c r="B23" s="55" t="s">
        <v>255</v>
      </c>
      <c r="C23" s="57">
        <v>1</v>
      </c>
      <c r="D23" s="57">
        <v>1</v>
      </c>
      <c r="E23" s="57">
        <v>40000</v>
      </c>
      <c r="F23" s="57">
        <v>10.65</v>
      </c>
      <c r="G23" s="58">
        <v>70</v>
      </c>
      <c r="H23" s="59">
        <v>70</v>
      </c>
      <c r="I23" s="60"/>
      <c r="K23" s="35"/>
      <c r="L23" s="38"/>
      <c r="N23" s="32" t="s">
        <v>98</v>
      </c>
      <c r="O23" s="33" t="b">
        <v>0</v>
      </c>
    </row>
    <row r="24" spans="1:15" x14ac:dyDescent="0.35">
      <c r="A24" s="54" t="s">
        <v>246</v>
      </c>
      <c r="B24" s="55" t="s">
        <v>256</v>
      </c>
      <c r="C24" s="57">
        <v>1</v>
      </c>
      <c r="D24" s="57">
        <v>1</v>
      </c>
      <c r="E24" s="57">
        <v>40082.474226804123</v>
      </c>
      <c r="F24" s="57">
        <v>10.65</v>
      </c>
      <c r="G24" s="58">
        <v>70</v>
      </c>
      <c r="H24" s="59">
        <v>6790</v>
      </c>
      <c r="I24" s="60"/>
      <c r="K24" s="35"/>
      <c r="L24" s="38"/>
      <c r="N24" s="32" t="s">
        <v>99</v>
      </c>
      <c r="O24" s="33" t="b">
        <v>0</v>
      </c>
    </row>
    <row r="25" spans="1:15" x14ac:dyDescent="0.35">
      <c r="A25" s="54" t="s">
        <v>246</v>
      </c>
      <c r="B25" s="55" t="s">
        <v>257</v>
      </c>
      <c r="C25" s="57">
        <v>1</v>
      </c>
      <c r="D25" s="57">
        <v>1</v>
      </c>
      <c r="E25" s="57">
        <v>40000</v>
      </c>
      <c r="F25" s="57">
        <v>10.65</v>
      </c>
      <c r="G25" s="58">
        <v>70</v>
      </c>
      <c r="H25" s="59">
        <v>70</v>
      </c>
      <c r="I25" s="60"/>
      <c r="K25" s="35"/>
      <c r="L25" s="38"/>
      <c r="N25" s="32" t="s">
        <v>103</v>
      </c>
      <c r="O25" s="9" t="s">
        <v>21</v>
      </c>
    </row>
    <row r="26" spans="1:15" s="11" customFormat="1" x14ac:dyDescent="0.35">
      <c r="A26" s="54" t="s">
        <v>246</v>
      </c>
      <c r="B26" s="55" t="s">
        <v>258</v>
      </c>
      <c r="C26" s="57">
        <v>1</v>
      </c>
      <c r="D26" s="57">
        <v>1</v>
      </c>
      <c r="E26" s="57">
        <v>40082.474226804123</v>
      </c>
      <c r="F26" s="57">
        <v>10.65</v>
      </c>
      <c r="G26" s="58">
        <v>70</v>
      </c>
      <c r="H26" s="59">
        <v>6790</v>
      </c>
      <c r="I26" s="60"/>
      <c r="N26" s="32" t="s">
        <v>226</v>
      </c>
      <c r="O26" s="32">
        <v>0</v>
      </c>
    </row>
    <row r="27" spans="1:15" s="11" customFormat="1" x14ac:dyDescent="0.35">
      <c r="A27" s="54" t="s">
        <v>246</v>
      </c>
      <c r="B27" s="55" t="s">
        <v>259</v>
      </c>
      <c r="C27" s="57">
        <v>1</v>
      </c>
      <c r="D27" s="57">
        <v>1</v>
      </c>
      <c r="E27" s="57">
        <v>52000</v>
      </c>
      <c r="F27" s="57">
        <v>10.4</v>
      </c>
      <c r="G27" s="58">
        <v>72</v>
      </c>
      <c r="H27" s="59">
        <v>72</v>
      </c>
      <c r="I27" s="60"/>
      <c r="N27" s="32" t="s">
        <v>225</v>
      </c>
      <c r="O27" s="32">
        <v>1.55</v>
      </c>
    </row>
    <row r="28" spans="1:15" s="11" customFormat="1" x14ac:dyDescent="0.35">
      <c r="A28" s="54" t="s">
        <v>246</v>
      </c>
      <c r="B28" s="55" t="s">
        <v>260</v>
      </c>
      <c r="C28" s="57">
        <v>1</v>
      </c>
      <c r="D28" s="57">
        <v>1</v>
      </c>
      <c r="E28" s="57">
        <v>52000</v>
      </c>
      <c r="F28" s="57">
        <v>10.4</v>
      </c>
      <c r="G28" s="58">
        <v>72</v>
      </c>
      <c r="H28" s="59">
        <v>72</v>
      </c>
      <c r="I28" s="60"/>
    </row>
    <row r="29" spans="1:15" s="11" customFormat="1" x14ac:dyDescent="0.35">
      <c r="A29" s="54" t="s">
        <v>246</v>
      </c>
      <c r="B29" s="55" t="s">
        <v>261</v>
      </c>
      <c r="C29" s="57">
        <v>1</v>
      </c>
      <c r="D29" s="57">
        <v>1</v>
      </c>
      <c r="E29" s="57">
        <v>52000</v>
      </c>
      <c r="F29" s="57">
        <v>10.4</v>
      </c>
      <c r="G29" s="58">
        <v>72</v>
      </c>
      <c r="H29" s="59">
        <v>72</v>
      </c>
      <c r="I29" s="60"/>
    </row>
    <row r="30" spans="1:15" s="11" customFormat="1" x14ac:dyDescent="0.35">
      <c r="A30" s="54" t="s">
        <v>246</v>
      </c>
      <c r="B30" s="55" t="s">
        <v>262</v>
      </c>
      <c r="C30" s="57">
        <v>1</v>
      </c>
      <c r="D30" s="57">
        <v>1</v>
      </c>
      <c r="E30" s="57">
        <v>52000</v>
      </c>
      <c r="F30" s="57">
        <v>10.4</v>
      </c>
      <c r="G30" s="58">
        <v>72</v>
      </c>
      <c r="H30" s="59">
        <v>72</v>
      </c>
      <c r="I30" s="60"/>
    </row>
    <row r="31" spans="1:15" s="11" customFormat="1" x14ac:dyDescent="0.35">
      <c r="A31" s="54" t="s">
        <v>246</v>
      </c>
      <c r="B31" s="55" t="s">
        <v>263</v>
      </c>
      <c r="C31" s="57">
        <v>1</v>
      </c>
      <c r="D31" s="57">
        <v>1</v>
      </c>
      <c r="E31" s="57">
        <v>52000</v>
      </c>
      <c r="F31" s="57">
        <v>10.4</v>
      </c>
      <c r="G31" s="58">
        <v>72</v>
      </c>
      <c r="H31" s="59">
        <v>72</v>
      </c>
      <c r="I31" s="60"/>
    </row>
    <row r="32" spans="1:15" s="11" customFormat="1" x14ac:dyDescent="0.35">
      <c r="A32" s="54" t="s">
        <v>246</v>
      </c>
      <c r="B32" s="55" t="s">
        <v>264</v>
      </c>
      <c r="C32" s="57">
        <v>1</v>
      </c>
      <c r="D32" s="57">
        <v>1</v>
      </c>
      <c r="E32" s="57">
        <v>52000</v>
      </c>
      <c r="F32" s="57">
        <v>10.4</v>
      </c>
      <c r="G32" s="58">
        <v>72</v>
      </c>
      <c r="H32" s="59">
        <v>72</v>
      </c>
      <c r="I32" s="60"/>
    </row>
    <row r="33" spans="1:9" s="11" customFormat="1" x14ac:dyDescent="0.35">
      <c r="A33" s="54" t="s">
        <v>246</v>
      </c>
      <c r="B33" s="55" t="s">
        <v>265</v>
      </c>
      <c r="C33" s="57">
        <v>1</v>
      </c>
      <c r="D33" s="57">
        <v>1</v>
      </c>
      <c r="E33" s="57">
        <v>37060.377358490565</v>
      </c>
      <c r="F33" s="57">
        <v>13.790000000000001</v>
      </c>
      <c r="G33" s="58">
        <v>40</v>
      </c>
      <c r="H33" s="59">
        <v>10600</v>
      </c>
      <c r="I33" s="60"/>
    </row>
    <row r="34" spans="1:9" s="11" customFormat="1" x14ac:dyDescent="0.35">
      <c r="A34" s="54" t="s">
        <v>246</v>
      </c>
      <c r="B34" s="55" t="s">
        <v>266</v>
      </c>
      <c r="C34" s="57">
        <v>1</v>
      </c>
      <c r="D34" s="57">
        <v>1</v>
      </c>
      <c r="E34" s="57">
        <v>37000</v>
      </c>
      <c r="F34" s="57">
        <v>13.79</v>
      </c>
      <c r="G34" s="58">
        <v>40</v>
      </c>
      <c r="H34" s="59">
        <v>40</v>
      </c>
      <c r="I34" s="60"/>
    </row>
    <row r="35" spans="1:9" s="11" customFormat="1" x14ac:dyDescent="0.35">
      <c r="A35" s="54" t="s">
        <v>246</v>
      </c>
      <c r="B35" s="55" t="s">
        <v>267</v>
      </c>
      <c r="C35" s="57">
        <v>1</v>
      </c>
      <c r="D35" s="57">
        <v>1</v>
      </c>
      <c r="E35" s="57">
        <v>37000</v>
      </c>
      <c r="F35" s="57">
        <v>13.79</v>
      </c>
      <c r="G35" s="58">
        <v>40</v>
      </c>
      <c r="H35" s="59">
        <v>40</v>
      </c>
      <c r="I35" s="60"/>
    </row>
    <row r="36" spans="1:9" s="11" customFormat="1" x14ac:dyDescent="0.35">
      <c r="A36" s="54" t="s">
        <v>246</v>
      </c>
      <c r="B36" s="55" t="s">
        <v>268</v>
      </c>
      <c r="C36" s="57">
        <v>1</v>
      </c>
      <c r="D36" s="57">
        <v>1</v>
      </c>
      <c r="E36" s="57">
        <v>37060.702875399358</v>
      </c>
      <c r="F36" s="57">
        <v>13.790000000000001</v>
      </c>
      <c r="G36" s="58">
        <v>40</v>
      </c>
      <c r="H36" s="59">
        <v>12520</v>
      </c>
      <c r="I36" s="60"/>
    </row>
    <row r="37" spans="1:9" s="11" customFormat="1" x14ac:dyDescent="0.35">
      <c r="A37" s="54" t="s">
        <v>246</v>
      </c>
      <c r="B37" s="55" t="s">
        <v>269</v>
      </c>
      <c r="C37" s="57">
        <v>1</v>
      </c>
      <c r="D37" s="57">
        <v>1</v>
      </c>
      <c r="E37" s="57">
        <v>37000</v>
      </c>
      <c r="F37" s="57">
        <v>13.79</v>
      </c>
      <c r="G37" s="58">
        <v>40</v>
      </c>
      <c r="H37" s="59">
        <v>40</v>
      </c>
      <c r="I37" s="60"/>
    </row>
    <row r="38" spans="1:9" s="11" customFormat="1" x14ac:dyDescent="0.35">
      <c r="A38" s="54" t="s">
        <v>246</v>
      </c>
      <c r="B38" s="55" t="s">
        <v>270</v>
      </c>
      <c r="C38" s="57">
        <v>1</v>
      </c>
      <c r="D38" s="57">
        <v>1</v>
      </c>
      <c r="E38" s="57">
        <v>37058.171745152358</v>
      </c>
      <c r="F38" s="57">
        <v>13.790000000000001</v>
      </c>
      <c r="G38" s="58">
        <v>40</v>
      </c>
      <c r="H38" s="59">
        <v>14440</v>
      </c>
      <c r="I38" s="60"/>
    </row>
    <row r="39" spans="1:9" s="11" customFormat="1" x14ac:dyDescent="0.35">
      <c r="A39" s="54" t="s">
        <v>246</v>
      </c>
      <c r="B39" s="55" t="s">
        <v>271</v>
      </c>
      <c r="C39" s="57">
        <v>1</v>
      </c>
      <c r="D39" s="57">
        <v>1</v>
      </c>
      <c r="E39" s="57">
        <v>30181.818181818177</v>
      </c>
      <c r="F39" s="57">
        <v>14.950000000000001</v>
      </c>
      <c r="G39" s="58">
        <v>24</v>
      </c>
      <c r="H39" s="59">
        <v>12144</v>
      </c>
      <c r="I39" s="60"/>
    </row>
    <row r="40" spans="1:9" s="11" customFormat="1" x14ac:dyDescent="0.35">
      <c r="A40" s="54" t="s">
        <v>246</v>
      </c>
      <c r="B40" s="55" t="s">
        <v>272</v>
      </c>
      <c r="C40" s="57">
        <v>1</v>
      </c>
      <c r="D40" s="57">
        <v>1</v>
      </c>
      <c r="E40" s="57">
        <v>30183.937823834196</v>
      </c>
      <c r="F40" s="57">
        <v>14.950000000000001</v>
      </c>
      <c r="G40" s="58">
        <v>24</v>
      </c>
      <c r="H40" s="59">
        <v>9264</v>
      </c>
      <c r="I40" s="60"/>
    </row>
    <row r="41" spans="1:9" s="11" customFormat="1" x14ac:dyDescent="0.35">
      <c r="A41" s="54" t="s">
        <v>246</v>
      </c>
      <c r="B41" s="55" t="s">
        <v>273</v>
      </c>
      <c r="C41" s="57">
        <v>1</v>
      </c>
      <c r="D41" s="57">
        <v>1</v>
      </c>
      <c r="E41" s="57">
        <v>30000</v>
      </c>
      <c r="F41" s="57">
        <v>14.95</v>
      </c>
      <c r="G41" s="58">
        <v>24</v>
      </c>
      <c r="H41" s="59">
        <v>48</v>
      </c>
      <c r="I41" s="60"/>
    </row>
    <row r="42" spans="1:9" s="11" customFormat="1" x14ac:dyDescent="0.35">
      <c r="A42" s="54" t="s">
        <v>246</v>
      </c>
      <c r="B42" s="55" t="s">
        <v>274</v>
      </c>
      <c r="C42" s="57">
        <v>1</v>
      </c>
      <c r="D42" s="57">
        <v>1</v>
      </c>
      <c r="E42" s="57">
        <v>30183.706070287539</v>
      </c>
      <c r="F42" s="57">
        <v>14.950000000000001</v>
      </c>
      <c r="G42" s="58">
        <v>24</v>
      </c>
      <c r="H42" s="59">
        <v>15024</v>
      </c>
      <c r="I42" s="60"/>
    </row>
    <row r="43" spans="1:9" s="11" customFormat="1" x14ac:dyDescent="0.35">
      <c r="A43" s="54" t="s">
        <v>246</v>
      </c>
      <c r="B43" s="55" t="s">
        <v>275</v>
      </c>
      <c r="C43" s="57">
        <v>1</v>
      </c>
      <c r="D43" s="57">
        <v>1</v>
      </c>
      <c r="E43" s="57">
        <v>30000</v>
      </c>
      <c r="F43" s="57">
        <v>14.95</v>
      </c>
      <c r="G43" s="58">
        <v>24</v>
      </c>
      <c r="H43" s="59">
        <v>48</v>
      </c>
      <c r="I43" s="60"/>
    </row>
    <row r="44" spans="1:9" s="11" customFormat="1" x14ac:dyDescent="0.35">
      <c r="A44" s="54" t="s">
        <v>246</v>
      </c>
      <c r="B44" s="55" t="s">
        <v>276</v>
      </c>
      <c r="C44" s="57">
        <v>1</v>
      </c>
      <c r="D44" s="57">
        <v>1</v>
      </c>
      <c r="E44" s="57">
        <v>30183.794466403164</v>
      </c>
      <c r="F44" s="57">
        <v>14.950000000000001</v>
      </c>
      <c r="G44" s="58">
        <v>24</v>
      </c>
      <c r="H44" s="59">
        <v>12144</v>
      </c>
      <c r="I44" s="60"/>
    </row>
    <row r="45" spans="1:9" s="11" customFormat="1" x14ac:dyDescent="0.35">
      <c r="A45" s="54" t="s">
        <v>246</v>
      </c>
      <c r="B45" s="55" t="s">
        <v>277</v>
      </c>
      <c r="C45" s="57">
        <v>1</v>
      </c>
      <c r="D45" s="57">
        <v>1</v>
      </c>
      <c r="E45" s="57">
        <v>51000</v>
      </c>
      <c r="F45" s="57">
        <v>4.63</v>
      </c>
      <c r="G45" s="58">
        <v>84</v>
      </c>
      <c r="H45" s="59">
        <v>84</v>
      </c>
      <c r="I45" s="60"/>
    </row>
    <row r="46" spans="1:9" s="11" customFormat="1" x14ac:dyDescent="0.35">
      <c r="A46" s="54" t="s">
        <v>246</v>
      </c>
      <c r="B46" s="55" t="s">
        <v>278</v>
      </c>
      <c r="C46" s="57">
        <v>1</v>
      </c>
      <c r="D46" s="57">
        <v>1</v>
      </c>
      <c r="E46" s="57">
        <v>51000</v>
      </c>
      <c r="F46" s="57">
        <v>4.63</v>
      </c>
      <c r="G46" s="58">
        <v>84</v>
      </c>
      <c r="H46" s="59">
        <v>84</v>
      </c>
      <c r="I46" s="60"/>
    </row>
    <row r="47" spans="1:9" s="11" customFormat="1" x14ac:dyDescent="0.35">
      <c r="A47" s="54" t="s">
        <v>246</v>
      </c>
      <c r="B47" s="55" t="s">
        <v>279</v>
      </c>
      <c r="C47" s="57">
        <v>1</v>
      </c>
      <c r="D47" s="57">
        <v>1</v>
      </c>
      <c r="E47" s="57">
        <v>51000</v>
      </c>
      <c r="F47" s="57">
        <v>4.63</v>
      </c>
      <c r="G47" s="58">
        <v>84</v>
      </c>
      <c r="H47" s="59">
        <v>84</v>
      </c>
      <c r="I47" s="60"/>
    </row>
    <row r="48" spans="1:9" s="11" customFormat="1" x14ac:dyDescent="0.35">
      <c r="A48" s="54" t="s">
        <v>246</v>
      </c>
      <c r="B48" s="55" t="s">
        <v>280</v>
      </c>
      <c r="C48" s="57">
        <v>1</v>
      </c>
      <c r="D48" s="57">
        <v>1</v>
      </c>
      <c r="E48" s="57">
        <v>51000</v>
      </c>
      <c r="F48" s="57">
        <v>4.63</v>
      </c>
      <c r="G48" s="58">
        <v>84</v>
      </c>
      <c r="H48" s="59">
        <v>84</v>
      </c>
      <c r="I48" s="60"/>
    </row>
    <row r="49" spans="1:9" s="11" customFormat="1" x14ac:dyDescent="0.35">
      <c r="A49" s="54" t="s">
        <v>246</v>
      </c>
      <c r="B49" s="55" t="s">
        <v>281</v>
      </c>
      <c r="C49" s="57">
        <v>1</v>
      </c>
      <c r="D49" s="57">
        <v>1</v>
      </c>
      <c r="E49" s="57">
        <v>51000</v>
      </c>
      <c r="F49" s="57">
        <v>4.63</v>
      </c>
      <c r="G49" s="58">
        <v>84</v>
      </c>
      <c r="H49" s="59">
        <v>84</v>
      </c>
      <c r="I49" s="60"/>
    </row>
    <row r="50" spans="1:9" s="11" customFormat="1" x14ac:dyDescent="0.35">
      <c r="A50" s="54" t="s">
        <v>246</v>
      </c>
      <c r="B50" s="55" t="s">
        <v>282</v>
      </c>
      <c r="C50" s="57">
        <v>1</v>
      </c>
      <c r="D50" s="57">
        <v>1</v>
      </c>
      <c r="E50" s="57">
        <v>51000</v>
      </c>
      <c r="F50" s="57">
        <v>4.63</v>
      </c>
      <c r="G50" s="58">
        <v>84</v>
      </c>
      <c r="H50" s="59">
        <v>84</v>
      </c>
      <c r="I50" s="60"/>
    </row>
    <row r="51" spans="1:9" s="11" customFormat="1" x14ac:dyDescent="0.35">
      <c r="A51"/>
      <c r="B51"/>
      <c r="C51"/>
      <c r="D51"/>
      <c r="E51"/>
      <c r="F51"/>
      <c r="G51"/>
      <c r="H51"/>
      <c r="I51"/>
    </row>
    <row r="52" spans="1:9" s="11" customFormat="1" x14ac:dyDescent="0.35">
      <c r="A52"/>
      <c r="B52"/>
      <c r="C52"/>
      <c r="D52"/>
      <c r="E52"/>
      <c r="F52"/>
      <c r="G52"/>
      <c r="H52"/>
      <c r="I52"/>
    </row>
    <row r="53" spans="1:9" s="11" customFormat="1" x14ac:dyDescent="0.35">
      <c r="A53"/>
      <c r="B53"/>
      <c r="C53"/>
      <c r="D53"/>
      <c r="E53"/>
      <c r="F53"/>
      <c r="G53"/>
      <c r="H53"/>
      <c r="I53"/>
    </row>
    <row r="54" spans="1:9" s="11" customFormat="1" x14ac:dyDescent="0.35">
      <c r="A54"/>
      <c r="B54"/>
      <c r="C54"/>
      <c r="D54"/>
      <c r="E54"/>
      <c r="F54"/>
      <c r="G54"/>
      <c r="H54"/>
      <c r="I54"/>
    </row>
    <row r="55" spans="1:9" s="11" customFormat="1" x14ac:dyDescent="0.35">
      <c r="A55"/>
      <c r="B55"/>
      <c r="C55"/>
      <c r="D55"/>
      <c r="E55"/>
      <c r="F55"/>
      <c r="G55"/>
      <c r="H55"/>
      <c r="I55"/>
    </row>
    <row r="56" spans="1:9" s="11" customFormat="1" x14ac:dyDescent="0.35">
      <c r="A56"/>
      <c r="B56"/>
      <c r="C56"/>
      <c r="D56"/>
      <c r="E56"/>
      <c r="F56"/>
      <c r="G56"/>
      <c r="H56"/>
      <c r="I56"/>
    </row>
    <row r="57" spans="1:9" s="11" customFormat="1" x14ac:dyDescent="0.35">
      <c r="A57"/>
      <c r="B57"/>
      <c r="C57"/>
      <c r="D57"/>
      <c r="E57"/>
      <c r="F57"/>
      <c r="G57"/>
      <c r="H57"/>
      <c r="I57"/>
    </row>
    <row r="58" spans="1:9" s="11" customFormat="1" x14ac:dyDescent="0.35">
      <c r="A58"/>
      <c r="B58"/>
      <c r="C58"/>
      <c r="D58"/>
      <c r="E58"/>
      <c r="F58"/>
      <c r="G58"/>
      <c r="H58"/>
      <c r="I58"/>
    </row>
    <row r="59" spans="1:9" s="11" customFormat="1" x14ac:dyDescent="0.35">
      <c r="A59"/>
      <c r="B59"/>
      <c r="C59"/>
      <c r="D59"/>
      <c r="E59"/>
      <c r="F59"/>
      <c r="G59"/>
      <c r="H59"/>
      <c r="I59"/>
    </row>
    <row r="60" spans="1:9" s="11" customFormat="1" x14ac:dyDescent="0.35">
      <c r="A60"/>
      <c r="B60"/>
      <c r="C60"/>
      <c r="D60"/>
      <c r="E60"/>
      <c r="F60"/>
      <c r="G60"/>
      <c r="H60"/>
      <c r="I60"/>
    </row>
    <row r="61" spans="1:9" s="11" customFormat="1" x14ac:dyDescent="0.35">
      <c r="A61"/>
      <c r="B61"/>
      <c r="C61"/>
      <c r="D61"/>
      <c r="E61"/>
      <c r="F61"/>
      <c r="G61"/>
      <c r="H61"/>
      <c r="I61"/>
    </row>
    <row r="62" spans="1:9" s="11" customFormat="1" x14ac:dyDescent="0.35">
      <c r="A62"/>
      <c r="B62"/>
      <c r="C62"/>
      <c r="D62"/>
      <c r="E62"/>
      <c r="F62"/>
      <c r="G62"/>
      <c r="H62"/>
      <c r="I62"/>
    </row>
    <row r="63" spans="1:9" s="11" customFormat="1" x14ac:dyDescent="0.35">
      <c r="A63"/>
      <c r="B63"/>
      <c r="C63"/>
      <c r="D63"/>
      <c r="E63"/>
      <c r="F63"/>
      <c r="G63"/>
      <c r="H63"/>
      <c r="I63"/>
    </row>
    <row r="64" spans="1:9" s="11" customFormat="1" x14ac:dyDescent="0.35">
      <c r="A64"/>
      <c r="B64"/>
      <c r="C64"/>
      <c r="D64"/>
      <c r="E64"/>
      <c r="F64"/>
      <c r="G64"/>
      <c r="H64"/>
      <c r="I64"/>
    </row>
    <row r="65" spans="1:9" s="11" customFormat="1" x14ac:dyDescent="0.35">
      <c r="A65"/>
      <c r="B65"/>
      <c r="C65"/>
      <c r="D65"/>
      <c r="E65"/>
      <c r="F65"/>
      <c r="G65"/>
      <c r="H65"/>
      <c r="I65"/>
    </row>
    <row r="66" spans="1:9" s="11" customFormat="1" x14ac:dyDescent="0.35">
      <c r="A66"/>
      <c r="B66"/>
      <c r="C66"/>
      <c r="D66"/>
      <c r="E66"/>
      <c r="F66"/>
      <c r="G66"/>
      <c r="H66"/>
      <c r="I66"/>
    </row>
    <row r="67" spans="1:9" s="11" customFormat="1" x14ac:dyDescent="0.35">
      <c r="A67"/>
      <c r="B67"/>
      <c r="C67"/>
      <c r="D67"/>
      <c r="E67"/>
      <c r="F67"/>
      <c r="G67"/>
      <c r="H67"/>
      <c r="I67"/>
    </row>
    <row r="68" spans="1:9" s="11" customFormat="1" x14ac:dyDescent="0.35">
      <c r="A68"/>
      <c r="B68"/>
      <c r="C68"/>
      <c r="D68"/>
      <c r="E68"/>
      <c r="F68"/>
      <c r="G68"/>
      <c r="H68"/>
      <c r="I68"/>
    </row>
    <row r="69" spans="1:9" s="11" customFormat="1" x14ac:dyDescent="0.35">
      <c r="A69"/>
      <c r="B69"/>
      <c r="C69"/>
      <c r="D69"/>
      <c r="E69"/>
      <c r="F69"/>
      <c r="G69"/>
      <c r="H69"/>
      <c r="I69"/>
    </row>
    <row r="70" spans="1:9" s="11" customFormat="1" x14ac:dyDescent="0.35">
      <c r="A70"/>
      <c r="B70"/>
      <c r="C70"/>
      <c r="D70"/>
      <c r="E70"/>
      <c r="F70"/>
      <c r="G70"/>
      <c r="H70"/>
      <c r="I70"/>
    </row>
    <row r="71" spans="1:9" s="11" customFormat="1" x14ac:dyDescent="0.35">
      <c r="A71"/>
      <c r="B71"/>
      <c r="C71"/>
      <c r="D71"/>
      <c r="E71"/>
      <c r="F71"/>
      <c r="G71"/>
      <c r="H71"/>
      <c r="I71"/>
    </row>
    <row r="72" spans="1:9" s="11" customFormat="1" x14ac:dyDescent="0.35">
      <c r="A72"/>
      <c r="B72"/>
      <c r="C72"/>
      <c r="D72"/>
      <c r="E72"/>
      <c r="F72"/>
      <c r="G72"/>
      <c r="H72"/>
      <c r="I72"/>
    </row>
    <row r="73" spans="1:9" s="11" customFormat="1" x14ac:dyDescent="0.35">
      <c r="A73"/>
      <c r="B73"/>
      <c r="C73"/>
      <c r="D73"/>
      <c r="E73"/>
      <c r="F73"/>
      <c r="G73"/>
      <c r="H73"/>
      <c r="I73"/>
    </row>
    <row r="74" spans="1:9" s="11" customFormat="1" x14ac:dyDescent="0.35">
      <c r="A74"/>
      <c r="B74"/>
      <c r="C74"/>
      <c r="D74"/>
      <c r="E74"/>
      <c r="F74"/>
      <c r="G74"/>
      <c r="H74"/>
      <c r="I74"/>
    </row>
    <row r="75" spans="1:9" s="11" customFormat="1" x14ac:dyDescent="0.35">
      <c r="A75"/>
      <c r="B75"/>
      <c r="C75"/>
      <c r="D75"/>
      <c r="E75"/>
      <c r="F75"/>
      <c r="G75"/>
      <c r="H75"/>
      <c r="I75"/>
    </row>
    <row r="76" spans="1:9" s="11" customFormat="1" x14ac:dyDescent="0.35">
      <c r="A76"/>
      <c r="B76"/>
      <c r="C76"/>
      <c r="D76"/>
      <c r="E76"/>
      <c r="F76"/>
      <c r="G76"/>
      <c r="H76"/>
      <c r="I76"/>
    </row>
    <row r="77" spans="1:9" s="11" customFormat="1" x14ac:dyDescent="0.35">
      <c r="A77"/>
      <c r="B77"/>
      <c r="C77"/>
      <c r="D77"/>
      <c r="E77"/>
      <c r="F77"/>
      <c r="G77"/>
      <c r="H77"/>
      <c r="I77"/>
    </row>
    <row r="78" spans="1:9" s="11" customFormat="1" x14ac:dyDescent="0.35">
      <c r="A78"/>
      <c r="B78"/>
      <c r="C78"/>
      <c r="D78"/>
      <c r="E78"/>
      <c r="F78"/>
      <c r="G78"/>
      <c r="H78"/>
      <c r="I78"/>
    </row>
    <row r="79" spans="1:9" s="11" customFormat="1" x14ac:dyDescent="0.35">
      <c r="A79"/>
      <c r="B79"/>
      <c r="C79"/>
      <c r="D79"/>
      <c r="E79"/>
      <c r="F79"/>
      <c r="G79"/>
      <c r="H79"/>
      <c r="I79"/>
    </row>
    <row r="80" spans="1:9" s="11" customFormat="1" x14ac:dyDescent="0.35">
      <c r="A80"/>
      <c r="B80"/>
      <c r="C80"/>
      <c r="D80"/>
      <c r="E80"/>
      <c r="F80"/>
      <c r="G80"/>
      <c r="H80"/>
      <c r="I80"/>
    </row>
    <row r="81" spans="1:9" s="11" customFormat="1" x14ac:dyDescent="0.35">
      <c r="A81"/>
      <c r="B81"/>
      <c r="C81"/>
      <c r="D81"/>
      <c r="E81"/>
      <c r="F81"/>
      <c r="G81"/>
      <c r="H81"/>
      <c r="I81"/>
    </row>
    <row r="82" spans="1:9" s="11" customFormat="1" x14ac:dyDescent="0.35">
      <c r="A82"/>
      <c r="B82"/>
      <c r="C82"/>
      <c r="D82"/>
      <c r="E82"/>
      <c r="F82"/>
      <c r="G82"/>
      <c r="H82"/>
      <c r="I82"/>
    </row>
    <row r="83" spans="1:9" s="11" customFormat="1" x14ac:dyDescent="0.35">
      <c r="A83"/>
      <c r="B83"/>
      <c r="C83"/>
      <c r="D83"/>
      <c r="E83"/>
      <c r="F83"/>
      <c r="G83"/>
      <c r="H83"/>
      <c r="I83"/>
    </row>
    <row r="84" spans="1:9" s="11" customFormat="1" x14ac:dyDescent="0.35">
      <c r="A84"/>
      <c r="B84"/>
      <c r="C84"/>
      <c r="D84"/>
      <c r="E84"/>
      <c r="F84"/>
      <c r="G84"/>
      <c r="H84"/>
      <c r="I84"/>
    </row>
    <row r="85" spans="1:9" s="11" customFormat="1" x14ac:dyDescent="0.35">
      <c r="A85"/>
      <c r="B85"/>
      <c r="C85"/>
      <c r="D85"/>
      <c r="E85"/>
      <c r="F85"/>
      <c r="G85"/>
      <c r="H85"/>
      <c r="I85"/>
    </row>
    <row r="86" spans="1:9" s="11" customFormat="1" x14ac:dyDescent="0.35">
      <c r="A86"/>
      <c r="B86"/>
      <c r="C86"/>
      <c r="D86"/>
      <c r="E86"/>
      <c r="F86"/>
      <c r="G86"/>
      <c r="H86"/>
      <c r="I86"/>
    </row>
    <row r="87" spans="1:9" s="11" customFormat="1" x14ac:dyDescent="0.35">
      <c r="A87"/>
      <c r="B87"/>
      <c r="C87"/>
      <c r="D87"/>
      <c r="E87"/>
      <c r="F87"/>
      <c r="G87"/>
      <c r="H87"/>
      <c r="I87"/>
    </row>
    <row r="88" spans="1:9" s="11" customFormat="1" x14ac:dyDescent="0.35">
      <c r="A88"/>
      <c r="B88"/>
      <c r="C88"/>
      <c r="D88"/>
      <c r="E88"/>
      <c r="F88"/>
      <c r="G88"/>
      <c r="H88"/>
      <c r="I88"/>
    </row>
    <row r="89" spans="1:9" s="11" customFormat="1" x14ac:dyDescent="0.35">
      <c r="A89"/>
      <c r="B89"/>
      <c r="C89"/>
      <c r="D89"/>
      <c r="E89"/>
      <c r="F89"/>
      <c r="G89"/>
      <c r="H89"/>
      <c r="I89"/>
    </row>
    <row r="90" spans="1:9" s="11" customFormat="1" x14ac:dyDescent="0.35">
      <c r="A90"/>
      <c r="B90"/>
      <c r="C90"/>
      <c r="D90"/>
      <c r="E90"/>
      <c r="F90"/>
      <c r="G90"/>
      <c r="H90"/>
      <c r="I90"/>
    </row>
    <row r="91" spans="1:9" s="11" customFormat="1" x14ac:dyDescent="0.35">
      <c r="A91"/>
      <c r="B91"/>
      <c r="C91"/>
      <c r="D91"/>
      <c r="E91"/>
      <c r="F91"/>
      <c r="G91"/>
      <c r="H91"/>
      <c r="I91"/>
    </row>
    <row r="92" spans="1:9" s="11" customFormat="1" x14ac:dyDescent="0.35">
      <c r="A92"/>
      <c r="B92"/>
      <c r="C92"/>
      <c r="D92"/>
      <c r="E92"/>
      <c r="F92"/>
      <c r="G92"/>
      <c r="H92"/>
      <c r="I92"/>
    </row>
    <row r="93" spans="1:9" s="11" customFormat="1" x14ac:dyDescent="0.35">
      <c r="A93"/>
      <c r="B93"/>
      <c r="C93"/>
      <c r="D93"/>
      <c r="E93"/>
      <c r="F93"/>
      <c r="G93"/>
      <c r="H93"/>
      <c r="I93"/>
    </row>
    <row r="94" spans="1:9" s="11" customFormat="1" x14ac:dyDescent="0.35">
      <c r="A94"/>
      <c r="B94"/>
      <c r="C94"/>
      <c r="D94"/>
      <c r="E94"/>
      <c r="F94"/>
      <c r="G94"/>
      <c r="H94"/>
      <c r="I94"/>
    </row>
    <row r="95" spans="1:9" s="11" customFormat="1" x14ac:dyDescent="0.35">
      <c r="A95"/>
      <c r="B95"/>
      <c r="C95"/>
      <c r="D95"/>
      <c r="E95"/>
      <c r="F95"/>
      <c r="G95"/>
      <c r="H95"/>
      <c r="I95"/>
    </row>
    <row r="96" spans="1:9" s="11" customFormat="1" x14ac:dyDescent="0.35">
      <c r="A96"/>
      <c r="B96"/>
      <c r="C96"/>
      <c r="D96"/>
      <c r="E96"/>
      <c r="F96"/>
      <c r="G96"/>
      <c r="H96"/>
      <c r="I96"/>
    </row>
    <row r="97" spans="1:9" s="11" customFormat="1" x14ac:dyDescent="0.35">
      <c r="A97"/>
      <c r="B97"/>
      <c r="C97"/>
      <c r="D97"/>
      <c r="E97"/>
      <c r="F97"/>
      <c r="G97"/>
      <c r="H97"/>
      <c r="I97"/>
    </row>
    <row r="98" spans="1:9" s="11" customFormat="1" x14ac:dyDescent="0.35">
      <c r="A98"/>
      <c r="B98"/>
      <c r="C98"/>
      <c r="D98"/>
      <c r="E98"/>
      <c r="F98"/>
      <c r="G98"/>
      <c r="H98"/>
      <c r="I98"/>
    </row>
    <row r="99" spans="1:9" s="11" customFormat="1" x14ac:dyDescent="0.35">
      <c r="A99"/>
      <c r="B99"/>
      <c r="C99"/>
      <c r="D99"/>
      <c r="E99"/>
      <c r="F99"/>
      <c r="G99"/>
      <c r="H99"/>
      <c r="I99"/>
    </row>
    <row r="100" spans="1:9" s="11" customFormat="1" x14ac:dyDescent="0.35">
      <c r="A100"/>
      <c r="B100"/>
      <c r="C100"/>
      <c r="D100"/>
      <c r="E100"/>
      <c r="F100"/>
      <c r="G100"/>
      <c r="H100"/>
      <c r="I100"/>
    </row>
    <row r="101" spans="1:9" s="11" customFormat="1" x14ac:dyDescent="0.35">
      <c r="A101"/>
      <c r="B101"/>
      <c r="C101"/>
      <c r="D101"/>
      <c r="E101"/>
      <c r="F101"/>
      <c r="G101"/>
      <c r="H101"/>
      <c r="I101"/>
    </row>
    <row r="102" spans="1:9" s="11" customFormat="1" x14ac:dyDescent="0.35">
      <c r="A102"/>
      <c r="B102"/>
      <c r="C102"/>
      <c r="D102"/>
      <c r="E102"/>
      <c r="F102"/>
      <c r="G102"/>
      <c r="H102"/>
      <c r="I102"/>
    </row>
    <row r="103" spans="1:9" s="11" customFormat="1" x14ac:dyDescent="0.35">
      <c r="A103"/>
      <c r="B103"/>
      <c r="C103"/>
      <c r="D103"/>
      <c r="E103"/>
      <c r="F103"/>
      <c r="G103"/>
      <c r="H103"/>
      <c r="I103"/>
    </row>
    <row r="104" spans="1:9" s="11" customFormat="1" x14ac:dyDescent="0.35">
      <c r="A104"/>
      <c r="B104"/>
      <c r="C104"/>
      <c r="D104"/>
      <c r="E104"/>
      <c r="F104"/>
      <c r="G104"/>
      <c r="H104"/>
      <c r="I104"/>
    </row>
    <row r="105" spans="1:9" s="11" customFormat="1" x14ac:dyDescent="0.35">
      <c r="A105"/>
      <c r="B105"/>
      <c r="C105"/>
      <c r="D105"/>
      <c r="E105"/>
      <c r="F105"/>
      <c r="G105"/>
      <c r="H105"/>
      <c r="I105"/>
    </row>
    <row r="106" spans="1:9" s="11" customFormat="1" x14ac:dyDescent="0.35">
      <c r="A106"/>
      <c r="B106"/>
      <c r="C106"/>
      <c r="D106"/>
      <c r="E106"/>
      <c r="F106"/>
      <c r="G106"/>
      <c r="H106"/>
      <c r="I106"/>
    </row>
    <row r="107" spans="1:9" s="11" customFormat="1" x14ac:dyDescent="0.35">
      <c r="A107"/>
      <c r="B107"/>
      <c r="C107"/>
      <c r="D107"/>
      <c r="E107"/>
      <c r="F107"/>
      <c r="G107"/>
      <c r="H107"/>
      <c r="I107"/>
    </row>
    <row r="108" spans="1:9" s="11" customFormat="1" x14ac:dyDescent="0.35">
      <c r="A108"/>
      <c r="B108"/>
      <c r="C108"/>
      <c r="D108"/>
      <c r="E108"/>
      <c r="F108"/>
      <c r="G108"/>
      <c r="H108"/>
      <c r="I108"/>
    </row>
    <row r="109" spans="1:9" s="11" customFormat="1" x14ac:dyDescent="0.35">
      <c r="A109"/>
      <c r="B109"/>
      <c r="C109"/>
      <c r="D109"/>
      <c r="E109"/>
      <c r="F109"/>
      <c r="G109"/>
      <c r="H109"/>
      <c r="I109"/>
    </row>
    <row r="110" spans="1:9" s="11" customFormat="1" x14ac:dyDescent="0.35">
      <c r="A110"/>
      <c r="B110"/>
      <c r="C110"/>
      <c r="D110"/>
      <c r="E110"/>
      <c r="F110"/>
      <c r="G110"/>
      <c r="H110"/>
      <c r="I110"/>
    </row>
    <row r="111" spans="1:9" s="11" customFormat="1" x14ac:dyDescent="0.35">
      <c r="A111"/>
      <c r="B111"/>
      <c r="C111"/>
      <c r="D111"/>
      <c r="E111"/>
      <c r="F111"/>
      <c r="G111"/>
      <c r="H111"/>
      <c r="I111"/>
    </row>
    <row r="112" spans="1:9" s="11" customFormat="1" x14ac:dyDescent="0.35">
      <c r="A112"/>
      <c r="B112"/>
      <c r="C112"/>
      <c r="D112"/>
      <c r="E112"/>
      <c r="F112"/>
      <c r="G112"/>
      <c r="H112"/>
      <c r="I112"/>
    </row>
    <row r="113" spans="1:9" s="11" customFormat="1" x14ac:dyDescent="0.35">
      <c r="A113"/>
      <c r="B113"/>
      <c r="C113"/>
      <c r="D113"/>
      <c r="E113"/>
      <c r="F113"/>
      <c r="G113"/>
      <c r="H113"/>
      <c r="I113"/>
    </row>
    <row r="114" spans="1:9" s="11" customFormat="1" x14ac:dyDescent="0.35">
      <c r="A114"/>
      <c r="B114"/>
      <c r="C114"/>
      <c r="D114"/>
      <c r="E114"/>
      <c r="F114"/>
      <c r="G114"/>
      <c r="H114"/>
      <c r="I114"/>
    </row>
    <row r="115" spans="1:9" s="11" customFormat="1" x14ac:dyDescent="0.35">
      <c r="A115"/>
      <c r="B115"/>
      <c r="C115"/>
      <c r="D115"/>
      <c r="E115"/>
      <c r="F115"/>
      <c r="G115"/>
      <c r="H115"/>
      <c r="I115"/>
    </row>
    <row r="116" spans="1:9" s="11" customFormat="1" x14ac:dyDescent="0.35">
      <c r="A116"/>
      <c r="B116"/>
      <c r="C116"/>
      <c r="D116"/>
      <c r="E116"/>
      <c r="F116"/>
      <c r="G116"/>
      <c r="H116"/>
      <c r="I116"/>
    </row>
    <row r="117" spans="1:9" s="11" customFormat="1" x14ac:dyDescent="0.35">
      <c r="A117"/>
      <c r="B117"/>
      <c r="C117"/>
      <c r="D117"/>
      <c r="E117"/>
      <c r="F117"/>
      <c r="G117"/>
      <c r="H117"/>
      <c r="I117"/>
    </row>
    <row r="118" spans="1:9" s="11" customFormat="1" x14ac:dyDescent="0.35">
      <c r="A118"/>
      <c r="B118"/>
      <c r="C118"/>
      <c r="D118"/>
      <c r="E118"/>
      <c r="F118"/>
      <c r="G118"/>
      <c r="H118"/>
      <c r="I118"/>
    </row>
    <row r="119" spans="1:9" s="11" customFormat="1" x14ac:dyDescent="0.35">
      <c r="A119"/>
      <c r="B119"/>
      <c r="C119"/>
      <c r="D119"/>
      <c r="E119"/>
      <c r="F119"/>
      <c r="G119"/>
      <c r="H119"/>
      <c r="I119"/>
    </row>
    <row r="120" spans="1:9" s="11" customFormat="1" x14ac:dyDescent="0.35">
      <c r="A120"/>
      <c r="B120"/>
      <c r="C120"/>
      <c r="D120"/>
      <c r="E120"/>
      <c r="F120"/>
      <c r="G120"/>
      <c r="H120"/>
      <c r="I120"/>
    </row>
    <row r="121" spans="1:9" s="11" customFormat="1" x14ac:dyDescent="0.35">
      <c r="A121"/>
      <c r="B121"/>
      <c r="C121"/>
      <c r="D121"/>
      <c r="E121"/>
      <c r="F121"/>
      <c r="G121"/>
      <c r="H121"/>
      <c r="I121"/>
    </row>
    <row r="122" spans="1:9" s="11" customFormat="1" x14ac:dyDescent="0.35">
      <c r="A122"/>
      <c r="B122"/>
      <c r="C122"/>
      <c r="D122"/>
      <c r="E122"/>
      <c r="F122"/>
      <c r="G122"/>
      <c r="H122"/>
      <c r="I122"/>
    </row>
    <row r="123" spans="1:9" s="11" customFormat="1" x14ac:dyDescent="0.35">
      <c r="A123"/>
      <c r="B123"/>
      <c r="C123"/>
      <c r="D123"/>
      <c r="E123"/>
      <c r="F123"/>
      <c r="G123"/>
      <c r="H123"/>
      <c r="I123"/>
    </row>
    <row r="124" spans="1:9" s="11" customFormat="1" x14ac:dyDescent="0.35">
      <c r="A124"/>
      <c r="B124"/>
      <c r="C124"/>
      <c r="D124"/>
      <c r="E124"/>
      <c r="F124"/>
      <c r="G124"/>
      <c r="H124"/>
      <c r="I124"/>
    </row>
    <row r="125" spans="1:9" s="11" customFormat="1" x14ac:dyDescent="0.35">
      <c r="A125"/>
      <c r="B125"/>
      <c r="C125"/>
      <c r="D125"/>
      <c r="E125"/>
      <c r="F125"/>
      <c r="G125"/>
      <c r="H125"/>
      <c r="I125"/>
    </row>
    <row r="126" spans="1:9" s="11" customFormat="1" x14ac:dyDescent="0.35">
      <c r="A126"/>
      <c r="B126"/>
      <c r="C126"/>
      <c r="D126"/>
      <c r="E126"/>
      <c r="F126"/>
      <c r="G126"/>
      <c r="H126"/>
      <c r="I126"/>
    </row>
    <row r="127" spans="1:9" s="11" customFormat="1" x14ac:dyDescent="0.35">
      <c r="A127"/>
      <c r="B127"/>
      <c r="C127"/>
      <c r="D127"/>
      <c r="E127"/>
      <c r="F127"/>
      <c r="G127"/>
      <c r="H127"/>
      <c r="I127"/>
    </row>
    <row r="128" spans="1:9" s="11" customFormat="1" x14ac:dyDescent="0.35">
      <c r="A128"/>
      <c r="B128"/>
      <c r="C128"/>
      <c r="D128"/>
      <c r="E128"/>
      <c r="F128"/>
      <c r="G128"/>
      <c r="H128"/>
      <c r="I128"/>
    </row>
    <row r="129" spans="1:9" s="11" customFormat="1" x14ac:dyDescent="0.35">
      <c r="A129"/>
      <c r="B129"/>
      <c r="C129"/>
      <c r="D129"/>
      <c r="E129"/>
      <c r="F129"/>
      <c r="G129"/>
      <c r="H129"/>
      <c r="I129"/>
    </row>
    <row r="130" spans="1:9" s="11" customFormat="1" x14ac:dyDescent="0.35">
      <c r="A130"/>
      <c r="B130"/>
      <c r="C130"/>
      <c r="D130"/>
      <c r="E130"/>
      <c r="F130"/>
      <c r="G130"/>
      <c r="H130"/>
      <c r="I130"/>
    </row>
    <row r="131" spans="1:9" s="11" customFormat="1" x14ac:dyDescent="0.35">
      <c r="A131"/>
      <c r="B131"/>
      <c r="C131"/>
      <c r="D131"/>
      <c r="E131"/>
      <c r="F131"/>
      <c r="G131"/>
      <c r="H131"/>
      <c r="I131"/>
    </row>
    <row r="132" spans="1:9" s="11" customFormat="1" x14ac:dyDescent="0.35">
      <c r="A132"/>
      <c r="B132"/>
      <c r="C132"/>
      <c r="D132"/>
      <c r="E132"/>
      <c r="F132"/>
      <c r="G132"/>
      <c r="H132"/>
      <c r="I132"/>
    </row>
    <row r="133" spans="1:9" s="11" customFormat="1" x14ac:dyDescent="0.35">
      <c r="A133"/>
      <c r="B133"/>
      <c r="C133"/>
      <c r="D133"/>
      <c r="E133"/>
      <c r="F133"/>
      <c r="G133"/>
      <c r="H133"/>
      <c r="I133"/>
    </row>
    <row r="134" spans="1:9" s="11" customFormat="1" x14ac:dyDescent="0.35">
      <c r="A134"/>
      <c r="B134"/>
      <c r="C134"/>
      <c r="D134"/>
      <c r="E134"/>
      <c r="F134"/>
      <c r="G134"/>
      <c r="H134"/>
      <c r="I134"/>
    </row>
    <row r="135" spans="1:9" s="11" customFormat="1" x14ac:dyDescent="0.35">
      <c r="A135"/>
      <c r="B135"/>
      <c r="C135"/>
      <c r="D135"/>
      <c r="E135"/>
      <c r="F135"/>
      <c r="G135"/>
      <c r="H135"/>
      <c r="I135"/>
    </row>
    <row r="136" spans="1:9" s="11" customFormat="1" x14ac:dyDescent="0.35">
      <c r="A136"/>
      <c r="B136"/>
      <c r="C136"/>
      <c r="D136"/>
      <c r="E136"/>
      <c r="F136"/>
      <c r="G136"/>
      <c r="H136"/>
      <c r="I136"/>
    </row>
    <row r="137" spans="1:9" s="11" customFormat="1" x14ac:dyDescent="0.35">
      <c r="A137"/>
      <c r="B137"/>
      <c r="C137"/>
      <c r="D137"/>
      <c r="E137"/>
      <c r="F137"/>
      <c r="G137"/>
      <c r="H137"/>
      <c r="I137"/>
    </row>
    <row r="138" spans="1:9" s="11" customFormat="1" x14ac:dyDescent="0.35">
      <c r="A138"/>
      <c r="B138"/>
      <c r="C138"/>
      <c r="D138"/>
      <c r="E138"/>
      <c r="F138"/>
      <c r="G138"/>
      <c r="H138"/>
      <c r="I138"/>
    </row>
    <row r="139" spans="1:9" s="11" customFormat="1" x14ac:dyDescent="0.35">
      <c r="A139"/>
      <c r="B139"/>
      <c r="C139"/>
      <c r="D139"/>
      <c r="E139"/>
      <c r="F139"/>
      <c r="G139"/>
      <c r="H139"/>
      <c r="I139"/>
    </row>
    <row r="140" spans="1:9" s="11" customFormat="1" x14ac:dyDescent="0.35">
      <c r="A140"/>
      <c r="B140"/>
      <c r="C140"/>
      <c r="D140"/>
      <c r="E140"/>
      <c r="F140"/>
      <c r="G140"/>
      <c r="H140"/>
      <c r="I140"/>
    </row>
    <row r="141" spans="1:9" s="11" customFormat="1" x14ac:dyDescent="0.35">
      <c r="A141"/>
      <c r="B141"/>
      <c r="C141"/>
      <c r="D141"/>
      <c r="E141"/>
      <c r="F141"/>
      <c r="G141"/>
      <c r="H141"/>
      <c r="I141"/>
    </row>
    <row r="142" spans="1:9" s="11" customFormat="1" x14ac:dyDescent="0.35">
      <c r="A142"/>
      <c r="B142"/>
      <c r="C142"/>
      <c r="D142"/>
      <c r="E142"/>
      <c r="F142"/>
      <c r="G142"/>
      <c r="H142"/>
      <c r="I142"/>
    </row>
    <row r="143" spans="1:9" s="11" customFormat="1" x14ac:dyDescent="0.35">
      <c r="A143"/>
      <c r="B143"/>
      <c r="C143"/>
      <c r="D143"/>
      <c r="E143"/>
      <c r="F143"/>
      <c r="G143"/>
      <c r="H143"/>
      <c r="I143"/>
    </row>
    <row r="144" spans="1:9" s="11" customFormat="1" x14ac:dyDescent="0.35">
      <c r="A144"/>
      <c r="B144"/>
      <c r="C144"/>
      <c r="D144"/>
      <c r="E144"/>
      <c r="F144"/>
      <c r="G144"/>
      <c r="H144"/>
      <c r="I144"/>
    </row>
    <row r="145" spans="1:9" s="11" customFormat="1" x14ac:dyDescent="0.35">
      <c r="A145"/>
      <c r="B145"/>
      <c r="C145"/>
      <c r="D145"/>
      <c r="E145"/>
      <c r="F145"/>
      <c r="G145"/>
      <c r="H145"/>
      <c r="I145"/>
    </row>
    <row r="146" spans="1:9" s="11" customFormat="1" x14ac:dyDescent="0.35">
      <c r="A146"/>
      <c r="B146"/>
      <c r="C146"/>
      <c r="D146"/>
      <c r="E146"/>
      <c r="F146"/>
      <c r="G146"/>
      <c r="H146"/>
      <c r="I146"/>
    </row>
    <row r="147" spans="1:9" s="11" customFormat="1" x14ac:dyDescent="0.35">
      <c r="A147"/>
      <c r="B147"/>
      <c r="C147"/>
      <c r="D147"/>
      <c r="E147"/>
      <c r="F147"/>
      <c r="G147"/>
      <c r="H147"/>
      <c r="I147"/>
    </row>
    <row r="148" spans="1:9" s="11" customFormat="1" x14ac:dyDescent="0.35">
      <c r="A148"/>
      <c r="B148"/>
      <c r="C148"/>
      <c r="D148"/>
      <c r="E148"/>
      <c r="F148"/>
      <c r="G148"/>
      <c r="H148"/>
      <c r="I148"/>
    </row>
    <row r="149" spans="1:9" s="11" customFormat="1" x14ac:dyDescent="0.35">
      <c r="A149"/>
      <c r="B149"/>
      <c r="C149"/>
      <c r="D149"/>
      <c r="E149"/>
      <c r="F149"/>
      <c r="G149"/>
      <c r="H149"/>
      <c r="I149"/>
    </row>
    <row r="150" spans="1:9" s="11" customFormat="1" x14ac:dyDescent="0.35">
      <c r="A150"/>
      <c r="B150"/>
      <c r="C150"/>
      <c r="D150"/>
      <c r="E150"/>
      <c r="F150"/>
      <c r="G150"/>
      <c r="H150"/>
      <c r="I150"/>
    </row>
    <row r="151" spans="1:9" s="11" customFormat="1" x14ac:dyDescent="0.35">
      <c r="A151"/>
      <c r="B151"/>
      <c r="C151"/>
      <c r="D151"/>
      <c r="E151"/>
      <c r="F151"/>
      <c r="G151"/>
      <c r="H151"/>
      <c r="I151"/>
    </row>
    <row r="152" spans="1:9" s="11" customFormat="1" x14ac:dyDescent="0.35">
      <c r="A152"/>
      <c r="B152"/>
      <c r="C152"/>
      <c r="D152"/>
      <c r="E152"/>
      <c r="F152"/>
      <c r="G152"/>
      <c r="H152"/>
      <c r="I152"/>
    </row>
    <row r="153" spans="1:9" s="11" customFormat="1" x14ac:dyDescent="0.35">
      <c r="A153"/>
      <c r="B153"/>
      <c r="C153"/>
      <c r="D153"/>
      <c r="E153"/>
      <c r="F153"/>
      <c r="G153"/>
      <c r="H153"/>
      <c r="I153"/>
    </row>
    <row r="154" spans="1:9" s="11" customFormat="1" x14ac:dyDescent="0.35">
      <c r="A154"/>
      <c r="B154"/>
      <c r="C154"/>
      <c r="D154"/>
      <c r="E154"/>
      <c r="F154"/>
      <c r="G154"/>
      <c r="H154"/>
      <c r="I154"/>
    </row>
    <row r="155" spans="1:9" s="11" customFormat="1" x14ac:dyDescent="0.35">
      <c r="A155"/>
      <c r="B155"/>
      <c r="C155"/>
      <c r="D155"/>
      <c r="E155"/>
      <c r="F155"/>
      <c r="G155"/>
      <c r="H155"/>
      <c r="I155"/>
    </row>
    <row r="156" spans="1:9" s="11" customFormat="1" x14ac:dyDescent="0.35">
      <c r="A156"/>
      <c r="B156"/>
      <c r="C156"/>
      <c r="D156"/>
      <c r="E156"/>
      <c r="F156"/>
      <c r="G156"/>
      <c r="H156"/>
      <c r="I156"/>
    </row>
    <row r="157" spans="1:9" s="11" customFormat="1" x14ac:dyDescent="0.35">
      <c r="A157"/>
      <c r="B157"/>
      <c r="C157"/>
      <c r="D157"/>
      <c r="E157"/>
      <c r="F157"/>
      <c r="G157"/>
      <c r="H157"/>
      <c r="I157"/>
    </row>
    <row r="158" spans="1:9" s="11" customFormat="1" x14ac:dyDescent="0.35">
      <c r="A158"/>
      <c r="B158"/>
      <c r="C158"/>
      <c r="D158"/>
      <c r="E158"/>
      <c r="F158"/>
      <c r="G158"/>
      <c r="H158"/>
      <c r="I158"/>
    </row>
    <row r="159" spans="1:9" s="11" customFormat="1" x14ac:dyDescent="0.35">
      <c r="A159"/>
      <c r="B159"/>
      <c r="C159"/>
      <c r="D159"/>
      <c r="E159"/>
      <c r="F159"/>
      <c r="G159"/>
      <c r="H159"/>
      <c r="I159"/>
    </row>
    <row r="160" spans="1:9" s="11" customFormat="1" x14ac:dyDescent="0.35">
      <c r="A160"/>
      <c r="B160"/>
      <c r="C160"/>
      <c r="D160"/>
      <c r="E160"/>
      <c r="F160"/>
      <c r="G160"/>
      <c r="H160"/>
      <c r="I160"/>
    </row>
    <row r="161" spans="1:9" s="11" customFormat="1" x14ac:dyDescent="0.35">
      <c r="A161"/>
      <c r="B161"/>
      <c r="C161"/>
      <c r="D161"/>
      <c r="E161"/>
      <c r="F161"/>
      <c r="G161"/>
      <c r="H161"/>
      <c r="I161"/>
    </row>
    <row r="162" spans="1:9" s="11" customFormat="1" x14ac:dyDescent="0.35">
      <c r="A162"/>
      <c r="B162"/>
      <c r="C162"/>
      <c r="D162"/>
      <c r="E162"/>
      <c r="F162"/>
      <c r="G162"/>
      <c r="H162"/>
      <c r="I162"/>
    </row>
    <row r="163" spans="1:9" s="11" customFormat="1" x14ac:dyDescent="0.35">
      <c r="A163"/>
      <c r="B163"/>
      <c r="C163"/>
      <c r="D163"/>
      <c r="E163"/>
      <c r="F163"/>
      <c r="G163"/>
      <c r="H163"/>
      <c r="I163"/>
    </row>
    <row r="164" spans="1:9" s="11" customFormat="1" x14ac:dyDescent="0.35">
      <c r="A164"/>
      <c r="B164"/>
      <c r="C164"/>
      <c r="D164"/>
      <c r="E164"/>
      <c r="F164"/>
      <c r="G164"/>
      <c r="H164"/>
      <c r="I164"/>
    </row>
    <row r="165" spans="1:9" s="11" customFormat="1" x14ac:dyDescent="0.35">
      <c r="A165"/>
      <c r="B165"/>
      <c r="C165"/>
      <c r="D165"/>
      <c r="E165"/>
      <c r="F165"/>
      <c r="G165"/>
      <c r="H165"/>
      <c r="I165"/>
    </row>
    <row r="166" spans="1:9" s="11" customFormat="1" x14ac:dyDescent="0.35">
      <c r="A166"/>
      <c r="B166"/>
      <c r="C166"/>
      <c r="D166"/>
      <c r="E166"/>
      <c r="F166"/>
      <c r="G166"/>
      <c r="H166"/>
      <c r="I166"/>
    </row>
    <row r="167" spans="1:9" s="11" customFormat="1" x14ac:dyDescent="0.35">
      <c r="A167"/>
      <c r="B167"/>
      <c r="C167"/>
      <c r="D167"/>
      <c r="E167"/>
      <c r="F167"/>
      <c r="G167"/>
      <c r="H167"/>
      <c r="I167"/>
    </row>
    <row r="168" spans="1:9" s="11" customFormat="1" x14ac:dyDescent="0.35">
      <c r="A168"/>
      <c r="B168"/>
      <c r="C168"/>
      <c r="D168"/>
      <c r="E168"/>
      <c r="F168"/>
      <c r="G168"/>
      <c r="H168"/>
      <c r="I168"/>
    </row>
    <row r="169" spans="1:9" s="11" customFormat="1" x14ac:dyDescent="0.35">
      <c r="A169"/>
      <c r="B169"/>
      <c r="C169"/>
      <c r="D169"/>
      <c r="E169"/>
      <c r="F169"/>
      <c r="G169"/>
      <c r="H169"/>
      <c r="I169"/>
    </row>
    <row r="170" spans="1:9" s="11" customFormat="1" x14ac:dyDescent="0.35">
      <c r="A170"/>
      <c r="B170"/>
      <c r="C170"/>
      <c r="D170"/>
      <c r="E170"/>
      <c r="F170"/>
      <c r="G170"/>
      <c r="H170"/>
      <c r="I170"/>
    </row>
    <row r="171" spans="1:9" s="11" customFormat="1" x14ac:dyDescent="0.35">
      <c r="A171"/>
      <c r="B171"/>
      <c r="C171"/>
      <c r="D171"/>
      <c r="E171"/>
      <c r="F171"/>
      <c r="G171"/>
      <c r="H171"/>
      <c r="I171"/>
    </row>
    <row r="172" spans="1:9" s="11" customFormat="1" x14ac:dyDescent="0.35">
      <c r="A172"/>
      <c r="B172"/>
      <c r="C172"/>
      <c r="D172"/>
      <c r="E172"/>
      <c r="F172"/>
      <c r="G172"/>
      <c r="H172"/>
      <c r="I172"/>
    </row>
    <row r="173" spans="1:9" s="11" customFormat="1" x14ac:dyDescent="0.35">
      <c r="A173"/>
      <c r="B173"/>
      <c r="C173"/>
      <c r="D173"/>
      <c r="E173"/>
      <c r="F173"/>
      <c r="G173"/>
      <c r="H173"/>
      <c r="I173"/>
    </row>
    <row r="174" spans="1:9" s="11" customFormat="1" x14ac:dyDescent="0.35">
      <c r="A174"/>
      <c r="B174"/>
      <c r="C174"/>
      <c r="D174"/>
      <c r="E174"/>
      <c r="F174"/>
      <c r="G174"/>
      <c r="H174"/>
      <c r="I174"/>
    </row>
    <row r="175" spans="1:9" s="11" customFormat="1" x14ac:dyDescent="0.35">
      <c r="A175"/>
      <c r="B175"/>
      <c r="C175"/>
      <c r="D175"/>
      <c r="E175"/>
      <c r="F175"/>
      <c r="G175"/>
      <c r="H175"/>
      <c r="I175"/>
    </row>
    <row r="176" spans="1:9" s="11" customFormat="1" x14ac:dyDescent="0.35">
      <c r="A176"/>
      <c r="B176"/>
      <c r="C176"/>
      <c r="D176"/>
      <c r="E176"/>
      <c r="F176"/>
      <c r="G176"/>
      <c r="H176"/>
      <c r="I176"/>
    </row>
    <row r="177" spans="1:9" s="11" customFormat="1" x14ac:dyDescent="0.35">
      <c r="A177"/>
      <c r="B177"/>
      <c r="C177"/>
      <c r="D177"/>
      <c r="E177"/>
      <c r="F177"/>
      <c r="G177"/>
      <c r="H177"/>
      <c r="I177"/>
    </row>
    <row r="178" spans="1:9" s="11" customFormat="1" x14ac:dyDescent="0.35">
      <c r="A178"/>
      <c r="B178"/>
      <c r="C178"/>
      <c r="D178"/>
      <c r="E178"/>
      <c r="F178"/>
      <c r="G178"/>
      <c r="H178"/>
      <c r="I178"/>
    </row>
    <row r="179" spans="1:9" s="11" customFormat="1" x14ac:dyDescent="0.35">
      <c r="A179"/>
      <c r="B179"/>
      <c r="C179"/>
      <c r="D179"/>
      <c r="E179"/>
      <c r="F179"/>
      <c r="G179"/>
      <c r="H179"/>
      <c r="I179"/>
    </row>
    <row r="180" spans="1:9" s="11" customFormat="1" x14ac:dyDescent="0.35">
      <c r="A180"/>
      <c r="B180"/>
      <c r="C180"/>
      <c r="D180"/>
      <c r="E180"/>
      <c r="F180"/>
      <c r="G180"/>
      <c r="H180"/>
      <c r="I180"/>
    </row>
    <row r="181" spans="1:9" s="11" customFormat="1" x14ac:dyDescent="0.35">
      <c r="A181"/>
      <c r="B181"/>
      <c r="C181"/>
      <c r="D181"/>
      <c r="E181"/>
      <c r="F181"/>
      <c r="G181"/>
      <c r="H181"/>
      <c r="I181"/>
    </row>
    <row r="182" spans="1:9" s="11" customFormat="1" x14ac:dyDescent="0.35">
      <c r="A182"/>
      <c r="B182"/>
      <c r="C182"/>
      <c r="D182"/>
      <c r="E182"/>
      <c r="F182"/>
      <c r="G182"/>
      <c r="H182"/>
      <c r="I182"/>
    </row>
    <row r="183" spans="1:9" s="11" customFormat="1" x14ac:dyDescent="0.35">
      <c r="A183"/>
      <c r="B183"/>
      <c r="C183"/>
      <c r="D183"/>
      <c r="E183"/>
      <c r="F183"/>
      <c r="G183"/>
      <c r="H183"/>
      <c r="I183"/>
    </row>
    <row r="184" spans="1:9" s="11" customFormat="1" x14ac:dyDescent="0.35">
      <c r="A184"/>
      <c r="B184"/>
      <c r="C184"/>
      <c r="D184"/>
      <c r="E184"/>
      <c r="F184"/>
      <c r="G184"/>
      <c r="H184"/>
      <c r="I184"/>
    </row>
    <row r="185" spans="1:9" s="11" customFormat="1" x14ac:dyDescent="0.35">
      <c r="A185"/>
      <c r="B185"/>
      <c r="C185"/>
      <c r="D185"/>
      <c r="E185"/>
      <c r="F185"/>
      <c r="G185"/>
      <c r="H185"/>
      <c r="I185"/>
    </row>
    <row r="186" spans="1:9" s="11" customFormat="1" x14ac:dyDescent="0.35">
      <c r="A186"/>
      <c r="B186"/>
      <c r="C186"/>
      <c r="D186"/>
      <c r="E186"/>
      <c r="F186"/>
      <c r="G186"/>
      <c r="H186"/>
      <c r="I186"/>
    </row>
    <row r="187" spans="1:9" s="11" customFormat="1" x14ac:dyDescent="0.35">
      <c r="A187"/>
      <c r="B187"/>
      <c r="C187"/>
      <c r="D187"/>
      <c r="E187"/>
      <c r="F187"/>
      <c r="G187"/>
      <c r="H187"/>
      <c r="I187"/>
    </row>
    <row r="188" spans="1:9" s="11" customFormat="1" x14ac:dyDescent="0.35">
      <c r="A188"/>
      <c r="B188"/>
      <c r="C188"/>
      <c r="D188"/>
      <c r="E188"/>
      <c r="F188"/>
      <c r="G188"/>
      <c r="H188"/>
      <c r="I188"/>
    </row>
    <row r="189" spans="1:9" s="11" customFormat="1" x14ac:dyDescent="0.35">
      <c r="A189"/>
      <c r="B189"/>
      <c r="C189"/>
      <c r="D189"/>
      <c r="E189"/>
      <c r="F189"/>
      <c r="G189"/>
      <c r="H189"/>
      <c r="I189"/>
    </row>
    <row r="190" spans="1:9" s="11" customFormat="1" x14ac:dyDescent="0.35">
      <c r="A190"/>
      <c r="B190"/>
      <c r="C190"/>
      <c r="D190"/>
      <c r="E190"/>
      <c r="F190"/>
      <c r="G190"/>
      <c r="H190"/>
      <c r="I190"/>
    </row>
    <row r="191" spans="1:9" s="11" customFormat="1" x14ac:dyDescent="0.35">
      <c r="A191"/>
      <c r="B191"/>
      <c r="C191"/>
      <c r="D191"/>
      <c r="E191"/>
      <c r="F191"/>
      <c r="G191"/>
      <c r="H191"/>
      <c r="I191"/>
    </row>
    <row r="192" spans="1:9" s="11" customFormat="1" x14ac:dyDescent="0.35">
      <c r="A192"/>
      <c r="B192"/>
      <c r="C192"/>
      <c r="D192"/>
      <c r="E192"/>
      <c r="F192"/>
      <c r="G192"/>
      <c r="H192"/>
      <c r="I192"/>
    </row>
    <row r="193" spans="1:9" s="11" customFormat="1" x14ac:dyDescent="0.35">
      <c r="A193"/>
      <c r="B193"/>
      <c r="C193"/>
      <c r="D193"/>
      <c r="E193"/>
      <c r="F193"/>
      <c r="G193"/>
      <c r="H193"/>
      <c r="I193"/>
    </row>
    <row r="194" spans="1:9" s="11" customFormat="1" x14ac:dyDescent="0.35">
      <c r="A194"/>
      <c r="B194"/>
      <c r="C194"/>
      <c r="D194"/>
      <c r="E194"/>
      <c r="F194"/>
      <c r="G194"/>
      <c r="H194"/>
      <c r="I194"/>
    </row>
    <row r="195" spans="1:9" s="11" customFormat="1" x14ac:dyDescent="0.35">
      <c r="A195"/>
      <c r="B195"/>
      <c r="C195"/>
      <c r="D195"/>
      <c r="E195"/>
      <c r="F195"/>
      <c r="G195"/>
      <c r="H195"/>
      <c r="I195"/>
    </row>
    <row r="196" spans="1:9" s="11" customFormat="1" x14ac:dyDescent="0.35">
      <c r="A196"/>
      <c r="B196"/>
      <c r="C196"/>
      <c r="D196"/>
      <c r="E196"/>
      <c r="F196"/>
      <c r="G196"/>
      <c r="H196"/>
      <c r="I196"/>
    </row>
    <row r="197" spans="1:9" s="11" customFormat="1" x14ac:dyDescent="0.35">
      <c r="A197"/>
      <c r="B197"/>
      <c r="C197"/>
      <c r="D197"/>
      <c r="E197"/>
      <c r="F197"/>
      <c r="G197"/>
      <c r="H197"/>
      <c r="I197"/>
    </row>
    <row r="198" spans="1:9" s="11" customFormat="1" x14ac:dyDescent="0.35">
      <c r="A198"/>
      <c r="B198"/>
      <c r="C198"/>
      <c r="D198"/>
      <c r="E198"/>
      <c r="F198"/>
      <c r="G198"/>
      <c r="H198"/>
      <c r="I198"/>
    </row>
    <row r="199" spans="1:9" s="11" customFormat="1" x14ac:dyDescent="0.35">
      <c r="A199"/>
      <c r="B199"/>
      <c r="C199"/>
      <c r="D199"/>
      <c r="E199"/>
      <c r="F199"/>
      <c r="G199"/>
      <c r="H199"/>
      <c r="I199"/>
    </row>
    <row r="200" spans="1:9" s="11" customFormat="1" x14ac:dyDescent="0.35">
      <c r="A200"/>
      <c r="B200"/>
      <c r="C200"/>
      <c r="D200"/>
      <c r="E200"/>
      <c r="F200"/>
      <c r="G200"/>
      <c r="H200"/>
      <c r="I200"/>
    </row>
    <row r="201" spans="1:9" s="11" customFormat="1" x14ac:dyDescent="0.35">
      <c r="A201"/>
      <c r="B201"/>
      <c r="C201"/>
      <c r="D201"/>
      <c r="E201"/>
      <c r="F201"/>
      <c r="G201"/>
      <c r="H201"/>
      <c r="I201"/>
    </row>
    <row r="202" spans="1:9" s="11" customFormat="1" x14ac:dyDescent="0.35">
      <c r="A202"/>
      <c r="B202"/>
      <c r="C202"/>
      <c r="D202"/>
      <c r="E202"/>
      <c r="F202"/>
      <c r="G202"/>
      <c r="H202"/>
      <c r="I202"/>
    </row>
    <row r="203" spans="1:9" s="11" customFormat="1" x14ac:dyDescent="0.35">
      <c r="A203"/>
      <c r="B203"/>
      <c r="C203"/>
      <c r="D203"/>
      <c r="E203"/>
      <c r="F203"/>
      <c r="G203"/>
      <c r="H203"/>
      <c r="I203"/>
    </row>
    <row r="204" spans="1:9" s="11" customFormat="1" x14ac:dyDescent="0.35">
      <c r="A204"/>
      <c r="B204"/>
      <c r="C204"/>
      <c r="D204"/>
      <c r="E204"/>
      <c r="F204"/>
      <c r="G204"/>
      <c r="H204"/>
      <c r="I204"/>
    </row>
    <row r="205" spans="1:9" s="11" customFormat="1" x14ac:dyDescent="0.35">
      <c r="A205"/>
      <c r="B205"/>
      <c r="C205"/>
      <c r="D205"/>
      <c r="E205"/>
      <c r="F205"/>
      <c r="G205"/>
      <c r="H205"/>
      <c r="I205"/>
    </row>
    <row r="206" spans="1:9" s="11" customFormat="1" x14ac:dyDescent="0.35">
      <c r="A206"/>
      <c r="B206"/>
      <c r="C206"/>
      <c r="D206"/>
      <c r="E206"/>
      <c r="F206"/>
      <c r="G206"/>
      <c r="H206"/>
      <c r="I206"/>
    </row>
    <row r="207" spans="1:9" s="11" customFormat="1" x14ac:dyDescent="0.35">
      <c r="A207"/>
      <c r="B207"/>
      <c r="C207"/>
      <c r="D207"/>
      <c r="E207"/>
      <c r="F207"/>
      <c r="G207"/>
      <c r="H207"/>
      <c r="I207"/>
    </row>
    <row r="208" spans="1:9" s="11" customFormat="1" x14ac:dyDescent="0.35">
      <c r="A208"/>
      <c r="B208"/>
      <c r="C208"/>
      <c r="D208"/>
      <c r="E208"/>
      <c r="F208"/>
      <c r="G208"/>
      <c r="H208"/>
      <c r="I208"/>
    </row>
    <row r="209" spans="1:9" s="11" customFormat="1" x14ac:dyDescent="0.35">
      <c r="A209"/>
      <c r="B209"/>
      <c r="C209"/>
      <c r="D209"/>
      <c r="E209"/>
      <c r="F209"/>
      <c r="G209"/>
      <c r="H209"/>
      <c r="I209"/>
    </row>
    <row r="210" spans="1:9" s="11" customFormat="1" x14ac:dyDescent="0.35">
      <c r="A210"/>
      <c r="B210"/>
      <c r="C210"/>
      <c r="D210"/>
      <c r="E210"/>
      <c r="F210"/>
      <c r="G210"/>
      <c r="H210"/>
      <c r="I210"/>
    </row>
    <row r="211" spans="1:9" s="11" customFormat="1" x14ac:dyDescent="0.35">
      <c r="A211"/>
      <c r="B211"/>
      <c r="C211"/>
      <c r="D211"/>
      <c r="E211"/>
      <c r="F211"/>
      <c r="G211"/>
      <c r="H211"/>
      <c r="I211"/>
    </row>
    <row r="212" spans="1:9" s="11" customFormat="1" x14ac:dyDescent="0.35">
      <c r="A212"/>
      <c r="B212"/>
      <c r="C212"/>
      <c r="D212"/>
      <c r="E212"/>
      <c r="F212"/>
      <c r="G212"/>
      <c r="H212"/>
      <c r="I212"/>
    </row>
    <row r="213" spans="1:9" s="11" customFormat="1" x14ac:dyDescent="0.35">
      <c r="A213"/>
      <c r="B213"/>
      <c r="C213"/>
      <c r="D213"/>
      <c r="E213"/>
      <c r="F213"/>
      <c r="G213"/>
      <c r="H213"/>
      <c r="I213"/>
    </row>
    <row r="214" spans="1:9" s="11" customFormat="1" x14ac:dyDescent="0.35">
      <c r="A214"/>
      <c r="B214"/>
      <c r="C214"/>
      <c r="D214"/>
      <c r="E214"/>
      <c r="F214"/>
      <c r="G214"/>
      <c r="H214"/>
      <c r="I214"/>
    </row>
    <row r="215" spans="1:9" s="11" customFormat="1" x14ac:dyDescent="0.35">
      <c r="A215"/>
      <c r="B215"/>
      <c r="C215"/>
      <c r="D215"/>
      <c r="E215"/>
      <c r="F215"/>
      <c r="G215"/>
      <c r="H215"/>
      <c r="I215"/>
    </row>
    <row r="216" spans="1:9" s="11" customFormat="1" x14ac:dyDescent="0.35">
      <c r="A216"/>
      <c r="B216"/>
      <c r="C216"/>
      <c r="D216"/>
      <c r="E216"/>
      <c r="F216"/>
      <c r="G216"/>
      <c r="H216"/>
      <c r="I216"/>
    </row>
    <row r="217" spans="1:9" s="11" customFormat="1" x14ac:dyDescent="0.35">
      <c r="A217"/>
      <c r="B217"/>
      <c r="C217"/>
      <c r="D217"/>
      <c r="E217"/>
      <c r="F217"/>
      <c r="G217"/>
      <c r="H217"/>
      <c r="I217"/>
    </row>
    <row r="218" spans="1:9" s="11" customFormat="1" x14ac:dyDescent="0.35">
      <c r="A218"/>
      <c r="B218"/>
      <c r="C218"/>
      <c r="D218"/>
      <c r="E218"/>
      <c r="F218"/>
      <c r="G218"/>
      <c r="H218"/>
      <c r="I218"/>
    </row>
    <row r="219" spans="1:9" s="11" customFormat="1" x14ac:dyDescent="0.35">
      <c r="A219"/>
      <c r="B219"/>
      <c r="C219"/>
      <c r="D219"/>
      <c r="E219"/>
      <c r="F219"/>
      <c r="G219"/>
      <c r="H219"/>
      <c r="I219"/>
    </row>
    <row r="220" spans="1:9" s="11" customFormat="1" x14ac:dyDescent="0.35">
      <c r="A220"/>
      <c r="B220"/>
      <c r="C220"/>
      <c r="D220"/>
      <c r="E220"/>
      <c r="F220"/>
      <c r="G220"/>
      <c r="H220"/>
      <c r="I220"/>
    </row>
    <row r="221" spans="1:9" s="11" customFormat="1" x14ac:dyDescent="0.35">
      <c r="A221"/>
      <c r="B221"/>
      <c r="C221"/>
      <c r="D221"/>
      <c r="E221"/>
      <c r="F221"/>
      <c r="G221"/>
      <c r="H221"/>
      <c r="I221"/>
    </row>
    <row r="222" spans="1:9" s="11" customFormat="1" x14ac:dyDescent="0.35">
      <c r="A222"/>
      <c r="B222"/>
      <c r="C222"/>
      <c r="D222"/>
      <c r="E222"/>
      <c r="F222"/>
      <c r="G222"/>
      <c r="H222"/>
      <c r="I222"/>
    </row>
    <row r="223" spans="1:9" s="11" customFormat="1" x14ac:dyDescent="0.35">
      <c r="A223"/>
      <c r="B223"/>
      <c r="C223"/>
      <c r="D223"/>
      <c r="E223"/>
      <c r="F223"/>
      <c r="G223"/>
      <c r="H223"/>
      <c r="I223"/>
    </row>
    <row r="224" spans="1:9" s="11" customFormat="1" x14ac:dyDescent="0.35">
      <c r="A224"/>
      <c r="B224"/>
      <c r="C224"/>
      <c r="D224"/>
      <c r="E224"/>
      <c r="F224"/>
      <c r="G224"/>
      <c r="H224"/>
      <c r="I224"/>
    </row>
    <row r="225" spans="1:9" s="11" customFormat="1" x14ac:dyDescent="0.35">
      <c r="A225"/>
      <c r="B225"/>
      <c r="C225"/>
      <c r="D225"/>
      <c r="E225"/>
      <c r="F225"/>
      <c r="G225"/>
      <c r="H225"/>
      <c r="I225"/>
    </row>
    <row r="226" spans="1:9" s="11" customFormat="1" x14ac:dyDescent="0.35">
      <c r="A226"/>
      <c r="B226"/>
      <c r="C226"/>
      <c r="D226"/>
      <c r="E226"/>
      <c r="F226"/>
      <c r="G226"/>
      <c r="H226"/>
      <c r="I226"/>
    </row>
    <row r="227" spans="1:9" s="11" customFormat="1" x14ac:dyDescent="0.35">
      <c r="A227"/>
      <c r="B227"/>
      <c r="C227"/>
      <c r="D227"/>
      <c r="E227"/>
      <c r="F227"/>
      <c r="G227"/>
      <c r="H227"/>
      <c r="I227"/>
    </row>
    <row r="228" spans="1:9" s="11" customFormat="1" x14ac:dyDescent="0.35">
      <c r="A228"/>
      <c r="B228"/>
      <c r="C228"/>
      <c r="D228"/>
      <c r="E228"/>
      <c r="F228"/>
      <c r="G228"/>
      <c r="H228"/>
      <c r="I228"/>
    </row>
    <row r="229" spans="1:9" s="11" customFormat="1" x14ac:dyDescent="0.35">
      <c r="A229"/>
      <c r="B229"/>
      <c r="C229"/>
      <c r="D229"/>
      <c r="E229"/>
      <c r="F229"/>
      <c r="G229"/>
      <c r="H229"/>
      <c r="I229"/>
    </row>
    <row r="230" spans="1:9" s="11" customFormat="1" x14ac:dyDescent="0.35">
      <c r="A230"/>
      <c r="B230"/>
      <c r="C230"/>
      <c r="D230"/>
      <c r="E230"/>
      <c r="F230"/>
      <c r="G230"/>
      <c r="H230"/>
      <c r="I230"/>
    </row>
    <row r="231" spans="1:9" s="11" customFormat="1" x14ac:dyDescent="0.35">
      <c r="A231"/>
      <c r="B231"/>
      <c r="C231"/>
      <c r="D231"/>
      <c r="E231"/>
      <c r="F231"/>
      <c r="G231"/>
      <c r="H231"/>
      <c r="I231"/>
    </row>
    <row r="232" spans="1:9" s="11" customFormat="1" x14ac:dyDescent="0.35">
      <c r="A232"/>
      <c r="B232"/>
      <c r="C232"/>
      <c r="D232"/>
      <c r="E232"/>
      <c r="F232"/>
      <c r="G232"/>
      <c r="H232"/>
      <c r="I232"/>
    </row>
    <row r="233" spans="1:9" s="11" customFormat="1" x14ac:dyDescent="0.35">
      <c r="A233"/>
      <c r="B233"/>
      <c r="C233"/>
      <c r="D233"/>
      <c r="E233"/>
      <c r="F233"/>
      <c r="G233"/>
      <c r="H233"/>
      <c r="I233"/>
    </row>
    <row r="234" spans="1:9" s="11" customFormat="1" x14ac:dyDescent="0.35">
      <c r="A234"/>
      <c r="B234"/>
      <c r="C234"/>
      <c r="D234"/>
      <c r="E234"/>
      <c r="F234"/>
      <c r="G234"/>
      <c r="H234"/>
      <c r="I234"/>
    </row>
    <row r="235" spans="1:9" s="11" customFormat="1" x14ac:dyDescent="0.35">
      <c r="A235"/>
      <c r="B235"/>
      <c r="C235"/>
      <c r="D235"/>
      <c r="E235"/>
      <c r="F235"/>
      <c r="G235"/>
      <c r="H235"/>
      <c r="I235"/>
    </row>
    <row r="236" spans="1:9" s="11" customFormat="1" x14ac:dyDescent="0.35">
      <c r="A236"/>
      <c r="B236"/>
      <c r="C236"/>
      <c r="D236"/>
      <c r="E236"/>
      <c r="F236"/>
      <c r="G236"/>
      <c r="H236"/>
      <c r="I236"/>
    </row>
    <row r="237" spans="1:9" s="11" customFormat="1" x14ac:dyDescent="0.35">
      <c r="A237"/>
      <c r="B237"/>
      <c r="C237"/>
      <c r="D237"/>
      <c r="E237"/>
      <c r="F237"/>
      <c r="G237"/>
      <c r="H237"/>
      <c r="I237"/>
    </row>
    <row r="238" spans="1:9" s="11" customFormat="1" x14ac:dyDescent="0.35">
      <c r="A238"/>
      <c r="B238"/>
      <c r="C238"/>
      <c r="D238"/>
      <c r="E238"/>
      <c r="F238"/>
      <c r="G238"/>
      <c r="H238"/>
      <c r="I238"/>
    </row>
    <row r="239" spans="1:9" s="11" customFormat="1" x14ac:dyDescent="0.35">
      <c r="A239"/>
      <c r="B239"/>
      <c r="C239"/>
      <c r="D239"/>
      <c r="E239"/>
      <c r="F239"/>
      <c r="G239"/>
      <c r="H239"/>
      <c r="I239"/>
    </row>
    <row r="240" spans="1:9" s="11" customFormat="1" x14ac:dyDescent="0.35">
      <c r="A240"/>
      <c r="B240"/>
      <c r="C240"/>
      <c r="D240"/>
      <c r="E240"/>
      <c r="F240"/>
      <c r="G240"/>
      <c r="H240"/>
      <c r="I240"/>
    </row>
    <row r="241" spans="1:9" s="11" customFormat="1" x14ac:dyDescent="0.35">
      <c r="A241"/>
      <c r="B241"/>
      <c r="C241"/>
      <c r="D241"/>
      <c r="E241"/>
      <c r="F241"/>
      <c r="G241"/>
      <c r="H241"/>
      <c r="I241"/>
    </row>
  </sheetData>
  <phoneticPr fontId="1" type="noConversion"/>
  <dataValidations count="2">
    <dataValidation type="list" allowBlank="1" showInputMessage="1" showErrorMessage="1" sqref="O22" xr:uid="{E4CF7FE0-B233-4E5E-8092-C3F212C1C992}">
      <formula1>$S$8:$S$9</formula1>
    </dataValidation>
    <dataValidation type="list" allowBlank="1" showInputMessage="1" showErrorMessage="1" sqref="O25" xr:uid="{3A6CA656-B761-408A-A997-226B990FDCB6}">
      <formula1>$S$14:$S$15</formula1>
    </dataValidation>
  </dataValidations>
  <pageMargins left="0.7" right="0.7" top="0.75" bottom="0.75" header="0.3" footer="0.3"/>
  <drawing r:id="rId1"/>
  <tableParts count="3">
    <tablePart r:id="rId2"/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EEE06A4-0704-4188-8FE2-3C5881C75CCE}">
          <x14:formula1>
            <xm:f>TransportRate!$A$2:$A$309</xm:f>
          </x14:formula1>
          <xm:sqref>K12:K25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9DFEC4-CD28-494E-9709-C8A73E56BAD7}">
  <sheetPr codeName="Sheet2"/>
  <dimension ref="A1:G40"/>
  <sheetViews>
    <sheetView workbookViewId="0">
      <selection activeCell="D3" sqref="D3"/>
    </sheetView>
    <sheetView topLeftCell="A12" workbookViewId="1">
      <selection activeCell="C19" sqref="C19"/>
    </sheetView>
  </sheetViews>
  <sheetFormatPr defaultColWidth="0" defaultRowHeight="14.5" x14ac:dyDescent="0.35"/>
  <cols>
    <col min="1" max="1" width="77.7265625" bestFit="1" customWidth="1"/>
    <col min="2" max="2" width="7.453125" bestFit="1" customWidth="1"/>
    <col min="3" max="3" width="8.26953125" bestFit="1" customWidth="1"/>
    <col min="4" max="4" width="9.26953125" bestFit="1" customWidth="1"/>
    <col min="5" max="7" width="9.1796875" style="11" customWidth="1"/>
    <col min="8" max="16384" width="9.1796875" hidden="1"/>
  </cols>
  <sheetData>
    <row r="1" spans="1:4" x14ac:dyDescent="0.35">
      <c r="A1" s="7" t="s">
        <v>16</v>
      </c>
      <c r="B1" s="7" t="s">
        <v>17</v>
      </c>
      <c r="C1" s="7" t="s">
        <v>97</v>
      </c>
      <c r="D1" s="7" t="s">
        <v>106</v>
      </c>
    </row>
    <row r="2" spans="1:4" x14ac:dyDescent="0.35">
      <c r="A2" s="61" t="s">
        <v>330</v>
      </c>
      <c r="B2" s="61">
        <v>54.5</v>
      </c>
      <c r="C2" s="6" t="b">
        <v>1</v>
      </c>
      <c r="D2" s="4">
        <f>AVERAGE(AU[Estimate Container QTY])</f>
        <v>8</v>
      </c>
    </row>
    <row r="3" spans="1:4" x14ac:dyDescent="0.35">
      <c r="A3" s="61" t="s">
        <v>331</v>
      </c>
      <c r="B3" s="61">
        <v>0.9</v>
      </c>
      <c r="C3" s="6" t="b">
        <v>1</v>
      </c>
      <c r="D3" s="4">
        <f>COUNTA(_xlfn.UNIQUE(AU[ITEM]))</f>
        <v>48</v>
      </c>
    </row>
    <row r="4" spans="1:4" x14ac:dyDescent="0.35">
      <c r="A4" s="61" t="s">
        <v>332</v>
      </c>
      <c r="B4" s="61">
        <v>414.2</v>
      </c>
      <c r="C4" s="6" t="b">
        <v>0</v>
      </c>
      <c r="D4" s="4">
        <f>AVERAGE(AU[Estimate Container QTY])</f>
        <v>8</v>
      </c>
    </row>
    <row r="5" spans="1:4" x14ac:dyDescent="0.35">
      <c r="A5" s="61" t="s">
        <v>333</v>
      </c>
      <c r="B5" s="61">
        <v>300</v>
      </c>
      <c r="C5" s="6" t="b">
        <v>0</v>
      </c>
      <c r="D5" s="4">
        <f>AVERAGE(AU[Estimate Container QTY])</f>
        <v>8</v>
      </c>
    </row>
    <row r="6" spans="1:4" x14ac:dyDescent="0.35">
      <c r="A6" s="61" t="s">
        <v>334</v>
      </c>
      <c r="B6" s="61">
        <v>828.4</v>
      </c>
      <c r="C6" s="6" t="b">
        <v>0</v>
      </c>
      <c r="D6" s="4">
        <f>AVERAGE(AU[Estimate Container QTY])</f>
        <v>8</v>
      </c>
    </row>
    <row r="7" spans="1:4" x14ac:dyDescent="0.35">
      <c r="A7" s="61" t="s">
        <v>333</v>
      </c>
      <c r="B7" s="61">
        <v>600</v>
      </c>
      <c r="C7" s="6" t="b">
        <v>1</v>
      </c>
      <c r="D7" s="4">
        <f>AVERAGE(AU[Estimate Container QTY])</f>
        <v>8</v>
      </c>
    </row>
    <row r="8" spans="1:4" x14ac:dyDescent="0.35">
      <c r="A8" s="61" t="s">
        <v>335</v>
      </c>
      <c r="B8" s="61">
        <v>55</v>
      </c>
      <c r="C8" s="6" t="b">
        <v>0</v>
      </c>
      <c r="D8" s="4">
        <f>AVERAGE(AU[Estimate Container QTY])</f>
        <v>8</v>
      </c>
    </row>
    <row r="9" spans="1:4" x14ac:dyDescent="0.35">
      <c r="A9" s="61" t="s">
        <v>336</v>
      </c>
      <c r="B9" s="61">
        <v>5.45</v>
      </c>
      <c r="C9" s="6" t="b">
        <v>1</v>
      </c>
      <c r="D9">
        <f>SUM(AU[Pallet Quantity])</f>
        <v>353</v>
      </c>
    </row>
    <row r="10" spans="1:4" x14ac:dyDescent="0.35">
      <c r="A10" s="61" t="s">
        <v>337</v>
      </c>
      <c r="B10" s="61">
        <v>0.9</v>
      </c>
      <c r="C10" s="6" t="b">
        <v>0</v>
      </c>
      <c r="D10" s="4">
        <f>COUNTA(_xlfn.UNIQUE(AU[ITEM]))</f>
        <v>48</v>
      </c>
    </row>
    <row r="11" spans="1:4" x14ac:dyDescent="0.35">
      <c r="A11" s="61" t="s">
        <v>338</v>
      </c>
      <c r="B11" s="61">
        <v>3.27</v>
      </c>
      <c r="C11" s="6" t="b">
        <v>1</v>
      </c>
      <c r="D11">
        <f>SUM(AU[Pallet Quantity])</f>
        <v>353</v>
      </c>
    </row>
    <row r="12" spans="1:4" x14ac:dyDescent="0.35">
      <c r="A12" s="61" t="s">
        <v>339</v>
      </c>
      <c r="B12" s="61">
        <v>11</v>
      </c>
      <c r="C12" s="6" t="b">
        <v>0</v>
      </c>
      <c r="D12" s="4">
        <f>AVERAGE(AU[Number of Trucks])</f>
        <v>15</v>
      </c>
    </row>
    <row r="13" spans="1:4" x14ac:dyDescent="0.35">
      <c r="A13" s="61" t="s">
        <v>340</v>
      </c>
      <c r="B13" s="61">
        <v>1.1000000000000001</v>
      </c>
      <c r="C13" s="6" t="b">
        <v>0</v>
      </c>
      <c r="D13">
        <f>SUM(AU[Pallet Quantity])</f>
        <v>353</v>
      </c>
    </row>
    <row r="14" spans="1:4" x14ac:dyDescent="0.35">
      <c r="A14" s="61" t="s">
        <v>341</v>
      </c>
      <c r="B14" s="61">
        <v>20</v>
      </c>
      <c r="C14" s="6" t="b">
        <v>0</v>
      </c>
      <c r="D14">
        <f>SUM(AU[Pallet Quantity])</f>
        <v>353</v>
      </c>
    </row>
    <row r="15" spans="1:4" x14ac:dyDescent="0.35">
      <c r="A15" s="61" t="s">
        <v>342</v>
      </c>
      <c r="B15" s="61">
        <v>3.052</v>
      </c>
      <c r="C15" s="6" t="b">
        <v>0</v>
      </c>
      <c r="D15">
        <f>SUM(AU[Pallet Quantity])</f>
        <v>353</v>
      </c>
    </row>
    <row r="16" spans="1:4" x14ac:dyDescent="0.35">
      <c r="A16" s="61" t="s">
        <v>343</v>
      </c>
      <c r="B16" s="61">
        <v>5.3</v>
      </c>
      <c r="C16" s="6" t="b">
        <v>1</v>
      </c>
      <c r="D16">
        <f>SUM(AU[Pallet Quantity])</f>
        <v>353</v>
      </c>
    </row>
    <row r="17" spans="1:4" x14ac:dyDescent="0.35">
      <c r="A17" s="61" t="s">
        <v>344</v>
      </c>
      <c r="B17" s="61">
        <v>0.9</v>
      </c>
      <c r="C17" s="6" t="b">
        <v>0</v>
      </c>
      <c r="D17" s="10"/>
    </row>
    <row r="18" spans="1:4" x14ac:dyDescent="0.35">
      <c r="A18" s="61" t="s">
        <v>345</v>
      </c>
      <c r="B18" s="61">
        <v>5.9950000000000001</v>
      </c>
      <c r="C18" s="6" t="b">
        <v>1</v>
      </c>
      <c r="D18" s="4">
        <f>AVERAGE(AU[Number of Trucks])</f>
        <v>15</v>
      </c>
    </row>
    <row r="19" spans="1:4" x14ac:dyDescent="0.35">
      <c r="A19" s="61" t="s">
        <v>346</v>
      </c>
      <c r="B19" s="61">
        <v>0.3</v>
      </c>
      <c r="C19" s="6" t="b">
        <v>1</v>
      </c>
      <c r="D19">
        <f>SUM(AU[Annual Case Quantity])</f>
        <v>13500</v>
      </c>
    </row>
    <row r="20" spans="1:4" x14ac:dyDescent="0.35">
      <c r="A20" s="61" t="s">
        <v>347</v>
      </c>
      <c r="B20" s="61">
        <v>0.5</v>
      </c>
      <c r="C20" s="6" t="b">
        <v>0</v>
      </c>
      <c r="D20" s="10"/>
    </row>
    <row r="21" spans="1:4" x14ac:dyDescent="0.35">
      <c r="A21" s="61" t="s">
        <v>348</v>
      </c>
      <c r="B21" s="61">
        <v>0.9</v>
      </c>
      <c r="C21" s="6" t="b">
        <v>0</v>
      </c>
      <c r="D21" s="10"/>
    </row>
    <row r="22" spans="1:4" x14ac:dyDescent="0.35">
      <c r="A22" s="61" t="s">
        <v>349</v>
      </c>
      <c r="B22" s="61">
        <v>3.27</v>
      </c>
      <c r="C22" s="6" t="b">
        <v>0</v>
      </c>
      <c r="D22" s="10"/>
    </row>
    <row r="23" spans="1:4" x14ac:dyDescent="0.35">
      <c r="A23" s="61" t="s">
        <v>345</v>
      </c>
      <c r="B23" s="61">
        <v>2.62</v>
      </c>
      <c r="C23" s="6" t="b">
        <v>0</v>
      </c>
      <c r="D23" s="10"/>
    </row>
    <row r="24" spans="1:4" x14ac:dyDescent="0.35">
      <c r="A24" s="61" t="s">
        <v>350</v>
      </c>
      <c r="B24" s="61">
        <v>0.3</v>
      </c>
      <c r="C24" s="6" t="b">
        <v>0</v>
      </c>
      <c r="D24" s="10"/>
    </row>
    <row r="25" spans="1:4" x14ac:dyDescent="0.35">
      <c r="A25" s="61" t="s">
        <v>351</v>
      </c>
      <c r="B25" s="61">
        <v>0.5</v>
      </c>
      <c r="C25" s="6" t="b">
        <v>0</v>
      </c>
      <c r="D25" s="10"/>
    </row>
    <row r="26" spans="1:4" x14ac:dyDescent="0.35">
      <c r="A26" s="61" t="s">
        <v>352</v>
      </c>
      <c r="B26" s="61">
        <v>0.9</v>
      </c>
      <c r="C26" s="6" t="b">
        <v>0</v>
      </c>
      <c r="D26">
        <f>SUM(AU[Annual Case Quantity])</f>
        <v>13500</v>
      </c>
    </row>
    <row r="27" spans="1:4" x14ac:dyDescent="0.35">
      <c r="A27" s="61" t="s">
        <v>353</v>
      </c>
      <c r="B27" s="61">
        <v>3.27</v>
      </c>
      <c r="C27" s="6" t="b">
        <v>0</v>
      </c>
      <c r="D27">
        <f>SUM(AU[Pallet Quantity])</f>
        <v>353</v>
      </c>
    </row>
    <row r="28" spans="1:4" x14ac:dyDescent="0.35">
      <c r="A28" s="61" t="s">
        <v>354</v>
      </c>
      <c r="B28" s="61">
        <v>11</v>
      </c>
      <c r="C28" s="6" t="b">
        <v>0</v>
      </c>
      <c r="D28">
        <f>SUM(AU[Pallet Quantity])</f>
        <v>353</v>
      </c>
    </row>
    <row r="29" spans="1:4" x14ac:dyDescent="0.35">
      <c r="A29" s="61" t="s">
        <v>340</v>
      </c>
      <c r="B29" s="61">
        <v>1.1000000000000001</v>
      </c>
      <c r="C29" s="6" t="b">
        <v>0</v>
      </c>
      <c r="D29">
        <f>SUM(AU[Pallet Quantity])</f>
        <v>353</v>
      </c>
    </row>
    <row r="30" spans="1:4" x14ac:dyDescent="0.35">
      <c r="A30" s="61" t="s">
        <v>355</v>
      </c>
      <c r="B30" s="61">
        <v>0.5</v>
      </c>
      <c r="C30" s="6" t="b">
        <v>0</v>
      </c>
      <c r="D30">
        <f>SUM(AU[Annual Case Quantity])</f>
        <v>13500</v>
      </c>
    </row>
    <row r="31" spans="1:4" x14ac:dyDescent="0.35">
      <c r="A31" s="61" t="s">
        <v>342</v>
      </c>
      <c r="B31" s="61">
        <v>3.052</v>
      </c>
      <c r="C31" s="6" t="b">
        <v>0</v>
      </c>
      <c r="D31" s="10"/>
    </row>
    <row r="32" spans="1:4" x14ac:dyDescent="0.35">
      <c r="A32" s="61" t="s">
        <v>356</v>
      </c>
      <c r="B32" s="61">
        <v>2000</v>
      </c>
      <c r="C32" s="6" t="b">
        <v>0</v>
      </c>
      <c r="D32" s="10"/>
    </row>
    <row r="33" spans="1:4" x14ac:dyDescent="0.35">
      <c r="A33" s="61" t="s">
        <v>357</v>
      </c>
      <c r="B33" s="61">
        <v>75</v>
      </c>
      <c r="C33" s="6" t="b">
        <v>0</v>
      </c>
      <c r="D33">
        <f>SUM(AU[Pallet Quantity])</f>
        <v>353</v>
      </c>
    </row>
    <row r="34" spans="1:4" x14ac:dyDescent="0.35">
      <c r="A34" s="61" t="s">
        <v>358</v>
      </c>
      <c r="B34" s="61">
        <v>65</v>
      </c>
      <c r="C34" s="6" t="b">
        <v>0</v>
      </c>
      <c r="D34">
        <f>SUM(AU[Pallet Quantity])</f>
        <v>353</v>
      </c>
    </row>
    <row r="35" spans="1:4" x14ac:dyDescent="0.35">
      <c r="A35" s="61" t="s">
        <v>359</v>
      </c>
      <c r="B35" s="61">
        <v>55</v>
      </c>
      <c r="C35" s="6" t="b">
        <v>0</v>
      </c>
      <c r="D35">
        <f>SUM(AU[Annual Case Quantity])</f>
        <v>13500</v>
      </c>
    </row>
    <row r="36" spans="1:4" x14ac:dyDescent="0.35">
      <c r="A36" s="61" t="s">
        <v>360</v>
      </c>
      <c r="B36" s="61">
        <v>25</v>
      </c>
      <c r="C36" s="6" t="b">
        <v>0</v>
      </c>
      <c r="D36">
        <f>SUM(AU[Pallet Quantity])</f>
        <v>353</v>
      </c>
    </row>
    <row r="37" spans="1:4" x14ac:dyDescent="0.35">
      <c r="A37" s="61" t="s">
        <v>361</v>
      </c>
      <c r="B37" s="61">
        <v>45</v>
      </c>
      <c r="C37" s="6" t="b">
        <v>0</v>
      </c>
      <c r="D37">
        <f>SUM(AU[Pallet Quantity])</f>
        <v>353</v>
      </c>
    </row>
    <row r="38" spans="1:4" x14ac:dyDescent="0.35">
      <c r="A38" s="61" t="s">
        <v>362</v>
      </c>
      <c r="B38" s="61">
        <v>20</v>
      </c>
      <c r="C38" s="6" t="b">
        <v>0</v>
      </c>
      <c r="D38">
        <f>SUM(AU[Pallet Quantity])</f>
        <v>353</v>
      </c>
    </row>
    <row r="39" spans="1:4" x14ac:dyDescent="0.35">
      <c r="A39" s="61" t="s">
        <v>363</v>
      </c>
      <c r="B39" s="61">
        <v>0.15</v>
      </c>
      <c r="C39" s="6" t="b">
        <v>0</v>
      </c>
      <c r="D39" s="10"/>
    </row>
    <row r="40" spans="1:4" x14ac:dyDescent="0.35">
      <c r="A40" s="61" t="s">
        <v>364</v>
      </c>
      <c r="B40" s="61">
        <v>420</v>
      </c>
      <c r="C40" s="6" t="b">
        <v>0</v>
      </c>
      <c r="D40" s="10"/>
    </row>
  </sheetData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F23C9-FEC1-4CCB-A910-FC816AEBDCA7}">
  <sheetPr codeName="Sheet14"/>
  <dimension ref="A1:O344"/>
  <sheetViews>
    <sheetView workbookViewId="0">
      <selection activeCell="B24" sqref="B24"/>
    </sheetView>
    <sheetView workbookViewId="1"/>
  </sheetViews>
  <sheetFormatPr defaultColWidth="0" defaultRowHeight="14.5" x14ac:dyDescent="0.35"/>
  <cols>
    <col min="1" max="1" width="10.6328125" bestFit="1" customWidth="1"/>
    <col min="2" max="2" width="42.26953125" bestFit="1" customWidth="1"/>
    <col min="3" max="3" width="10.36328125" style="21" bestFit="1" customWidth="1"/>
    <col min="4" max="4" width="10.1796875" style="39" bestFit="1" customWidth="1"/>
    <col min="5" max="5" width="11.1796875" bestFit="1" customWidth="1"/>
    <col min="6" max="6" width="15.6328125" style="8" bestFit="1" customWidth="1"/>
    <col min="7" max="7" width="0.453125" style="52" customWidth="1"/>
    <col min="8" max="9" width="12" style="21" hidden="1" customWidth="1"/>
    <col min="10" max="10" width="16.26953125" hidden="1" customWidth="1"/>
    <col min="11" max="11" width="18.81640625" hidden="1" customWidth="1"/>
    <col min="12" max="12" width="10.81640625" hidden="1" customWidth="1"/>
    <col min="13" max="13" width="14" hidden="1" customWidth="1"/>
    <col min="14" max="14" width="16.81640625" hidden="1" customWidth="1"/>
    <col min="15" max="15" width="12" hidden="1" customWidth="1"/>
    <col min="16" max="16384" width="9.1796875" hidden="1"/>
  </cols>
  <sheetData>
    <row r="1" spans="1:9" x14ac:dyDescent="0.35">
      <c r="A1" t="s">
        <v>104</v>
      </c>
      <c r="B1" t="s">
        <v>16</v>
      </c>
      <c r="C1" s="21" t="s">
        <v>213</v>
      </c>
      <c r="D1" s="39" t="s">
        <v>17</v>
      </c>
      <c r="E1" t="s">
        <v>211</v>
      </c>
      <c r="F1" s="8" t="s">
        <v>109</v>
      </c>
      <c r="G1" s="11"/>
      <c r="H1"/>
      <c r="I1"/>
    </row>
    <row r="2" spans="1:9" x14ac:dyDescent="0.35">
      <c r="A2" s="62" t="s">
        <v>100</v>
      </c>
      <c r="B2" s="63" t="s">
        <v>101</v>
      </c>
      <c r="C2" s="21">
        <v>8</v>
      </c>
      <c r="D2" s="39">
        <v>5439</v>
      </c>
      <c r="E2" s="39">
        <v>43512</v>
      </c>
      <c r="F2" s="8">
        <v>0.54463693620909803</v>
      </c>
      <c r="G2" s="51"/>
      <c r="H2"/>
      <c r="I2"/>
    </row>
    <row r="3" spans="1:9" x14ac:dyDescent="0.35">
      <c r="A3" s="62" t="s">
        <v>100</v>
      </c>
      <c r="B3" s="63" t="s">
        <v>102</v>
      </c>
      <c r="C3" s="21">
        <v>8</v>
      </c>
      <c r="D3" s="39">
        <v>1617</v>
      </c>
      <c r="E3" s="39">
        <v>12936</v>
      </c>
      <c r="F3" s="8">
        <v>0.16191908914324499</v>
      </c>
      <c r="G3" s="51"/>
      <c r="H3"/>
      <c r="I3"/>
    </row>
    <row r="4" spans="1:9" x14ac:dyDescent="0.35">
      <c r="A4" s="63" t="s">
        <v>105</v>
      </c>
      <c r="B4" s="63" t="s">
        <v>330</v>
      </c>
      <c r="C4" s="21">
        <v>8</v>
      </c>
      <c r="D4" s="39">
        <v>54.5</v>
      </c>
      <c r="E4" s="39">
        <v>436</v>
      </c>
      <c r="F4" s="8">
        <v>5.4573842661143198E-3</v>
      </c>
      <c r="G4" s="51"/>
      <c r="H4"/>
      <c r="I4"/>
    </row>
    <row r="5" spans="1:9" x14ac:dyDescent="0.35">
      <c r="A5" s="63" t="s">
        <v>105</v>
      </c>
      <c r="B5" s="63" t="s">
        <v>331</v>
      </c>
      <c r="C5" s="21">
        <v>48</v>
      </c>
      <c r="D5" s="39">
        <v>0.9</v>
      </c>
      <c r="E5" s="39">
        <v>43.2</v>
      </c>
      <c r="F5" s="8">
        <v>5.4073165205536405E-4</v>
      </c>
      <c r="G5" s="51"/>
      <c r="H5"/>
      <c r="I5"/>
    </row>
    <row r="6" spans="1:9" x14ac:dyDescent="0.35">
      <c r="A6" s="63" t="s">
        <v>105</v>
      </c>
      <c r="B6" s="63" t="s">
        <v>333</v>
      </c>
      <c r="C6" s="21">
        <v>8</v>
      </c>
      <c r="D6" s="39">
        <v>600</v>
      </c>
      <c r="E6" s="39">
        <v>4800</v>
      </c>
      <c r="F6" s="8">
        <v>6.0081294672818301E-2</v>
      </c>
      <c r="G6" s="51"/>
      <c r="H6"/>
      <c r="I6"/>
    </row>
    <row r="7" spans="1:9" x14ac:dyDescent="0.35">
      <c r="A7" s="63" t="s">
        <v>105</v>
      </c>
      <c r="B7" s="63" t="s">
        <v>336</v>
      </c>
      <c r="C7" s="21">
        <v>353</v>
      </c>
      <c r="D7" s="39">
        <v>5.45</v>
      </c>
      <c r="E7" s="39">
        <v>1923.8500000000001</v>
      </c>
      <c r="F7" s="8">
        <v>2.40807080742295E-2</v>
      </c>
      <c r="G7" s="51"/>
      <c r="H7"/>
      <c r="I7"/>
    </row>
    <row r="8" spans="1:9" x14ac:dyDescent="0.35">
      <c r="A8" s="63" t="s">
        <v>105</v>
      </c>
      <c r="B8" s="63" t="s">
        <v>338</v>
      </c>
      <c r="C8" s="21">
        <v>353</v>
      </c>
      <c r="D8" s="39">
        <v>3.27</v>
      </c>
      <c r="E8" s="39">
        <v>1154.31</v>
      </c>
      <c r="F8" s="8">
        <v>1.44484248445377E-2</v>
      </c>
      <c r="G8" s="51"/>
      <c r="H8"/>
      <c r="I8"/>
    </row>
    <row r="9" spans="1:9" x14ac:dyDescent="0.35">
      <c r="A9" s="63" t="s">
        <v>105</v>
      </c>
      <c r="B9" s="63" t="s">
        <v>343</v>
      </c>
      <c r="C9" s="21">
        <v>353</v>
      </c>
      <c r="D9" s="39">
        <v>5.3</v>
      </c>
      <c r="E9" s="39">
        <v>1870.8999999999999</v>
      </c>
      <c r="F9" s="8">
        <v>2.3417936292369899E-2</v>
      </c>
      <c r="G9" s="51"/>
      <c r="H9"/>
      <c r="I9"/>
    </row>
    <row r="10" spans="1:9" x14ac:dyDescent="0.35">
      <c r="A10" s="63" t="s">
        <v>105</v>
      </c>
      <c r="B10" s="63" t="s">
        <v>345</v>
      </c>
      <c r="C10" s="21">
        <v>15</v>
      </c>
      <c r="D10" s="39">
        <v>5.9950000000000001</v>
      </c>
      <c r="E10" s="39">
        <v>89.924999999999997</v>
      </c>
      <c r="F10" s="8">
        <v>1.1255855048860799E-3</v>
      </c>
      <c r="G10" s="51"/>
      <c r="H10"/>
      <c r="I10"/>
    </row>
    <row r="11" spans="1:9" x14ac:dyDescent="0.35">
      <c r="A11" s="63" t="s">
        <v>105</v>
      </c>
      <c r="B11" s="63" t="s">
        <v>346</v>
      </c>
      <c r="C11" s="21">
        <v>13500</v>
      </c>
      <c r="D11" s="39">
        <v>0.3</v>
      </c>
      <c r="E11" s="39">
        <v>4050</v>
      </c>
      <c r="F11" s="8">
        <v>5.0693592380190403E-2</v>
      </c>
      <c r="G11" s="51"/>
      <c r="H11"/>
      <c r="I11"/>
    </row>
    <row r="12" spans="1:9" x14ac:dyDescent="0.35">
      <c r="A12" s="63" t="s">
        <v>108</v>
      </c>
      <c r="B12" s="63" t="s">
        <v>366</v>
      </c>
      <c r="C12" s="21">
        <v>11</v>
      </c>
      <c r="D12" s="39">
        <v>748</v>
      </c>
      <c r="E12" s="39">
        <v>7290.397081697598</v>
      </c>
      <c r="F12" s="8">
        <v>9.1253436530693302E-2</v>
      </c>
      <c r="G12" s="51"/>
      <c r="H12"/>
      <c r="I12"/>
    </row>
    <row r="13" spans="1:9" x14ac:dyDescent="0.35">
      <c r="A13" s="63" t="s">
        <v>108</v>
      </c>
      <c r="B13" s="63" t="s">
        <v>373</v>
      </c>
      <c r="C13" s="21">
        <v>2</v>
      </c>
      <c r="D13" s="39">
        <v>104</v>
      </c>
      <c r="E13" s="39">
        <v>1620.1716852463994</v>
      </c>
      <c r="F13" s="8">
        <v>2.0279585925384501E-2</v>
      </c>
      <c r="G13" s="51"/>
      <c r="H13"/>
      <c r="I13"/>
    </row>
    <row r="14" spans="1:9" x14ac:dyDescent="0.35">
      <c r="A14" s="63" t="s">
        <v>108</v>
      </c>
      <c r="B14" s="63" t="s">
        <v>42</v>
      </c>
      <c r="C14" s="21">
        <v>1</v>
      </c>
      <c r="D14" s="39">
        <v>90</v>
      </c>
      <c r="E14" s="39">
        <v>90</v>
      </c>
      <c r="F14" s="8">
        <v>1.1265242751153401E-3</v>
      </c>
      <c r="G14" s="51"/>
      <c r="H14"/>
      <c r="I14"/>
    </row>
    <row r="15" spans="1:9" x14ac:dyDescent="0.35">
      <c r="A15" s="63" t="s">
        <v>108</v>
      </c>
      <c r="B15" s="63" t="s">
        <v>56</v>
      </c>
      <c r="C15" s="21">
        <v>3</v>
      </c>
      <c r="D15" s="39">
        <v>225</v>
      </c>
      <c r="E15" s="39">
        <v>75</v>
      </c>
      <c r="F15" s="8">
        <v>9.3877022926278498E-4</v>
      </c>
      <c r="G15" s="11"/>
      <c r="H15"/>
      <c r="I15"/>
    </row>
    <row r="16" spans="1:9" x14ac:dyDescent="0.35">
      <c r="E16" s="39">
        <f>SUM(E2:E15)</f>
        <v>79891.753766943992</v>
      </c>
      <c r="F16" s="44"/>
      <c r="G16" s="11"/>
      <c r="H16"/>
      <c r="I16"/>
    </row>
    <row r="17" spans="5:9" x14ac:dyDescent="0.35">
      <c r="E17" s="39"/>
      <c r="G17" s="11"/>
      <c r="H17"/>
      <c r="I17"/>
    </row>
    <row r="18" spans="5:9" x14ac:dyDescent="0.35">
      <c r="E18" s="39"/>
    </row>
    <row r="19" spans="5:9" x14ac:dyDescent="0.35">
      <c r="E19" s="39"/>
    </row>
    <row r="20" spans="5:9" x14ac:dyDescent="0.35">
      <c r="E20" s="39"/>
    </row>
    <row r="21" spans="5:9" x14ac:dyDescent="0.35">
      <c r="E21" s="39"/>
    </row>
    <row r="22" spans="5:9" x14ac:dyDescent="0.35">
      <c r="E22" s="39"/>
    </row>
    <row r="23" spans="5:9" x14ac:dyDescent="0.35">
      <c r="E23" s="39"/>
    </row>
    <row r="24" spans="5:9" x14ac:dyDescent="0.35">
      <c r="E24" s="39"/>
    </row>
    <row r="25" spans="5:9" x14ac:dyDescent="0.35">
      <c r="E25" s="39"/>
    </row>
    <row r="26" spans="5:9" x14ac:dyDescent="0.35">
      <c r="E26" s="39"/>
    </row>
    <row r="27" spans="5:9" x14ac:dyDescent="0.35">
      <c r="E27" s="39"/>
    </row>
    <row r="28" spans="5:9" x14ac:dyDescent="0.35">
      <c r="E28" s="39"/>
    </row>
    <row r="29" spans="5:9" x14ac:dyDescent="0.35">
      <c r="E29" s="39"/>
    </row>
    <row r="30" spans="5:9" x14ac:dyDescent="0.35">
      <c r="E30" s="39"/>
    </row>
    <row r="31" spans="5:9" x14ac:dyDescent="0.35">
      <c r="E31" s="39"/>
    </row>
    <row r="32" spans="5:9" x14ac:dyDescent="0.35">
      <c r="E32" s="39"/>
    </row>
    <row r="33" spans="5:5" x14ac:dyDescent="0.35">
      <c r="E33" s="39"/>
    </row>
    <row r="34" spans="5:5" x14ac:dyDescent="0.35">
      <c r="E34" s="39"/>
    </row>
    <row r="35" spans="5:5" x14ac:dyDescent="0.35">
      <c r="E35" s="39"/>
    </row>
    <row r="36" spans="5:5" x14ac:dyDescent="0.35">
      <c r="E36" s="39"/>
    </row>
    <row r="37" spans="5:5" x14ac:dyDescent="0.35">
      <c r="E37" s="39"/>
    </row>
    <row r="38" spans="5:5" x14ac:dyDescent="0.35">
      <c r="E38" s="39"/>
    </row>
    <row r="39" spans="5:5" x14ac:dyDescent="0.35">
      <c r="E39" s="39"/>
    </row>
    <row r="40" spans="5:5" x14ac:dyDescent="0.35">
      <c r="E40" s="39"/>
    </row>
    <row r="41" spans="5:5" x14ac:dyDescent="0.35">
      <c r="E41" s="39"/>
    </row>
    <row r="42" spans="5:5" x14ac:dyDescent="0.35">
      <c r="E42" s="39"/>
    </row>
    <row r="43" spans="5:5" x14ac:dyDescent="0.35">
      <c r="E43" s="39"/>
    </row>
    <row r="44" spans="5:5" x14ac:dyDescent="0.35">
      <c r="E44" s="39"/>
    </row>
    <row r="45" spans="5:5" x14ac:dyDescent="0.35">
      <c r="E45" s="39"/>
    </row>
    <row r="46" spans="5:5" x14ac:dyDescent="0.35">
      <c r="E46" s="39"/>
    </row>
    <row r="47" spans="5:5" x14ac:dyDescent="0.35">
      <c r="E47" s="39"/>
    </row>
    <row r="48" spans="5:5" x14ac:dyDescent="0.35">
      <c r="E48" s="39"/>
    </row>
    <row r="49" spans="5:5" x14ac:dyDescent="0.35">
      <c r="E49" s="39"/>
    </row>
    <row r="50" spans="5:5" x14ac:dyDescent="0.35">
      <c r="E50" s="39"/>
    </row>
    <row r="51" spans="5:5" x14ac:dyDescent="0.35">
      <c r="E51" s="39"/>
    </row>
    <row r="52" spans="5:5" x14ac:dyDescent="0.35">
      <c r="E52" s="39"/>
    </row>
    <row r="53" spans="5:5" x14ac:dyDescent="0.35">
      <c r="E53" s="39"/>
    </row>
    <row r="54" spans="5:5" x14ac:dyDescent="0.35">
      <c r="E54" s="39"/>
    </row>
    <row r="55" spans="5:5" x14ac:dyDescent="0.35">
      <c r="E55" s="39"/>
    </row>
    <row r="56" spans="5:5" x14ac:dyDescent="0.35">
      <c r="E56" s="39"/>
    </row>
    <row r="57" spans="5:5" x14ac:dyDescent="0.35">
      <c r="E57" s="39"/>
    </row>
    <row r="58" spans="5:5" x14ac:dyDescent="0.35">
      <c r="E58" s="39"/>
    </row>
    <row r="59" spans="5:5" x14ac:dyDescent="0.35">
      <c r="E59" s="39"/>
    </row>
    <row r="60" spans="5:5" x14ac:dyDescent="0.35">
      <c r="E60" s="39"/>
    </row>
    <row r="61" spans="5:5" x14ac:dyDescent="0.35">
      <c r="E61" s="39"/>
    </row>
    <row r="62" spans="5:5" x14ac:dyDescent="0.35">
      <c r="E62" s="39"/>
    </row>
    <row r="63" spans="5:5" x14ac:dyDescent="0.35">
      <c r="E63" s="39"/>
    </row>
    <row r="64" spans="5:5" x14ac:dyDescent="0.35">
      <c r="E64" s="39"/>
    </row>
    <row r="65" spans="5:5" x14ac:dyDescent="0.35">
      <c r="E65" s="39"/>
    </row>
    <row r="66" spans="5:5" x14ac:dyDescent="0.35">
      <c r="E66" s="39"/>
    </row>
    <row r="67" spans="5:5" x14ac:dyDescent="0.35">
      <c r="E67" s="39"/>
    </row>
    <row r="68" spans="5:5" x14ac:dyDescent="0.35">
      <c r="E68" s="39"/>
    </row>
    <row r="69" spans="5:5" x14ac:dyDescent="0.35">
      <c r="E69" s="39"/>
    </row>
    <row r="70" spans="5:5" x14ac:dyDescent="0.35">
      <c r="E70" s="39"/>
    </row>
    <row r="71" spans="5:5" x14ac:dyDescent="0.35">
      <c r="E71" s="39"/>
    </row>
    <row r="72" spans="5:5" x14ac:dyDescent="0.35">
      <c r="E72" s="39"/>
    </row>
    <row r="73" spans="5:5" x14ac:dyDescent="0.35">
      <c r="E73" s="39"/>
    </row>
    <row r="74" spans="5:5" x14ac:dyDescent="0.35">
      <c r="E74" s="39"/>
    </row>
    <row r="75" spans="5:5" x14ac:dyDescent="0.35">
      <c r="E75" s="39"/>
    </row>
    <row r="76" spans="5:5" x14ac:dyDescent="0.35">
      <c r="E76" s="39"/>
    </row>
    <row r="77" spans="5:5" x14ac:dyDescent="0.35">
      <c r="E77" s="39"/>
    </row>
    <row r="78" spans="5:5" x14ac:dyDescent="0.35">
      <c r="E78" s="39"/>
    </row>
    <row r="79" spans="5:5" x14ac:dyDescent="0.35">
      <c r="E79" s="39"/>
    </row>
    <row r="80" spans="5:5" x14ac:dyDescent="0.35">
      <c r="E80" s="39"/>
    </row>
    <row r="81" spans="5:5" x14ac:dyDescent="0.35">
      <c r="E81" s="39"/>
    </row>
    <row r="82" spans="5:5" x14ac:dyDescent="0.35">
      <c r="E82" s="39"/>
    </row>
    <row r="83" spans="5:5" x14ac:dyDescent="0.35">
      <c r="E83" s="39"/>
    </row>
    <row r="84" spans="5:5" x14ac:dyDescent="0.35">
      <c r="E84" s="39"/>
    </row>
    <row r="85" spans="5:5" x14ac:dyDescent="0.35">
      <c r="E85" s="39"/>
    </row>
    <row r="86" spans="5:5" x14ac:dyDescent="0.35">
      <c r="E86" s="39"/>
    </row>
    <row r="87" spans="5:5" x14ac:dyDescent="0.35">
      <c r="E87" s="39"/>
    </row>
    <row r="88" spans="5:5" x14ac:dyDescent="0.35">
      <c r="E88" s="39"/>
    </row>
    <row r="89" spans="5:5" x14ac:dyDescent="0.35">
      <c r="E89" s="39"/>
    </row>
    <row r="90" spans="5:5" x14ac:dyDescent="0.35">
      <c r="E90" s="39"/>
    </row>
    <row r="91" spans="5:5" x14ac:dyDescent="0.35">
      <c r="E91" s="39"/>
    </row>
    <row r="92" spans="5:5" x14ac:dyDescent="0.35">
      <c r="E92" s="39"/>
    </row>
    <row r="93" spans="5:5" x14ac:dyDescent="0.35">
      <c r="E93" s="39"/>
    </row>
    <row r="94" spans="5:5" x14ac:dyDescent="0.35">
      <c r="E94" s="39"/>
    </row>
    <row r="95" spans="5:5" x14ac:dyDescent="0.35">
      <c r="E95" s="39"/>
    </row>
    <row r="96" spans="5:5" x14ac:dyDescent="0.35">
      <c r="E96" s="39"/>
    </row>
    <row r="97" spans="5:5" x14ac:dyDescent="0.35">
      <c r="E97" s="39"/>
    </row>
    <row r="98" spans="5:5" x14ac:dyDescent="0.35">
      <c r="E98" s="39"/>
    </row>
    <row r="99" spans="5:5" x14ac:dyDescent="0.35">
      <c r="E99" s="39"/>
    </row>
    <row r="100" spans="5:5" x14ac:dyDescent="0.35">
      <c r="E100" s="39"/>
    </row>
    <row r="101" spans="5:5" x14ac:dyDescent="0.35">
      <c r="E101" s="39"/>
    </row>
    <row r="102" spans="5:5" x14ac:dyDescent="0.35">
      <c r="E102" s="39"/>
    </row>
    <row r="103" spans="5:5" x14ac:dyDescent="0.35">
      <c r="E103" s="39"/>
    </row>
    <row r="104" spans="5:5" x14ac:dyDescent="0.35">
      <c r="E104" s="39"/>
    </row>
    <row r="105" spans="5:5" x14ac:dyDescent="0.35">
      <c r="E105" s="39"/>
    </row>
    <row r="106" spans="5:5" x14ac:dyDescent="0.35">
      <c r="E106" s="39"/>
    </row>
    <row r="107" spans="5:5" x14ac:dyDescent="0.35">
      <c r="E107" s="39"/>
    </row>
    <row r="108" spans="5:5" x14ac:dyDescent="0.35">
      <c r="E108" s="39"/>
    </row>
    <row r="109" spans="5:5" x14ac:dyDescent="0.35">
      <c r="E109" s="39"/>
    </row>
    <row r="110" spans="5:5" x14ac:dyDescent="0.35">
      <c r="E110" s="39"/>
    </row>
    <row r="111" spans="5:5" x14ac:dyDescent="0.35">
      <c r="E111" s="39"/>
    </row>
    <row r="112" spans="5:5" x14ac:dyDescent="0.35">
      <c r="E112" s="39"/>
    </row>
    <row r="113" spans="5:5" x14ac:dyDescent="0.35">
      <c r="E113" s="39"/>
    </row>
    <row r="114" spans="5:5" x14ac:dyDescent="0.35">
      <c r="E114" s="39"/>
    </row>
    <row r="115" spans="5:5" x14ac:dyDescent="0.35">
      <c r="E115" s="39"/>
    </row>
    <row r="116" spans="5:5" x14ac:dyDescent="0.35">
      <c r="E116" s="39"/>
    </row>
    <row r="117" spans="5:5" x14ac:dyDescent="0.35">
      <c r="E117" s="39"/>
    </row>
    <row r="118" spans="5:5" x14ac:dyDescent="0.35">
      <c r="E118" s="39"/>
    </row>
    <row r="119" spans="5:5" x14ac:dyDescent="0.35">
      <c r="E119" s="39"/>
    </row>
    <row r="120" spans="5:5" x14ac:dyDescent="0.35">
      <c r="E120" s="39"/>
    </row>
    <row r="121" spans="5:5" x14ac:dyDescent="0.35">
      <c r="E121" s="39"/>
    </row>
    <row r="122" spans="5:5" x14ac:dyDescent="0.35">
      <c r="E122" s="39"/>
    </row>
    <row r="123" spans="5:5" x14ac:dyDescent="0.35">
      <c r="E123" s="39"/>
    </row>
    <row r="124" spans="5:5" x14ac:dyDescent="0.35">
      <c r="E124" s="39"/>
    </row>
    <row r="125" spans="5:5" x14ac:dyDescent="0.35">
      <c r="E125" s="39"/>
    </row>
    <row r="126" spans="5:5" x14ac:dyDescent="0.35">
      <c r="E126" s="39"/>
    </row>
    <row r="127" spans="5:5" x14ac:dyDescent="0.35">
      <c r="E127" s="39"/>
    </row>
    <row r="128" spans="5:5" x14ac:dyDescent="0.35">
      <c r="E128" s="39"/>
    </row>
    <row r="129" spans="5:5" x14ac:dyDescent="0.35">
      <c r="E129" s="39"/>
    </row>
    <row r="130" spans="5:5" x14ac:dyDescent="0.35">
      <c r="E130" s="39"/>
    </row>
    <row r="131" spans="5:5" x14ac:dyDescent="0.35">
      <c r="E131" s="39"/>
    </row>
    <row r="132" spans="5:5" x14ac:dyDescent="0.35">
      <c r="E132" s="39"/>
    </row>
    <row r="133" spans="5:5" x14ac:dyDescent="0.35">
      <c r="E133" s="39"/>
    </row>
    <row r="134" spans="5:5" x14ac:dyDescent="0.35">
      <c r="E134" s="39"/>
    </row>
    <row r="135" spans="5:5" x14ac:dyDescent="0.35">
      <c r="E135" s="39"/>
    </row>
    <row r="136" spans="5:5" x14ac:dyDescent="0.35">
      <c r="E136" s="39"/>
    </row>
    <row r="137" spans="5:5" x14ac:dyDescent="0.35">
      <c r="E137" s="39"/>
    </row>
    <row r="138" spans="5:5" x14ac:dyDescent="0.35">
      <c r="E138" s="39"/>
    </row>
    <row r="139" spans="5:5" x14ac:dyDescent="0.35">
      <c r="E139" s="39"/>
    </row>
    <row r="140" spans="5:5" x14ac:dyDescent="0.35">
      <c r="E140" s="39"/>
    </row>
    <row r="141" spans="5:5" x14ac:dyDescent="0.35">
      <c r="E141" s="39"/>
    </row>
    <row r="142" spans="5:5" x14ac:dyDescent="0.35">
      <c r="E142" s="39"/>
    </row>
    <row r="143" spans="5:5" x14ac:dyDescent="0.35">
      <c r="E143" s="39"/>
    </row>
    <row r="144" spans="5:5" x14ac:dyDescent="0.35">
      <c r="E144" s="39"/>
    </row>
    <row r="145" spans="5:5" x14ac:dyDescent="0.35">
      <c r="E145" s="39"/>
    </row>
    <row r="146" spans="5:5" x14ac:dyDescent="0.35">
      <c r="E146" s="39"/>
    </row>
    <row r="147" spans="5:5" x14ac:dyDescent="0.35">
      <c r="E147" s="39"/>
    </row>
    <row r="148" spans="5:5" x14ac:dyDescent="0.35">
      <c r="E148" s="39"/>
    </row>
    <row r="149" spans="5:5" x14ac:dyDescent="0.35">
      <c r="E149" s="39"/>
    </row>
    <row r="150" spans="5:5" x14ac:dyDescent="0.35">
      <c r="E150" s="39"/>
    </row>
    <row r="151" spans="5:5" x14ac:dyDescent="0.35">
      <c r="E151" s="39"/>
    </row>
    <row r="152" spans="5:5" x14ac:dyDescent="0.35">
      <c r="E152" s="39"/>
    </row>
    <row r="153" spans="5:5" x14ac:dyDescent="0.35">
      <c r="E153" s="39"/>
    </row>
    <row r="154" spans="5:5" x14ac:dyDescent="0.35">
      <c r="E154" s="39"/>
    </row>
    <row r="155" spans="5:5" x14ac:dyDescent="0.35">
      <c r="E155" s="39"/>
    </row>
    <row r="156" spans="5:5" x14ac:dyDescent="0.35">
      <c r="E156" s="39"/>
    </row>
    <row r="157" spans="5:5" x14ac:dyDescent="0.35">
      <c r="E157" s="39"/>
    </row>
    <row r="158" spans="5:5" x14ac:dyDescent="0.35">
      <c r="E158" s="39"/>
    </row>
    <row r="159" spans="5:5" x14ac:dyDescent="0.35">
      <c r="E159" s="39"/>
    </row>
    <row r="160" spans="5:5" x14ac:dyDescent="0.35">
      <c r="E160" s="39"/>
    </row>
    <row r="161" spans="5:5" x14ac:dyDescent="0.35">
      <c r="E161" s="39"/>
    </row>
    <row r="162" spans="5:5" x14ac:dyDescent="0.35">
      <c r="E162" s="39"/>
    </row>
    <row r="163" spans="5:5" x14ac:dyDescent="0.35">
      <c r="E163" s="39"/>
    </row>
    <row r="164" spans="5:5" x14ac:dyDescent="0.35">
      <c r="E164" s="39"/>
    </row>
    <row r="165" spans="5:5" x14ac:dyDescent="0.35">
      <c r="E165" s="39"/>
    </row>
    <row r="166" spans="5:5" x14ac:dyDescent="0.35">
      <c r="E166" s="39"/>
    </row>
    <row r="167" spans="5:5" x14ac:dyDescent="0.35">
      <c r="E167" s="39"/>
    </row>
    <row r="168" spans="5:5" x14ac:dyDescent="0.35">
      <c r="E168" s="39"/>
    </row>
    <row r="169" spans="5:5" x14ac:dyDescent="0.35">
      <c r="E169" s="39"/>
    </row>
    <row r="170" spans="5:5" x14ac:dyDescent="0.35">
      <c r="E170" s="39"/>
    </row>
    <row r="171" spans="5:5" x14ac:dyDescent="0.35">
      <c r="E171" s="39"/>
    </row>
    <row r="172" spans="5:5" x14ac:dyDescent="0.35">
      <c r="E172" s="39"/>
    </row>
    <row r="173" spans="5:5" x14ac:dyDescent="0.35">
      <c r="E173" s="39"/>
    </row>
    <row r="174" spans="5:5" x14ac:dyDescent="0.35">
      <c r="E174" s="39"/>
    </row>
    <row r="175" spans="5:5" x14ac:dyDescent="0.35">
      <c r="E175" s="39"/>
    </row>
    <row r="176" spans="5:5" x14ac:dyDescent="0.35">
      <c r="E176" s="39"/>
    </row>
    <row r="177" spans="5:5" x14ac:dyDescent="0.35">
      <c r="E177" s="39"/>
    </row>
    <row r="178" spans="5:5" x14ac:dyDescent="0.35">
      <c r="E178" s="39"/>
    </row>
    <row r="179" spans="5:5" x14ac:dyDescent="0.35">
      <c r="E179" s="39"/>
    </row>
    <row r="180" spans="5:5" x14ac:dyDescent="0.35">
      <c r="E180" s="39"/>
    </row>
    <row r="181" spans="5:5" x14ac:dyDescent="0.35">
      <c r="E181" s="39"/>
    </row>
    <row r="182" spans="5:5" x14ac:dyDescent="0.35">
      <c r="E182" s="39"/>
    </row>
    <row r="183" spans="5:5" x14ac:dyDescent="0.35">
      <c r="E183" s="39"/>
    </row>
    <row r="184" spans="5:5" x14ac:dyDescent="0.35">
      <c r="E184" s="39"/>
    </row>
    <row r="185" spans="5:5" x14ac:dyDescent="0.35">
      <c r="E185" s="39"/>
    </row>
    <row r="186" spans="5:5" x14ac:dyDescent="0.35">
      <c r="E186" s="39"/>
    </row>
    <row r="187" spans="5:5" x14ac:dyDescent="0.35">
      <c r="E187" s="39"/>
    </row>
    <row r="188" spans="5:5" x14ac:dyDescent="0.35">
      <c r="E188" s="39"/>
    </row>
    <row r="189" spans="5:5" x14ac:dyDescent="0.35">
      <c r="E189" s="39"/>
    </row>
    <row r="190" spans="5:5" x14ac:dyDescent="0.35">
      <c r="E190" s="39"/>
    </row>
    <row r="191" spans="5:5" x14ac:dyDescent="0.35">
      <c r="E191" s="39"/>
    </row>
    <row r="192" spans="5:5" x14ac:dyDescent="0.35">
      <c r="E192" s="39"/>
    </row>
    <row r="193" spans="5:5" x14ac:dyDescent="0.35">
      <c r="E193" s="39"/>
    </row>
    <row r="194" spans="5:5" x14ac:dyDescent="0.35">
      <c r="E194" s="39"/>
    </row>
    <row r="195" spans="5:5" x14ac:dyDescent="0.35">
      <c r="E195" s="39"/>
    </row>
    <row r="196" spans="5:5" x14ac:dyDescent="0.35">
      <c r="E196" s="39"/>
    </row>
    <row r="197" spans="5:5" x14ac:dyDescent="0.35">
      <c r="E197" s="39"/>
    </row>
    <row r="198" spans="5:5" x14ac:dyDescent="0.35">
      <c r="E198" s="39"/>
    </row>
    <row r="199" spans="5:5" x14ac:dyDescent="0.35">
      <c r="E199" s="39"/>
    </row>
    <row r="200" spans="5:5" x14ac:dyDescent="0.35">
      <c r="E200" s="39"/>
    </row>
    <row r="201" spans="5:5" x14ac:dyDescent="0.35">
      <c r="E201" s="39"/>
    </row>
    <row r="202" spans="5:5" x14ac:dyDescent="0.35">
      <c r="E202" s="39"/>
    </row>
    <row r="203" spans="5:5" x14ac:dyDescent="0.35">
      <c r="E203" s="39"/>
    </row>
    <row r="204" spans="5:5" x14ac:dyDescent="0.35">
      <c r="E204" s="39"/>
    </row>
    <row r="205" spans="5:5" x14ac:dyDescent="0.35">
      <c r="E205" s="39"/>
    </row>
    <row r="206" spans="5:5" x14ac:dyDescent="0.35">
      <c r="E206" s="39"/>
    </row>
    <row r="207" spans="5:5" x14ac:dyDescent="0.35">
      <c r="E207" s="39"/>
    </row>
    <row r="208" spans="5:5" x14ac:dyDescent="0.35">
      <c r="E208" s="39"/>
    </row>
    <row r="209" spans="5:5" x14ac:dyDescent="0.35">
      <c r="E209" s="39"/>
    </row>
    <row r="210" spans="5:5" x14ac:dyDescent="0.35">
      <c r="E210" s="39"/>
    </row>
    <row r="211" spans="5:5" x14ac:dyDescent="0.35">
      <c r="E211" s="39"/>
    </row>
    <row r="212" spans="5:5" x14ac:dyDescent="0.35">
      <c r="E212" s="39"/>
    </row>
    <row r="213" spans="5:5" x14ac:dyDescent="0.35">
      <c r="E213" s="39"/>
    </row>
    <row r="214" spans="5:5" x14ac:dyDescent="0.35">
      <c r="E214" s="39"/>
    </row>
    <row r="215" spans="5:5" x14ac:dyDescent="0.35">
      <c r="E215" s="39"/>
    </row>
    <row r="216" spans="5:5" x14ac:dyDescent="0.35">
      <c r="E216" s="39"/>
    </row>
    <row r="217" spans="5:5" x14ac:dyDescent="0.35">
      <c r="E217" s="39"/>
    </row>
    <row r="218" spans="5:5" x14ac:dyDescent="0.35">
      <c r="E218" s="39"/>
    </row>
    <row r="219" spans="5:5" x14ac:dyDescent="0.35">
      <c r="E219" s="39"/>
    </row>
    <row r="220" spans="5:5" x14ac:dyDescent="0.35">
      <c r="E220" s="39"/>
    </row>
    <row r="221" spans="5:5" x14ac:dyDescent="0.35">
      <c r="E221" s="39"/>
    </row>
    <row r="222" spans="5:5" x14ac:dyDescent="0.35">
      <c r="E222" s="39"/>
    </row>
    <row r="223" spans="5:5" x14ac:dyDescent="0.35">
      <c r="E223" s="39"/>
    </row>
    <row r="224" spans="5:5" x14ac:dyDescent="0.35">
      <c r="E224" s="39"/>
    </row>
    <row r="225" spans="5:5" x14ac:dyDescent="0.35">
      <c r="E225" s="39"/>
    </row>
    <row r="226" spans="5:5" x14ac:dyDescent="0.35">
      <c r="E226" s="39"/>
    </row>
    <row r="227" spans="5:5" x14ac:dyDescent="0.35">
      <c r="E227" s="39"/>
    </row>
    <row r="228" spans="5:5" x14ac:dyDescent="0.35">
      <c r="E228" s="39"/>
    </row>
    <row r="229" spans="5:5" x14ac:dyDescent="0.35">
      <c r="E229" s="39"/>
    </row>
    <row r="230" spans="5:5" x14ac:dyDescent="0.35">
      <c r="E230" s="39"/>
    </row>
    <row r="231" spans="5:5" x14ac:dyDescent="0.35">
      <c r="E231" s="39"/>
    </row>
    <row r="232" spans="5:5" x14ac:dyDescent="0.35">
      <c r="E232" s="39"/>
    </row>
    <row r="233" spans="5:5" x14ac:dyDescent="0.35">
      <c r="E233" s="39"/>
    </row>
    <row r="234" spans="5:5" x14ac:dyDescent="0.35">
      <c r="E234" s="39"/>
    </row>
    <row r="235" spans="5:5" x14ac:dyDescent="0.35">
      <c r="E235" s="39"/>
    </row>
    <row r="236" spans="5:5" x14ac:dyDescent="0.35">
      <c r="E236" s="39"/>
    </row>
    <row r="237" spans="5:5" x14ac:dyDescent="0.35">
      <c r="E237" s="39"/>
    </row>
    <row r="238" spans="5:5" x14ac:dyDescent="0.35">
      <c r="E238" s="39"/>
    </row>
    <row r="239" spans="5:5" x14ac:dyDescent="0.35">
      <c r="E239" s="39"/>
    </row>
    <row r="240" spans="5:5" x14ac:dyDescent="0.35">
      <c r="E240" s="39"/>
    </row>
    <row r="241" spans="5:5" x14ac:dyDescent="0.35">
      <c r="E241" s="39"/>
    </row>
    <row r="242" spans="5:5" x14ac:dyDescent="0.35">
      <c r="E242" s="39"/>
    </row>
    <row r="243" spans="5:5" x14ac:dyDescent="0.35">
      <c r="E243" s="39"/>
    </row>
    <row r="244" spans="5:5" x14ac:dyDescent="0.35">
      <c r="E244" s="39"/>
    </row>
    <row r="245" spans="5:5" x14ac:dyDescent="0.35">
      <c r="E245" s="39"/>
    </row>
    <row r="246" spans="5:5" x14ac:dyDescent="0.35">
      <c r="E246" s="39"/>
    </row>
    <row r="247" spans="5:5" x14ac:dyDescent="0.35">
      <c r="E247" s="39"/>
    </row>
    <row r="248" spans="5:5" x14ac:dyDescent="0.35">
      <c r="E248" s="39"/>
    </row>
    <row r="249" spans="5:5" x14ac:dyDescent="0.35">
      <c r="E249" s="39"/>
    </row>
    <row r="250" spans="5:5" x14ac:dyDescent="0.35">
      <c r="E250" s="39"/>
    </row>
    <row r="251" spans="5:5" x14ac:dyDescent="0.35">
      <c r="E251" s="39"/>
    </row>
    <row r="252" spans="5:5" x14ac:dyDescent="0.35">
      <c r="E252" s="39"/>
    </row>
    <row r="253" spans="5:5" x14ac:dyDescent="0.35">
      <c r="E253" s="39"/>
    </row>
    <row r="254" spans="5:5" x14ac:dyDescent="0.35">
      <c r="E254" s="39"/>
    </row>
    <row r="255" spans="5:5" x14ac:dyDescent="0.35">
      <c r="E255" s="39"/>
    </row>
    <row r="256" spans="5:5" x14ac:dyDescent="0.35">
      <c r="E256" s="39"/>
    </row>
    <row r="257" spans="5:5" x14ac:dyDescent="0.35">
      <c r="E257" s="39"/>
    </row>
    <row r="258" spans="5:5" x14ac:dyDescent="0.35">
      <c r="E258" s="39"/>
    </row>
    <row r="259" spans="5:5" x14ac:dyDescent="0.35">
      <c r="E259" s="39"/>
    </row>
    <row r="260" spans="5:5" x14ac:dyDescent="0.35">
      <c r="E260" s="39"/>
    </row>
    <row r="261" spans="5:5" x14ac:dyDescent="0.35">
      <c r="E261" s="39"/>
    </row>
    <row r="262" spans="5:5" x14ac:dyDescent="0.35">
      <c r="E262" s="39"/>
    </row>
    <row r="263" spans="5:5" x14ac:dyDescent="0.35">
      <c r="E263" s="39"/>
    </row>
    <row r="264" spans="5:5" x14ac:dyDescent="0.35">
      <c r="E264" s="39"/>
    </row>
    <row r="265" spans="5:5" x14ac:dyDescent="0.35">
      <c r="E265" s="39"/>
    </row>
    <row r="266" spans="5:5" x14ac:dyDescent="0.35">
      <c r="E266" s="39"/>
    </row>
    <row r="267" spans="5:5" x14ac:dyDescent="0.35">
      <c r="E267" s="39"/>
    </row>
    <row r="268" spans="5:5" x14ac:dyDescent="0.35">
      <c r="E268" s="39"/>
    </row>
    <row r="269" spans="5:5" x14ac:dyDescent="0.35">
      <c r="E269" s="39"/>
    </row>
    <row r="270" spans="5:5" x14ac:dyDescent="0.35">
      <c r="E270" s="39"/>
    </row>
    <row r="271" spans="5:5" x14ac:dyDescent="0.35">
      <c r="E271" s="39"/>
    </row>
    <row r="272" spans="5:5" x14ac:dyDescent="0.35">
      <c r="E272" s="39"/>
    </row>
    <row r="273" spans="5:5" x14ac:dyDescent="0.35">
      <c r="E273" s="39"/>
    </row>
    <row r="274" spans="5:5" x14ac:dyDescent="0.35">
      <c r="E274" s="39"/>
    </row>
    <row r="275" spans="5:5" x14ac:dyDescent="0.35">
      <c r="E275" s="39"/>
    </row>
    <row r="276" spans="5:5" x14ac:dyDescent="0.35">
      <c r="E276" s="39"/>
    </row>
    <row r="277" spans="5:5" x14ac:dyDescent="0.35">
      <c r="E277" s="39"/>
    </row>
    <row r="278" spans="5:5" x14ac:dyDescent="0.35">
      <c r="E278" s="39"/>
    </row>
    <row r="279" spans="5:5" x14ac:dyDescent="0.35">
      <c r="E279" s="39"/>
    </row>
    <row r="280" spans="5:5" x14ac:dyDescent="0.35">
      <c r="E280" s="39"/>
    </row>
    <row r="281" spans="5:5" x14ac:dyDescent="0.35">
      <c r="E281" s="39"/>
    </row>
    <row r="282" spans="5:5" x14ac:dyDescent="0.35">
      <c r="E282" s="39"/>
    </row>
    <row r="283" spans="5:5" x14ac:dyDescent="0.35">
      <c r="E283" s="39"/>
    </row>
    <row r="284" spans="5:5" x14ac:dyDescent="0.35">
      <c r="E284" s="39"/>
    </row>
    <row r="285" spans="5:5" x14ac:dyDescent="0.35">
      <c r="E285" s="39"/>
    </row>
    <row r="286" spans="5:5" x14ac:dyDescent="0.35">
      <c r="E286" s="39"/>
    </row>
    <row r="287" spans="5:5" x14ac:dyDescent="0.35">
      <c r="E287" s="39"/>
    </row>
    <row r="288" spans="5:5" x14ac:dyDescent="0.35">
      <c r="E288" s="39"/>
    </row>
    <row r="289" spans="5:5" x14ac:dyDescent="0.35">
      <c r="E289" s="39"/>
    </row>
    <row r="290" spans="5:5" x14ac:dyDescent="0.35">
      <c r="E290" s="39"/>
    </row>
    <row r="291" spans="5:5" x14ac:dyDescent="0.35">
      <c r="E291" s="39"/>
    </row>
    <row r="292" spans="5:5" x14ac:dyDescent="0.35">
      <c r="E292" s="39"/>
    </row>
    <row r="293" spans="5:5" x14ac:dyDescent="0.35">
      <c r="E293" s="39"/>
    </row>
    <row r="294" spans="5:5" x14ac:dyDescent="0.35">
      <c r="E294" s="39"/>
    </row>
    <row r="295" spans="5:5" x14ac:dyDescent="0.35">
      <c r="E295" s="39"/>
    </row>
    <row r="296" spans="5:5" x14ac:dyDescent="0.35">
      <c r="E296" s="39"/>
    </row>
    <row r="297" spans="5:5" x14ac:dyDescent="0.35">
      <c r="E297" s="39"/>
    </row>
    <row r="298" spans="5:5" x14ac:dyDescent="0.35">
      <c r="E298" s="39"/>
    </row>
    <row r="299" spans="5:5" x14ac:dyDescent="0.35">
      <c r="E299" s="39"/>
    </row>
    <row r="300" spans="5:5" x14ac:dyDescent="0.35">
      <c r="E300" s="39"/>
    </row>
    <row r="301" spans="5:5" x14ac:dyDescent="0.35">
      <c r="E301" s="39"/>
    </row>
    <row r="302" spans="5:5" x14ac:dyDescent="0.35">
      <c r="E302" s="39"/>
    </row>
    <row r="303" spans="5:5" x14ac:dyDescent="0.35">
      <c r="E303" s="39"/>
    </row>
    <row r="304" spans="5:5" x14ac:dyDescent="0.35">
      <c r="E304" s="39"/>
    </row>
    <row r="305" spans="5:5" x14ac:dyDescent="0.35">
      <c r="E305" s="39"/>
    </row>
    <row r="306" spans="5:5" x14ac:dyDescent="0.35">
      <c r="E306" s="39"/>
    </row>
    <row r="307" spans="5:5" x14ac:dyDescent="0.35">
      <c r="E307" s="39"/>
    </row>
    <row r="308" spans="5:5" x14ac:dyDescent="0.35">
      <c r="E308" s="39"/>
    </row>
    <row r="309" spans="5:5" x14ac:dyDescent="0.35">
      <c r="E309" s="39"/>
    </row>
    <row r="310" spans="5:5" x14ac:dyDescent="0.35">
      <c r="E310" s="39"/>
    </row>
    <row r="311" spans="5:5" x14ac:dyDescent="0.35">
      <c r="E311" s="39"/>
    </row>
    <row r="312" spans="5:5" x14ac:dyDescent="0.35">
      <c r="E312" s="39"/>
    </row>
    <row r="313" spans="5:5" x14ac:dyDescent="0.35">
      <c r="E313" s="39"/>
    </row>
    <row r="314" spans="5:5" x14ac:dyDescent="0.35">
      <c r="E314" s="39"/>
    </row>
    <row r="315" spans="5:5" x14ac:dyDescent="0.35">
      <c r="E315" s="39"/>
    </row>
    <row r="316" spans="5:5" x14ac:dyDescent="0.35">
      <c r="E316" s="39"/>
    </row>
    <row r="317" spans="5:5" x14ac:dyDescent="0.35">
      <c r="E317" s="39"/>
    </row>
    <row r="318" spans="5:5" x14ac:dyDescent="0.35">
      <c r="E318" s="39"/>
    </row>
    <row r="319" spans="5:5" x14ac:dyDescent="0.35">
      <c r="E319" s="39"/>
    </row>
    <row r="320" spans="5:5" x14ac:dyDescent="0.35">
      <c r="E320" s="39"/>
    </row>
    <row r="321" spans="5:5" x14ac:dyDescent="0.35">
      <c r="E321" s="39"/>
    </row>
    <row r="322" spans="5:5" x14ac:dyDescent="0.35">
      <c r="E322" s="39"/>
    </row>
    <row r="323" spans="5:5" x14ac:dyDescent="0.35">
      <c r="E323" s="39"/>
    </row>
    <row r="324" spans="5:5" x14ac:dyDescent="0.35">
      <c r="E324" s="39"/>
    </row>
    <row r="325" spans="5:5" x14ac:dyDescent="0.35">
      <c r="E325" s="39"/>
    </row>
    <row r="326" spans="5:5" x14ac:dyDescent="0.35">
      <c r="E326" s="39"/>
    </row>
    <row r="327" spans="5:5" x14ac:dyDescent="0.35">
      <c r="E327" s="39"/>
    </row>
    <row r="328" spans="5:5" x14ac:dyDescent="0.35">
      <c r="E328" s="39"/>
    </row>
    <row r="329" spans="5:5" x14ac:dyDescent="0.35">
      <c r="E329" s="39"/>
    </row>
    <row r="330" spans="5:5" x14ac:dyDescent="0.35">
      <c r="E330" s="39"/>
    </row>
    <row r="331" spans="5:5" x14ac:dyDescent="0.35">
      <c r="E331" s="39"/>
    </row>
    <row r="332" spans="5:5" x14ac:dyDescent="0.35">
      <c r="E332" s="39"/>
    </row>
    <row r="333" spans="5:5" x14ac:dyDescent="0.35">
      <c r="E333" s="39"/>
    </row>
    <row r="334" spans="5:5" x14ac:dyDescent="0.35">
      <c r="E334" s="39"/>
    </row>
    <row r="335" spans="5:5" x14ac:dyDescent="0.35">
      <c r="E335" s="39"/>
    </row>
    <row r="336" spans="5:5" x14ac:dyDescent="0.35">
      <c r="E336" s="39"/>
    </row>
    <row r="337" spans="5:5" x14ac:dyDescent="0.35">
      <c r="E337" s="39"/>
    </row>
    <row r="338" spans="5:5" x14ac:dyDescent="0.35">
      <c r="E338" s="39"/>
    </row>
    <row r="339" spans="5:5" x14ac:dyDescent="0.35">
      <c r="E339" s="39"/>
    </row>
    <row r="340" spans="5:5" x14ac:dyDescent="0.35">
      <c r="E340" s="39"/>
    </row>
    <row r="341" spans="5:5" x14ac:dyDescent="0.35">
      <c r="E341" s="39"/>
    </row>
    <row r="342" spans="5:5" x14ac:dyDescent="0.35">
      <c r="E342" s="39"/>
    </row>
    <row r="343" spans="5:5" x14ac:dyDescent="0.35">
      <c r="E343" s="39"/>
    </row>
    <row r="344" spans="5:5" x14ac:dyDescent="0.35">
      <c r="E344" s="39"/>
    </row>
  </sheetData>
  <phoneticPr fontId="1" type="noConversion"/>
  <conditionalFormatting sqref="F2:F133">
    <cfRule type="colorScale" priority="117">
      <colorScale>
        <cfvo type="min"/>
        <cfvo type="max"/>
        <color theme="0"/>
        <color rgb="FFC00000"/>
      </colorScale>
    </cfRule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AB597-72DA-486A-8D80-CD720791E813}">
  <sheetPr codeName="Sheet3"/>
  <dimension ref="A1:P350"/>
  <sheetViews>
    <sheetView workbookViewId="0">
      <selection sqref="A1:F49"/>
    </sheetView>
    <sheetView workbookViewId="1"/>
  </sheetViews>
  <sheetFormatPr defaultRowHeight="14.5" x14ac:dyDescent="0.35"/>
  <cols>
    <col min="1" max="1" width="21" bestFit="1" customWidth="1"/>
    <col min="2" max="2" width="44.1796875" bestFit="1" customWidth="1"/>
    <col min="3" max="3" width="15" bestFit="1" customWidth="1"/>
    <col min="4" max="4" width="21.36328125" bestFit="1" customWidth="1"/>
    <col min="5" max="5" width="11.81640625" bestFit="1" customWidth="1"/>
    <col min="6" max="6" width="15.08984375" customWidth="1"/>
    <col min="7" max="7" width="13.6328125" bestFit="1" customWidth="1"/>
    <col min="8" max="8" width="8.54296875" bestFit="1" customWidth="1"/>
    <col min="9" max="9" width="11.81640625" bestFit="1" customWidth="1"/>
    <col min="10" max="10" width="14.1796875" bestFit="1" customWidth="1"/>
    <col min="11" max="11" width="10" bestFit="1" customWidth="1"/>
    <col min="12" max="12" width="11.81640625" bestFit="1" customWidth="1"/>
    <col min="13" max="13" width="14.1796875" bestFit="1" customWidth="1"/>
    <col min="14" max="14" width="8.81640625" bestFit="1" customWidth="1"/>
    <col min="15" max="16" width="10" bestFit="1" customWidth="1"/>
  </cols>
  <sheetData>
    <row r="1" spans="1:12" x14ac:dyDescent="0.35">
      <c r="A1" t="s">
        <v>91</v>
      </c>
      <c r="B1" t="s">
        <v>90</v>
      </c>
      <c r="C1" t="s">
        <v>366</v>
      </c>
      <c r="D1" t="s">
        <v>373</v>
      </c>
      <c r="E1" t="s">
        <v>42</v>
      </c>
      <c r="F1" t="s">
        <v>56</v>
      </c>
    </row>
    <row r="2" spans="1:12" x14ac:dyDescent="0.35">
      <c r="A2" t="s">
        <v>233</v>
      </c>
      <c r="B2" t="s">
        <v>241</v>
      </c>
      <c r="C2">
        <v>1.2721324685662923E-2</v>
      </c>
      <c r="D2">
        <v>3.0563315111007512E-4</v>
      </c>
      <c r="E2">
        <v>6.3666825830228525E-6</v>
      </c>
      <c r="F2">
        <v>2.6527844095928552E-5</v>
      </c>
    </row>
    <row r="3" spans="1:12" x14ac:dyDescent="0.35">
      <c r="A3" t="s">
        <v>233</v>
      </c>
      <c r="B3" t="s">
        <v>242</v>
      </c>
      <c r="C3">
        <v>0.10920837733717044</v>
      </c>
      <c r="D3">
        <v>2.6237598141642081E-3</v>
      </c>
      <c r="E3">
        <v>5.4655870445344104E-5</v>
      </c>
      <c r="F3">
        <v>2.2773279352226707E-4</v>
      </c>
      <c r="G3" s="40"/>
    </row>
    <row r="4" spans="1:12" x14ac:dyDescent="0.35">
      <c r="A4" t="s">
        <v>233</v>
      </c>
      <c r="B4" t="s">
        <v>243</v>
      </c>
      <c r="C4">
        <v>1.2726179472895232E-2</v>
      </c>
      <c r="D4">
        <v>3.0574978864244238E-4</v>
      </c>
      <c r="E4">
        <v>6.3691122741187057E-6</v>
      </c>
      <c r="F4">
        <v>2.6537967808827942E-5</v>
      </c>
      <c r="G4" s="40"/>
    </row>
    <row r="5" spans="1:12" x14ac:dyDescent="0.35">
      <c r="A5" t="s">
        <v>233</v>
      </c>
      <c r="B5" t="s">
        <v>244</v>
      </c>
      <c r="C5">
        <v>1.2725635433075019E-2</v>
      </c>
      <c r="D5">
        <v>3.0573671794354199E-4</v>
      </c>
      <c r="E5">
        <v>6.3688399967471726E-6</v>
      </c>
      <c r="F5">
        <v>2.6536833319779888E-5</v>
      </c>
      <c r="G5" s="40"/>
    </row>
    <row r="6" spans="1:12" x14ac:dyDescent="0.35">
      <c r="A6" t="s">
        <v>233</v>
      </c>
      <c r="B6" t="s">
        <v>245</v>
      </c>
      <c r="C6">
        <v>1.272335276459024E-2</v>
      </c>
      <c r="D6">
        <v>3.0568187623647284E-4</v>
      </c>
      <c r="E6">
        <v>6.3676975822546604E-6</v>
      </c>
      <c r="F6">
        <v>2.6532073259394424E-5</v>
      </c>
      <c r="G6" s="40"/>
    </row>
    <row r="7" spans="1:12" x14ac:dyDescent="0.35">
      <c r="A7" t="s">
        <v>233</v>
      </c>
      <c r="B7" t="s">
        <v>240</v>
      </c>
      <c r="C7">
        <v>1.2722373381981856E-2</v>
      </c>
      <c r="D7">
        <v>3.0565834631328165E-4</v>
      </c>
      <c r="E7">
        <v>6.3672074274674035E-6</v>
      </c>
      <c r="F7">
        <v>2.6530030947780849E-5</v>
      </c>
      <c r="G7" s="40"/>
    </row>
    <row r="8" spans="1:12" x14ac:dyDescent="0.35">
      <c r="A8" t="s">
        <v>233</v>
      </c>
      <c r="B8" t="s">
        <v>235</v>
      </c>
      <c r="C8">
        <v>5.460418866858522E-2</v>
      </c>
      <c r="D8">
        <v>1.311879907082104E-3</v>
      </c>
      <c r="E8">
        <v>2.7327935222672052E-5</v>
      </c>
      <c r="F8">
        <v>1.1386639676113353E-4</v>
      </c>
      <c r="G8" s="40"/>
    </row>
    <row r="9" spans="1:12" x14ac:dyDescent="0.35">
      <c r="A9" t="s">
        <v>233</v>
      </c>
      <c r="B9" t="s">
        <v>236</v>
      </c>
      <c r="C9">
        <v>1.2729158267546807E-2</v>
      </c>
      <c r="D9">
        <v>3.058213549626462E-4</v>
      </c>
      <c r="E9">
        <v>6.3706030811293903E-6</v>
      </c>
      <c r="F9">
        <v>2.6544179504705789E-5</v>
      </c>
      <c r="G9" s="40"/>
      <c r="H9" s="40"/>
      <c r="I9" s="40"/>
      <c r="J9" s="40"/>
      <c r="K9" s="40"/>
      <c r="L9" s="40"/>
    </row>
    <row r="10" spans="1:12" x14ac:dyDescent="0.35">
      <c r="A10" t="s">
        <v>233</v>
      </c>
      <c r="B10" t="s">
        <v>237</v>
      </c>
      <c r="C10">
        <v>1.2725635433075019E-2</v>
      </c>
      <c r="D10">
        <v>3.0573671794354199E-4</v>
      </c>
      <c r="E10">
        <v>6.3688399967471726E-6</v>
      </c>
      <c r="F10">
        <v>2.6536833319779888E-5</v>
      </c>
      <c r="G10" s="40"/>
      <c r="H10" s="40"/>
      <c r="I10" s="40"/>
      <c r="J10" s="40"/>
      <c r="K10" s="40"/>
      <c r="L10" s="40"/>
    </row>
    <row r="11" spans="1:12" x14ac:dyDescent="0.35">
      <c r="A11" t="s">
        <v>233</v>
      </c>
      <c r="B11" t="s">
        <v>238</v>
      </c>
      <c r="C11">
        <v>1.2724283564081718E-2</v>
      </c>
      <c r="D11">
        <v>3.0570423893757997E-4</v>
      </c>
      <c r="E11">
        <v>6.368163422491988E-6</v>
      </c>
      <c r="F11">
        <v>2.653401426038328E-5</v>
      </c>
      <c r="G11" s="40"/>
      <c r="H11" s="40"/>
      <c r="I11" s="40"/>
      <c r="J11" s="40"/>
      <c r="K11" s="40"/>
      <c r="L11" s="40"/>
    </row>
    <row r="12" spans="1:12" x14ac:dyDescent="0.35">
      <c r="A12" t="s">
        <v>233</v>
      </c>
      <c r="B12" t="s">
        <v>239</v>
      </c>
      <c r="C12">
        <v>1.2724436769673088E-2</v>
      </c>
      <c r="D12">
        <v>3.0570791974196272E-4</v>
      </c>
      <c r="E12">
        <v>6.3682400977906921E-6</v>
      </c>
      <c r="F12">
        <v>2.6534333740794549E-5</v>
      </c>
      <c r="G12" s="40"/>
      <c r="H12" s="40"/>
      <c r="I12" s="40"/>
      <c r="J12" s="40"/>
      <c r="K12" s="40"/>
      <c r="L12" s="40"/>
    </row>
    <row r="13" spans="1:12" x14ac:dyDescent="0.35">
      <c r="A13" t="s">
        <v>233</v>
      </c>
      <c r="B13" t="s">
        <v>234</v>
      </c>
      <c r="C13">
        <v>1.2723926867738237E-2</v>
      </c>
      <c r="D13">
        <v>3.0569566921468229E-4</v>
      </c>
      <c r="E13">
        <v>6.3679849055172555E-6</v>
      </c>
      <c r="F13">
        <v>2.6533270439655233E-5</v>
      </c>
      <c r="G13" s="40"/>
      <c r="H13" s="40"/>
      <c r="I13" s="40"/>
      <c r="J13" s="40"/>
      <c r="K13" s="40"/>
      <c r="L13" s="40"/>
    </row>
    <row r="14" spans="1:12" x14ac:dyDescent="0.35">
      <c r="A14" t="s">
        <v>246</v>
      </c>
      <c r="B14" t="s">
        <v>257</v>
      </c>
      <c r="C14">
        <v>6.2404787049811679E-3</v>
      </c>
      <c r="D14">
        <v>1.4992913223795475E-4</v>
      </c>
      <c r="E14">
        <v>3.1231925968768056E-6</v>
      </c>
      <c r="F14">
        <v>1.3013302486986689E-5</v>
      </c>
      <c r="G14" s="40"/>
      <c r="H14" s="40"/>
      <c r="I14" s="40"/>
      <c r="J14" s="40"/>
      <c r="K14" s="40"/>
      <c r="L14" s="40"/>
    </row>
    <row r="15" spans="1:12" x14ac:dyDescent="0.35">
      <c r="A15" t="s">
        <v>246</v>
      </c>
      <c r="B15" t="s">
        <v>253</v>
      </c>
      <c r="C15">
        <v>6.2565624129836944E-3</v>
      </c>
      <c r="D15">
        <v>1.5031554752722778E-4</v>
      </c>
      <c r="E15">
        <v>3.1312420623326727E-6</v>
      </c>
      <c r="F15">
        <v>1.3046841926386137E-5</v>
      </c>
      <c r="G15" s="40"/>
      <c r="H15" s="40"/>
      <c r="I15" s="40"/>
      <c r="J15" s="40"/>
      <c r="K15" s="40"/>
      <c r="L15" s="40"/>
    </row>
    <row r="16" spans="1:12" x14ac:dyDescent="0.35">
      <c r="A16" t="s">
        <v>246</v>
      </c>
      <c r="B16" t="s">
        <v>258</v>
      </c>
      <c r="C16">
        <v>6.2565624129836944E-3</v>
      </c>
      <c r="D16">
        <v>1.5031554752722778E-4</v>
      </c>
      <c r="E16">
        <v>3.1312420623326727E-6</v>
      </c>
      <c r="F16">
        <v>1.3046841926386137E-5</v>
      </c>
      <c r="G16" s="40"/>
      <c r="H16" s="40"/>
      <c r="I16" s="40"/>
      <c r="J16" s="40"/>
      <c r="K16" s="40"/>
      <c r="L16" s="40"/>
    </row>
    <row r="17" spans="1:13" x14ac:dyDescent="0.35">
      <c r="A17" t="s">
        <v>246</v>
      </c>
      <c r="B17" t="s">
        <v>255</v>
      </c>
      <c r="C17">
        <v>6.2404787049811679E-3</v>
      </c>
      <c r="D17">
        <v>1.4992913223795475E-4</v>
      </c>
      <c r="E17">
        <v>3.1231925968768056E-6</v>
      </c>
      <c r="F17">
        <v>1.3013302486986689E-5</v>
      </c>
      <c r="G17" s="40"/>
      <c r="H17" s="40"/>
      <c r="I17" s="40"/>
      <c r="J17" s="40"/>
      <c r="K17" s="40"/>
      <c r="L17" s="40"/>
    </row>
    <row r="18" spans="1:13" x14ac:dyDescent="0.35">
      <c r="A18" t="s">
        <v>246</v>
      </c>
      <c r="B18" t="s">
        <v>254</v>
      </c>
      <c r="C18">
        <v>6.2565624129836944E-3</v>
      </c>
      <c r="D18">
        <v>1.5031554752722778E-4</v>
      </c>
      <c r="E18">
        <v>3.1312420623326727E-6</v>
      </c>
      <c r="F18">
        <v>1.3046841926386137E-5</v>
      </c>
      <c r="G18" s="40"/>
      <c r="H18" s="40"/>
      <c r="I18" s="40"/>
      <c r="J18" s="40"/>
      <c r="K18" s="40"/>
      <c r="L18" s="40"/>
    </row>
    <row r="19" spans="1:13" x14ac:dyDescent="0.35">
      <c r="A19" t="s">
        <v>246</v>
      </c>
      <c r="B19" t="s">
        <v>256</v>
      </c>
      <c r="C19">
        <v>6.2565624129836944E-3</v>
      </c>
      <c r="D19">
        <v>1.5031554752722778E-4</v>
      </c>
      <c r="E19">
        <v>3.1312420623326727E-6</v>
      </c>
      <c r="F19">
        <v>1.3046841926386137E-5</v>
      </c>
      <c r="G19" s="40"/>
      <c r="H19" s="40"/>
      <c r="I19" s="40"/>
      <c r="J19" s="40"/>
      <c r="K19" s="40"/>
      <c r="L19" s="40"/>
    </row>
    <row r="20" spans="1:13" x14ac:dyDescent="0.35">
      <c r="A20" t="s">
        <v>246</v>
      </c>
      <c r="B20" t="s">
        <v>264</v>
      </c>
      <c r="C20">
        <v>7.5839150928590313E-3</v>
      </c>
      <c r="D20">
        <v>1.8220554265029154E-4</v>
      </c>
      <c r="E20">
        <v>3.7955465587044371E-6</v>
      </c>
      <c r="F20">
        <v>1.5814777327935155E-5</v>
      </c>
      <c r="G20" s="40"/>
      <c r="H20" s="40"/>
      <c r="I20" s="40"/>
      <c r="J20" s="40"/>
      <c r="K20" s="40"/>
      <c r="L20" s="40"/>
    </row>
    <row r="21" spans="1:13" x14ac:dyDescent="0.35">
      <c r="A21" t="s">
        <v>246</v>
      </c>
      <c r="B21" t="s">
        <v>261</v>
      </c>
      <c r="C21">
        <v>7.5839150928590313E-3</v>
      </c>
      <c r="D21">
        <v>1.8220554265029154E-4</v>
      </c>
      <c r="E21">
        <v>3.7955465587044371E-6</v>
      </c>
      <c r="F21">
        <v>1.5814777327935155E-5</v>
      </c>
      <c r="G21" s="40"/>
      <c r="H21" s="40"/>
      <c r="I21" s="40"/>
      <c r="J21" s="40"/>
      <c r="K21" s="40"/>
      <c r="L21" s="40"/>
    </row>
    <row r="22" spans="1:13" x14ac:dyDescent="0.35">
      <c r="A22" t="s">
        <v>246</v>
      </c>
      <c r="B22" t="s">
        <v>260</v>
      </c>
      <c r="C22">
        <v>7.5839150928590313E-3</v>
      </c>
      <c r="D22">
        <v>1.8220554265029154E-4</v>
      </c>
      <c r="E22">
        <v>3.7955465587044371E-6</v>
      </c>
      <c r="F22">
        <v>1.5814777327935155E-5</v>
      </c>
      <c r="G22" s="40"/>
      <c r="H22" s="40"/>
      <c r="I22" s="40"/>
      <c r="J22" s="40"/>
      <c r="K22" s="40"/>
      <c r="L22" s="40"/>
    </row>
    <row r="23" spans="1:13" x14ac:dyDescent="0.35">
      <c r="A23" t="s">
        <v>246</v>
      </c>
      <c r="B23" t="s">
        <v>263</v>
      </c>
      <c r="C23">
        <v>7.5839150928590313E-3</v>
      </c>
      <c r="D23">
        <v>1.8220554265029154E-4</v>
      </c>
      <c r="E23">
        <v>3.7955465587044371E-6</v>
      </c>
      <c r="F23">
        <v>1.5814777327935155E-5</v>
      </c>
      <c r="G23" s="40"/>
      <c r="H23" s="40"/>
      <c r="I23" s="40"/>
      <c r="J23" s="40"/>
      <c r="K23" s="40"/>
      <c r="L23" s="40"/>
    </row>
    <row r="24" spans="1:13" x14ac:dyDescent="0.35">
      <c r="A24" t="s">
        <v>246</v>
      </c>
      <c r="B24" t="s">
        <v>259</v>
      </c>
      <c r="C24">
        <v>7.5839150928590313E-3</v>
      </c>
      <c r="D24">
        <v>1.8220554265029154E-4</v>
      </c>
      <c r="E24">
        <v>3.7955465587044371E-6</v>
      </c>
      <c r="F24">
        <v>1.5814777327935155E-5</v>
      </c>
      <c r="G24" s="40"/>
      <c r="H24" s="40"/>
      <c r="I24" s="40"/>
      <c r="J24" s="40"/>
      <c r="K24" s="40"/>
      <c r="L24" s="40"/>
    </row>
    <row r="25" spans="1:13" x14ac:dyDescent="0.35">
      <c r="A25" t="s">
        <v>246</v>
      </c>
      <c r="B25" t="s">
        <v>262</v>
      </c>
      <c r="C25">
        <v>7.5839150928590313E-3</v>
      </c>
      <c r="D25">
        <v>1.8220554265029154E-4</v>
      </c>
      <c r="E25">
        <v>3.7955465587044371E-6</v>
      </c>
      <c r="F25">
        <v>1.5814777327935155E-5</v>
      </c>
      <c r="G25" s="40"/>
      <c r="H25" s="40"/>
      <c r="I25" s="40"/>
      <c r="J25" s="40"/>
      <c r="K25" s="40"/>
      <c r="L25" s="40"/>
      <c r="M25" s="40"/>
    </row>
    <row r="26" spans="1:13" x14ac:dyDescent="0.35">
      <c r="A26" t="s">
        <v>246</v>
      </c>
      <c r="B26" t="s">
        <v>272</v>
      </c>
      <c r="C26">
        <v>1.3733566450540113E-2</v>
      </c>
      <c r="D26">
        <v>3.2995252412578834E-4</v>
      </c>
      <c r="E26">
        <v>6.8732824987938144E-6</v>
      </c>
      <c r="F26">
        <v>2.8638677078307564E-5</v>
      </c>
      <c r="G26" s="40"/>
      <c r="H26" s="40"/>
      <c r="I26" s="40"/>
      <c r="J26" s="40"/>
      <c r="K26" s="40"/>
      <c r="L26" s="40"/>
      <c r="M26" s="40"/>
    </row>
    <row r="27" spans="1:13" x14ac:dyDescent="0.35">
      <c r="A27" t="s">
        <v>246</v>
      </c>
      <c r="B27" t="s">
        <v>271</v>
      </c>
      <c r="C27">
        <v>1.3731982229402135E-2</v>
      </c>
      <c r="D27">
        <v>3.2991446279881029E-4</v>
      </c>
      <c r="E27">
        <v>6.872489638507951E-6</v>
      </c>
      <c r="F27">
        <v>2.8635373493783135E-5</v>
      </c>
      <c r="G27" s="40"/>
      <c r="H27" s="40"/>
      <c r="I27" s="40"/>
      <c r="J27" s="40"/>
      <c r="K27" s="40"/>
      <c r="L27" s="40"/>
      <c r="M27" s="40"/>
    </row>
    <row r="28" spans="1:13" x14ac:dyDescent="0.35">
      <c r="A28" t="s">
        <v>246</v>
      </c>
      <c r="B28" t="s">
        <v>273</v>
      </c>
      <c r="C28">
        <v>1.3651047167146253E-2</v>
      </c>
      <c r="D28">
        <v>3.2796997677052487E-4</v>
      </c>
      <c r="E28">
        <v>6.8319838056679875E-6</v>
      </c>
      <c r="F28">
        <v>2.8466599190283278E-5</v>
      </c>
      <c r="G28" s="40"/>
      <c r="H28" s="40"/>
      <c r="I28" s="40"/>
      <c r="J28" s="40"/>
      <c r="K28" s="40"/>
      <c r="L28" s="40"/>
      <c r="M28" s="40"/>
    </row>
    <row r="29" spans="1:13" x14ac:dyDescent="0.35">
      <c r="A29" t="s">
        <v>246</v>
      </c>
      <c r="B29" t="s">
        <v>276</v>
      </c>
      <c r="C29">
        <v>1.3731982229402135E-2</v>
      </c>
      <c r="D29">
        <v>3.2991446279881029E-4</v>
      </c>
      <c r="E29">
        <v>6.872489638507951E-6</v>
      </c>
      <c r="F29">
        <v>2.8635373493783135E-5</v>
      </c>
      <c r="G29" s="40"/>
      <c r="H29" s="40"/>
      <c r="I29" s="40"/>
      <c r="J29" s="40"/>
      <c r="K29" s="40"/>
      <c r="L29" s="40"/>
      <c r="M29" s="40"/>
    </row>
    <row r="30" spans="1:13" x14ac:dyDescent="0.35">
      <c r="A30" t="s">
        <v>246</v>
      </c>
      <c r="B30" t="s">
        <v>275</v>
      </c>
      <c r="C30">
        <v>1.3651047167146253E-2</v>
      </c>
      <c r="D30">
        <v>3.2796997677052487E-4</v>
      </c>
      <c r="E30">
        <v>6.8319838056679875E-6</v>
      </c>
      <c r="F30">
        <v>2.8466599190283278E-5</v>
      </c>
      <c r="G30" s="40"/>
      <c r="H30" s="40"/>
      <c r="I30" s="40"/>
      <c r="J30" s="40"/>
      <c r="K30" s="40"/>
      <c r="L30" s="40"/>
      <c r="M30" s="40"/>
    </row>
    <row r="31" spans="1:13" x14ac:dyDescent="0.35">
      <c r="A31" t="s">
        <v>246</v>
      </c>
      <c r="B31" t="s">
        <v>274</v>
      </c>
      <c r="C31">
        <v>1.3738274305594536E-2</v>
      </c>
      <c r="D31">
        <v>3.3006563157417186E-4</v>
      </c>
      <c r="E31">
        <v>6.8756386542665355E-6</v>
      </c>
      <c r="F31">
        <v>2.8648494392777233E-5</v>
      </c>
      <c r="G31" s="40"/>
      <c r="H31" s="40"/>
      <c r="I31" s="40"/>
      <c r="J31" s="40"/>
      <c r="K31" s="40"/>
      <c r="L31" s="40"/>
      <c r="M31" s="40"/>
    </row>
    <row r="32" spans="1:13" x14ac:dyDescent="0.35">
      <c r="A32" t="s">
        <v>246</v>
      </c>
      <c r="B32" t="s">
        <v>266</v>
      </c>
      <c r="C32">
        <v>1.0920837733717045E-2</v>
      </c>
      <c r="D32">
        <v>2.6237598141642081E-4</v>
      </c>
      <c r="E32">
        <v>5.4655870445344099E-6</v>
      </c>
      <c r="F32">
        <v>2.2773279352226708E-5</v>
      </c>
      <c r="G32" s="40"/>
      <c r="H32" s="40"/>
      <c r="I32" s="40"/>
      <c r="J32" s="40"/>
      <c r="K32" s="40"/>
      <c r="L32" s="40"/>
      <c r="M32" s="40"/>
    </row>
    <row r="33" spans="1:13" x14ac:dyDescent="0.35">
      <c r="A33" t="s">
        <v>246</v>
      </c>
      <c r="B33" t="s">
        <v>268</v>
      </c>
      <c r="C33">
        <v>1.0118348059993423E-2</v>
      </c>
      <c r="D33">
        <v>2.4309595722288185E-4</v>
      </c>
      <c r="E33">
        <v>5.0639624374280465E-6</v>
      </c>
      <c r="F33">
        <v>2.1099843489283525E-5</v>
      </c>
      <c r="G33" s="40"/>
      <c r="H33" s="40"/>
      <c r="I33" s="40"/>
      <c r="J33" s="40"/>
      <c r="K33" s="40"/>
      <c r="L33" s="40"/>
      <c r="M33" s="40"/>
    </row>
    <row r="34" spans="1:13" x14ac:dyDescent="0.35">
      <c r="A34" t="s">
        <v>246</v>
      </c>
      <c r="B34" t="s">
        <v>267</v>
      </c>
      <c r="C34">
        <v>1.0920837733717045E-2</v>
      </c>
      <c r="D34">
        <v>2.6237598141642081E-4</v>
      </c>
      <c r="E34">
        <v>5.4655870445344099E-6</v>
      </c>
      <c r="F34">
        <v>2.2773279352226708E-5</v>
      </c>
      <c r="G34" s="40"/>
      <c r="H34" s="40"/>
      <c r="I34" s="40"/>
      <c r="J34" s="40"/>
      <c r="K34" s="40"/>
      <c r="L34" s="40"/>
      <c r="M34" s="40"/>
    </row>
    <row r="35" spans="1:13" x14ac:dyDescent="0.35">
      <c r="A35" t="s">
        <v>246</v>
      </c>
      <c r="B35" t="s">
        <v>270</v>
      </c>
      <c r="C35">
        <v>1.011916958982924E-2</v>
      </c>
      <c r="D35">
        <v>2.43115694691947E-4</v>
      </c>
      <c r="E35">
        <v>5.0643735911267659E-6</v>
      </c>
      <c r="F35">
        <v>2.1101556629694855E-5</v>
      </c>
      <c r="G35" s="40"/>
      <c r="H35" s="40"/>
      <c r="I35" s="40"/>
      <c r="J35" s="40"/>
      <c r="K35" s="40"/>
      <c r="L35" s="40"/>
      <c r="M35" s="40"/>
    </row>
    <row r="36" spans="1:13" x14ac:dyDescent="0.35">
      <c r="A36" t="s">
        <v>246</v>
      </c>
      <c r="B36" t="s">
        <v>269</v>
      </c>
      <c r="C36">
        <v>1.0920837733717045E-2</v>
      </c>
      <c r="D36">
        <v>2.6237598141642081E-4</v>
      </c>
      <c r="E36">
        <v>5.4655870445344099E-6</v>
      </c>
      <c r="F36">
        <v>2.2773279352226708E-5</v>
      </c>
      <c r="G36" s="40"/>
      <c r="H36" s="40"/>
      <c r="I36" s="40"/>
      <c r="J36" s="40"/>
      <c r="K36" s="40"/>
      <c r="L36" s="40"/>
      <c r="M36" s="40"/>
    </row>
    <row r="37" spans="1:13" x14ac:dyDescent="0.35">
      <c r="A37" t="s">
        <v>246</v>
      </c>
      <c r="B37" t="s">
        <v>265</v>
      </c>
      <c r="C37">
        <v>1.0117228919349162E-2</v>
      </c>
      <c r="D37">
        <v>2.4306906957634398E-4</v>
      </c>
      <c r="E37">
        <v>5.0634023374837524E-6</v>
      </c>
      <c r="F37">
        <v>2.1097509739515634E-5</v>
      </c>
      <c r="G37" s="40"/>
      <c r="H37" s="40"/>
      <c r="I37" s="40"/>
      <c r="J37" s="40"/>
      <c r="K37" s="40"/>
      <c r="L37" s="40"/>
      <c r="M37" s="40"/>
    </row>
    <row r="38" spans="1:13" x14ac:dyDescent="0.35">
      <c r="A38" t="s">
        <v>246</v>
      </c>
      <c r="B38" t="s">
        <v>249</v>
      </c>
      <c r="C38">
        <v>6.4468862910136183E-3</v>
      </c>
      <c r="D38">
        <v>1.5488812845029256E-4</v>
      </c>
      <c r="E38">
        <v>3.2264940702271114E-6</v>
      </c>
      <c r="F38">
        <v>1.3443725292612964E-5</v>
      </c>
      <c r="G38" s="40"/>
      <c r="H38" s="40"/>
      <c r="I38" s="40"/>
      <c r="J38" s="40"/>
      <c r="K38" s="40"/>
      <c r="L38" s="40"/>
      <c r="M38" s="40"/>
    </row>
    <row r="39" spans="1:13" x14ac:dyDescent="0.35">
      <c r="A39" t="s">
        <v>246</v>
      </c>
      <c r="B39" t="s">
        <v>252</v>
      </c>
      <c r="C39">
        <v>6.5004986510220266E-3</v>
      </c>
      <c r="D39">
        <v>1.5617617941453564E-4</v>
      </c>
      <c r="E39">
        <v>3.2533256217466603E-6</v>
      </c>
      <c r="F39">
        <v>1.3555523423944419E-5</v>
      </c>
      <c r="G39" s="40"/>
      <c r="H39" s="40"/>
      <c r="I39" s="40"/>
      <c r="J39" s="40"/>
      <c r="K39" s="40"/>
      <c r="L39" s="40"/>
      <c r="M39" s="40"/>
    </row>
    <row r="40" spans="1:13" x14ac:dyDescent="0.35">
      <c r="A40" t="s">
        <v>246</v>
      </c>
      <c r="B40" t="s">
        <v>250</v>
      </c>
      <c r="C40">
        <v>6.5004986510220266E-3</v>
      </c>
      <c r="D40">
        <v>1.5617617941453564E-4</v>
      </c>
      <c r="E40">
        <v>3.2533256217466603E-6</v>
      </c>
      <c r="F40">
        <v>1.3555523423944419E-5</v>
      </c>
      <c r="G40" s="40"/>
      <c r="H40" s="40"/>
      <c r="I40" s="40"/>
      <c r="J40" s="40"/>
      <c r="K40" s="40"/>
      <c r="L40" s="40"/>
      <c r="M40" s="40"/>
    </row>
    <row r="41" spans="1:13" x14ac:dyDescent="0.35">
      <c r="A41" t="s">
        <v>246</v>
      </c>
      <c r="B41" t="s">
        <v>248</v>
      </c>
      <c r="C41">
        <v>6.4484946618138797E-3</v>
      </c>
      <c r="D41">
        <v>1.5492676997922009E-4</v>
      </c>
      <c r="E41">
        <v>3.2272990167727027E-6</v>
      </c>
      <c r="F41">
        <v>1.3447079236552929E-5</v>
      </c>
      <c r="G41" s="40"/>
      <c r="H41" s="40"/>
      <c r="I41" s="40"/>
      <c r="J41" s="40"/>
      <c r="K41" s="40"/>
      <c r="L41" s="40"/>
      <c r="M41" s="40"/>
    </row>
    <row r="42" spans="1:13" x14ac:dyDescent="0.35">
      <c r="A42" t="s">
        <v>246</v>
      </c>
      <c r="B42" t="s">
        <v>247</v>
      </c>
      <c r="C42">
        <v>6.4468862910136183E-3</v>
      </c>
      <c r="D42">
        <v>1.5488812845029256E-4</v>
      </c>
      <c r="E42">
        <v>3.2264940702271114E-6</v>
      </c>
      <c r="F42">
        <v>1.3443725292612964E-5</v>
      </c>
      <c r="G42" s="40"/>
      <c r="H42" s="40"/>
      <c r="I42" s="40"/>
      <c r="J42" s="40"/>
      <c r="K42" s="40"/>
      <c r="L42" s="40"/>
      <c r="M42" s="40"/>
    </row>
    <row r="43" spans="1:13" x14ac:dyDescent="0.35">
      <c r="A43" t="s">
        <v>246</v>
      </c>
      <c r="B43" t="s">
        <v>251</v>
      </c>
      <c r="C43">
        <v>6.4385891400599478E-3</v>
      </c>
      <c r="D43">
        <v>1.5468878722963615E-4</v>
      </c>
      <c r="E43">
        <v>3.2223415682062344E-6</v>
      </c>
      <c r="F43">
        <v>1.342642320085931E-5</v>
      </c>
      <c r="G43" s="40"/>
      <c r="H43" s="40"/>
      <c r="I43" s="40"/>
      <c r="J43" s="40"/>
      <c r="K43" s="40"/>
      <c r="L43" s="40"/>
      <c r="M43" s="40"/>
    </row>
    <row r="44" spans="1:13" x14ac:dyDescent="0.35">
      <c r="A44" t="s">
        <v>246</v>
      </c>
      <c r="B44" t="s">
        <v>280</v>
      </c>
      <c r="C44">
        <v>6.5004986510220266E-3</v>
      </c>
      <c r="D44">
        <v>1.5617617941453564E-4</v>
      </c>
      <c r="E44">
        <v>3.2533256217466603E-6</v>
      </c>
      <c r="F44">
        <v>1.3555523423944419E-5</v>
      </c>
      <c r="G44" s="40"/>
      <c r="H44" s="40"/>
      <c r="I44" s="40"/>
      <c r="J44" s="40"/>
      <c r="K44" s="40"/>
      <c r="L44" s="40"/>
      <c r="M44" s="40"/>
    </row>
    <row r="45" spans="1:13" x14ac:dyDescent="0.35">
      <c r="A45" t="s">
        <v>246</v>
      </c>
      <c r="B45" t="s">
        <v>281</v>
      </c>
      <c r="C45">
        <v>6.5004986510220266E-3</v>
      </c>
      <c r="D45">
        <v>1.5617617941453564E-4</v>
      </c>
      <c r="E45">
        <v>3.2533256217466603E-6</v>
      </c>
      <c r="F45">
        <v>1.3555523423944419E-5</v>
      </c>
      <c r="G45" s="40"/>
      <c r="H45" s="40"/>
      <c r="I45" s="40"/>
      <c r="J45" s="40"/>
      <c r="K45" s="40"/>
      <c r="L45" s="40"/>
      <c r="M45" s="40"/>
    </row>
    <row r="46" spans="1:13" x14ac:dyDescent="0.35">
      <c r="A46" t="s">
        <v>246</v>
      </c>
      <c r="B46" t="s">
        <v>282</v>
      </c>
      <c r="C46">
        <v>6.5004986510220266E-3</v>
      </c>
      <c r="D46">
        <v>1.5617617941453564E-4</v>
      </c>
      <c r="E46">
        <v>3.2533256217466603E-6</v>
      </c>
      <c r="F46">
        <v>1.3555523423944419E-5</v>
      </c>
      <c r="G46" s="40"/>
      <c r="H46" s="40"/>
      <c r="I46" s="40"/>
      <c r="J46" s="40"/>
      <c r="K46" s="40"/>
      <c r="L46" s="40"/>
      <c r="M46" s="40"/>
    </row>
    <row r="47" spans="1:13" x14ac:dyDescent="0.35">
      <c r="A47" t="s">
        <v>246</v>
      </c>
      <c r="B47" t="s">
        <v>278</v>
      </c>
      <c r="C47">
        <v>6.5004986510220266E-3</v>
      </c>
      <c r="D47">
        <v>1.5617617941453564E-4</v>
      </c>
      <c r="E47">
        <v>3.2533256217466603E-6</v>
      </c>
      <c r="F47">
        <v>1.3555523423944419E-5</v>
      </c>
      <c r="G47" s="40"/>
      <c r="H47" s="40"/>
      <c r="I47" s="40"/>
      <c r="J47" s="40"/>
      <c r="K47" s="40"/>
      <c r="L47" s="40"/>
      <c r="M47" s="40"/>
    </row>
    <row r="48" spans="1:13" x14ac:dyDescent="0.35">
      <c r="A48" t="s">
        <v>246</v>
      </c>
      <c r="B48" t="s">
        <v>277</v>
      </c>
      <c r="C48">
        <v>6.5004986510220266E-3</v>
      </c>
      <c r="D48">
        <v>1.5617617941453564E-4</v>
      </c>
      <c r="E48">
        <v>3.2533256217466603E-6</v>
      </c>
      <c r="F48">
        <v>1.3555523423944419E-5</v>
      </c>
      <c r="G48" s="40"/>
      <c r="H48" s="40"/>
      <c r="I48" s="40"/>
      <c r="J48" s="40"/>
      <c r="K48" s="40"/>
      <c r="L48" s="40"/>
      <c r="M48" s="40"/>
    </row>
    <row r="49" spans="1:16" x14ac:dyDescent="0.35">
      <c r="A49" t="s">
        <v>246</v>
      </c>
      <c r="B49" t="s">
        <v>279</v>
      </c>
      <c r="C49">
        <v>6.5004986510220266E-3</v>
      </c>
      <c r="D49">
        <v>1.5617617941453564E-4</v>
      </c>
      <c r="E49">
        <v>3.2533256217466603E-6</v>
      </c>
      <c r="F49">
        <v>1.3555523423944419E-5</v>
      </c>
      <c r="G49" s="40"/>
      <c r="H49" s="40"/>
      <c r="I49" s="40"/>
      <c r="J49" s="40"/>
      <c r="K49" s="40"/>
      <c r="L49" s="40"/>
      <c r="M49" s="40"/>
    </row>
    <row r="50" spans="1:16" x14ac:dyDescent="0.35">
      <c r="J50" s="40"/>
      <c r="K50" s="40"/>
      <c r="L50" s="40"/>
      <c r="M50" s="40"/>
      <c r="N50" s="40"/>
      <c r="O50" s="40"/>
      <c r="P50" s="40"/>
    </row>
    <row r="51" spans="1:16" x14ac:dyDescent="0.35">
      <c r="J51" s="40"/>
      <c r="K51" s="40"/>
      <c r="L51" s="40"/>
      <c r="M51" s="40"/>
      <c r="N51" s="40"/>
      <c r="O51" s="40"/>
      <c r="P51" s="40"/>
    </row>
    <row r="52" spans="1:16" x14ac:dyDescent="0.35">
      <c r="J52" s="40"/>
      <c r="K52" s="40"/>
      <c r="L52" s="40"/>
      <c r="M52" s="40"/>
      <c r="N52" s="40"/>
      <c r="O52" s="40"/>
      <c r="P52" s="40"/>
    </row>
    <row r="53" spans="1:16" x14ac:dyDescent="0.35">
      <c r="J53" s="40"/>
      <c r="K53" s="40"/>
      <c r="L53" s="40"/>
      <c r="M53" s="40"/>
      <c r="N53" s="40"/>
      <c r="O53" s="40"/>
      <c r="P53" s="40"/>
    </row>
    <row r="54" spans="1:16" x14ac:dyDescent="0.35">
      <c r="J54" s="40"/>
      <c r="K54" s="40"/>
      <c r="L54" s="40"/>
      <c r="M54" s="40"/>
      <c r="N54" s="40"/>
      <c r="O54" s="40"/>
      <c r="P54" s="40"/>
    </row>
    <row r="55" spans="1:16" x14ac:dyDescent="0.35">
      <c r="J55" s="40"/>
      <c r="K55" s="40"/>
      <c r="L55" s="40"/>
      <c r="M55" s="40"/>
      <c r="N55" s="40"/>
      <c r="O55" s="40"/>
      <c r="P55" s="40"/>
    </row>
    <row r="56" spans="1:16" x14ac:dyDescent="0.35">
      <c r="J56" s="40"/>
      <c r="K56" s="40"/>
      <c r="L56" s="40"/>
      <c r="M56" s="40"/>
      <c r="N56" s="40"/>
      <c r="O56" s="40"/>
      <c r="P56" s="40"/>
    </row>
    <row r="57" spans="1:16" x14ac:dyDescent="0.35">
      <c r="J57" s="40"/>
      <c r="K57" s="40"/>
      <c r="L57" s="40"/>
      <c r="M57" s="40"/>
      <c r="N57" s="40"/>
      <c r="O57" s="40"/>
      <c r="P57" s="40"/>
    </row>
    <row r="58" spans="1:16" x14ac:dyDescent="0.35">
      <c r="J58" s="40"/>
      <c r="K58" s="40"/>
      <c r="L58" s="40"/>
      <c r="M58" s="40"/>
      <c r="N58" s="40"/>
      <c r="O58" s="40"/>
      <c r="P58" s="40"/>
    </row>
    <row r="59" spans="1:16" x14ac:dyDescent="0.35">
      <c r="J59" s="40"/>
      <c r="K59" s="40"/>
      <c r="L59" s="40"/>
      <c r="M59" s="40"/>
      <c r="N59" s="40"/>
      <c r="O59" s="40"/>
      <c r="P59" s="40"/>
    </row>
    <row r="60" spans="1:16" x14ac:dyDescent="0.35">
      <c r="J60" s="40"/>
      <c r="K60" s="40"/>
      <c r="L60" s="40"/>
      <c r="M60" s="40"/>
      <c r="N60" s="40"/>
      <c r="O60" s="40"/>
      <c r="P60" s="40"/>
    </row>
    <row r="61" spans="1:16" x14ac:dyDescent="0.35">
      <c r="J61" s="40"/>
      <c r="K61" s="40"/>
      <c r="L61" s="40"/>
      <c r="M61" s="40"/>
      <c r="N61" s="40"/>
      <c r="O61" s="40"/>
      <c r="P61" s="40"/>
    </row>
    <row r="62" spans="1:16" x14ac:dyDescent="0.35">
      <c r="J62" s="40"/>
      <c r="K62" s="40"/>
      <c r="L62" s="40"/>
      <c r="M62" s="40"/>
      <c r="N62" s="40"/>
      <c r="O62" s="40"/>
      <c r="P62" s="40"/>
    </row>
    <row r="63" spans="1:16" x14ac:dyDescent="0.35">
      <c r="J63" s="40"/>
      <c r="K63" s="40"/>
      <c r="L63" s="40"/>
      <c r="M63" s="40"/>
      <c r="N63" s="40"/>
      <c r="O63" s="40"/>
      <c r="P63" s="40"/>
    </row>
    <row r="64" spans="1:16" x14ac:dyDescent="0.35">
      <c r="J64" s="40"/>
      <c r="K64" s="40"/>
      <c r="L64" s="40"/>
      <c r="M64" s="40"/>
      <c r="N64" s="40"/>
      <c r="O64" s="40"/>
      <c r="P64" s="40"/>
    </row>
    <row r="65" spans="10:16" x14ac:dyDescent="0.35">
      <c r="J65" s="40"/>
      <c r="K65" s="40"/>
      <c r="L65" s="40"/>
      <c r="M65" s="40"/>
      <c r="N65" s="40"/>
      <c r="O65" s="40"/>
      <c r="P65" s="40"/>
    </row>
    <row r="66" spans="10:16" x14ac:dyDescent="0.35">
      <c r="J66" s="40"/>
      <c r="K66" s="40"/>
      <c r="L66" s="40"/>
      <c r="M66" s="40"/>
      <c r="N66" s="40"/>
      <c r="O66" s="40"/>
      <c r="P66" s="40"/>
    </row>
    <row r="67" spans="10:16" x14ac:dyDescent="0.35">
      <c r="J67" s="40"/>
      <c r="K67" s="40"/>
      <c r="L67" s="40"/>
      <c r="M67" s="40"/>
      <c r="N67" s="40"/>
      <c r="O67" s="40"/>
      <c r="P67" s="40"/>
    </row>
    <row r="68" spans="10:16" x14ac:dyDescent="0.35">
      <c r="J68" s="40"/>
      <c r="K68" s="40"/>
      <c r="L68" s="40"/>
      <c r="M68" s="40"/>
      <c r="N68" s="40"/>
      <c r="O68" s="40"/>
      <c r="P68" s="40"/>
    </row>
    <row r="69" spans="10:16" x14ac:dyDescent="0.35">
      <c r="J69" s="40"/>
      <c r="K69" s="40"/>
      <c r="L69" s="40"/>
      <c r="M69" s="40"/>
      <c r="N69" s="40"/>
      <c r="O69" s="40"/>
      <c r="P69" s="40"/>
    </row>
    <row r="70" spans="10:16" x14ac:dyDescent="0.35">
      <c r="J70" s="40"/>
      <c r="K70" s="40"/>
      <c r="L70" s="40"/>
      <c r="M70" s="40"/>
      <c r="N70" s="40"/>
      <c r="O70" s="40"/>
      <c r="P70" s="40"/>
    </row>
    <row r="71" spans="10:16" x14ac:dyDescent="0.35">
      <c r="J71" s="40"/>
      <c r="K71" s="40"/>
      <c r="L71" s="40"/>
      <c r="M71" s="40"/>
      <c r="N71" s="40"/>
      <c r="O71" s="40"/>
      <c r="P71" s="40"/>
    </row>
    <row r="72" spans="10:16" x14ac:dyDescent="0.35">
      <c r="J72" s="40"/>
      <c r="K72" s="40"/>
      <c r="L72" s="40"/>
      <c r="M72" s="40"/>
      <c r="N72" s="40"/>
      <c r="O72" s="40"/>
      <c r="P72" s="40"/>
    </row>
    <row r="73" spans="10:16" x14ac:dyDescent="0.35">
      <c r="J73" s="40"/>
      <c r="K73" s="40"/>
      <c r="L73" s="40"/>
      <c r="M73" s="40"/>
      <c r="N73" s="40"/>
      <c r="O73" s="40"/>
      <c r="P73" s="40"/>
    </row>
    <row r="74" spans="10:16" x14ac:dyDescent="0.35">
      <c r="J74" s="40"/>
      <c r="K74" s="40"/>
      <c r="L74" s="40"/>
      <c r="M74" s="40"/>
      <c r="N74" s="40"/>
      <c r="O74" s="40"/>
      <c r="P74" s="40"/>
    </row>
    <row r="75" spans="10:16" x14ac:dyDescent="0.35">
      <c r="J75" s="40"/>
      <c r="K75" s="40"/>
      <c r="L75" s="40"/>
      <c r="M75" s="40"/>
      <c r="N75" s="40"/>
      <c r="O75" s="40"/>
      <c r="P75" s="40"/>
    </row>
    <row r="76" spans="10:16" x14ac:dyDescent="0.35">
      <c r="J76" s="40"/>
      <c r="K76" s="40"/>
      <c r="L76" s="40"/>
      <c r="M76" s="40"/>
      <c r="N76" s="40"/>
      <c r="O76" s="40"/>
      <c r="P76" s="40"/>
    </row>
    <row r="77" spans="10:16" x14ac:dyDescent="0.35">
      <c r="J77" s="40"/>
      <c r="K77" s="40"/>
      <c r="L77" s="40"/>
      <c r="M77" s="40"/>
      <c r="N77" s="40"/>
      <c r="O77" s="40"/>
      <c r="P77" s="40"/>
    </row>
    <row r="78" spans="10:16" x14ac:dyDescent="0.35">
      <c r="J78" s="40"/>
      <c r="K78" s="40"/>
      <c r="L78" s="40"/>
      <c r="M78" s="40"/>
      <c r="N78" s="40"/>
      <c r="O78" s="40"/>
      <c r="P78" s="40"/>
    </row>
    <row r="79" spans="10:16" x14ac:dyDescent="0.35">
      <c r="J79" s="40"/>
      <c r="K79" s="40"/>
      <c r="L79" s="40"/>
      <c r="M79" s="40"/>
      <c r="N79" s="40"/>
      <c r="O79" s="40"/>
      <c r="P79" s="40"/>
    </row>
    <row r="80" spans="10:16" x14ac:dyDescent="0.35">
      <c r="J80" s="40"/>
      <c r="K80" s="40"/>
      <c r="L80" s="40"/>
      <c r="M80" s="40"/>
      <c r="N80" s="40"/>
      <c r="O80" s="40"/>
      <c r="P80" s="40"/>
    </row>
    <row r="81" spans="10:16" x14ac:dyDescent="0.35">
      <c r="J81" s="40"/>
      <c r="K81" s="40"/>
      <c r="L81" s="40"/>
      <c r="M81" s="40"/>
      <c r="N81" s="40"/>
      <c r="O81" s="40"/>
      <c r="P81" s="40"/>
    </row>
    <row r="82" spans="10:16" x14ac:dyDescent="0.35">
      <c r="J82" s="40"/>
      <c r="K82" s="40"/>
      <c r="L82" s="40"/>
      <c r="M82" s="40"/>
      <c r="N82" s="40"/>
      <c r="O82" s="40"/>
      <c r="P82" s="40"/>
    </row>
    <row r="83" spans="10:16" x14ac:dyDescent="0.35">
      <c r="J83" s="40"/>
      <c r="K83" s="40"/>
      <c r="L83" s="40"/>
      <c r="M83" s="40"/>
      <c r="N83" s="40"/>
      <c r="O83" s="40"/>
      <c r="P83" s="40"/>
    </row>
    <row r="84" spans="10:16" x14ac:dyDescent="0.35">
      <c r="J84" s="40"/>
      <c r="K84" s="40"/>
      <c r="L84" s="40"/>
      <c r="M84" s="40"/>
      <c r="N84" s="40"/>
      <c r="O84" s="40"/>
      <c r="P84" s="40"/>
    </row>
    <row r="85" spans="10:16" x14ac:dyDescent="0.35">
      <c r="J85" s="40"/>
      <c r="K85" s="40"/>
      <c r="L85" s="40"/>
      <c r="M85" s="40"/>
      <c r="N85" s="40"/>
      <c r="O85" s="40"/>
      <c r="P85" s="40"/>
    </row>
    <row r="86" spans="10:16" x14ac:dyDescent="0.35">
      <c r="J86" s="40"/>
      <c r="K86" s="40"/>
      <c r="L86" s="40"/>
      <c r="M86" s="40"/>
      <c r="N86" s="40"/>
      <c r="O86" s="40"/>
      <c r="P86" s="40"/>
    </row>
    <row r="87" spans="10:16" x14ac:dyDescent="0.35">
      <c r="J87" s="40"/>
      <c r="K87" s="40"/>
      <c r="L87" s="40"/>
      <c r="M87" s="40"/>
      <c r="N87" s="40"/>
      <c r="O87" s="40"/>
      <c r="P87" s="40"/>
    </row>
    <row r="88" spans="10:16" x14ac:dyDescent="0.35">
      <c r="J88" s="40"/>
      <c r="K88" s="40"/>
      <c r="L88" s="40"/>
      <c r="M88" s="40"/>
      <c r="N88" s="40"/>
      <c r="O88" s="40"/>
      <c r="P88" s="40"/>
    </row>
    <row r="89" spans="10:16" x14ac:dyDescent="0.35">
      <c r="J89" s="40"/>
      <c r="K89" s="40"/>
      <c r="L89" s="40"/>
      <c r="M89" s="40"/>
      <c r="N89" s="40"/>
      <c r="O89" s="40"/>
      <c r="P89" s="40"/>
    </row>
    <row r="90" spans="10:16" x14ac:dyDescent="0.35">
      <c r="J90" s="40"/>
      <c r="K90" s="40"/>
      <c r="L90" s="40"/>
      <c r="M90" s="40"/>
      <c r="N90" s="40"/>
      <c r="O90" s="40"/>
      <c r="P90" s="40"/>
    </row>
    <row r="91" spans="10:16" x14ac:dyDescent="0.35">
      <c r="J91" s="40"/>
      <c r="K91" s="40"/>
      <c r="L91" s="40"/>
      <c r="M91" s="40"/>
      <c r="N91" s="40"/>
      <c r="O91" s="40"/>
      <c r="P91" s="40"/>
    </row>
    <row r="92" spans="10:16" x14ac:dyDescent="0.35">
      <c r="J92" s="40"/>
      <c r="K92" s="40"/>
      <c r="L92" s="40"/>
      <c r="M92" s="40"/>
      <c r="N92" s="40"/>
      <c r="O92" s="40"/>
      <c r="P92" s="40"/>
    </row>
    <row r="93" spans="10:16" x14ac:dyDescent="0.35">
      <c r="J93" s="40"/>
      <c r="K93" s="40"/>
      <c r="L93" s="40"/>
      <c r="M93" s="40"/>
      <c r="N93" s="40"/>
      <c r="O93" s="40"/>
      <c r="P93" s="40"/>
    </row>
    <row r="94" spans="10:16" x14ac:dyDescent="0.35">
      <c r="J94" s="40"/>
      <c r="K94" s="40"/>
      <c r="L94" s="40"/>
      <c r="M94" s="40"/>
      <c r="N94" s="40"/>
      <c r="O94" s="40"/>
      <c r="P94" s="40"/>
    </row>
    <row r="95" spans="10:16" x14ac:dyDescent="0.35">
      <c r="J95" s="40"/>
      <c r="K95" s="40"/>
      <c r="L95" s="40"/>
      <c r="M95" s="40"/>
      <c r="N95" s="40"/>
      <c r="O95" s="40"/>
      <c r="P95" s="40"/>
    </row>
    <row r="96" spans="10:16" x14ac:dyDescent="0.35">
      <c r="J96" s="40"/>
      <c r="K96" s="40"/>
      <c r="L96" s="40"/>
      <c r="M96" s="40"/>
      <c r="N96" s="40"/>
      <c r="O96" s="40"/>
      <c r="P96" s="40"/>
    </row>
    <row r="97" spans="10:16" x14ac:dyDescent="0.35">
      <c r="J97" s="40"/>
      <c r="K97" s="40"/>
      <c r="L97" s="40"/>
      <c r="M97" s="40"/>
      <c r="N97" s="40"/>
      <c r="O97" s="40"/>
      <c r="P97" s="40"/>
    </row>
    <row r="98" spans="10:16" x14ac:dyDescent="0.35">
      <c r="J98" s="40"/>
      <c r="K98" s="40"/>
      <c r="L98" s="40"/>
      <c r="M98" s="40"/>
      <c r="N98" s="40"/>
      <c r="O98" s="40"/>
      <c r="P98" s="40"/>
    </row>
    <row r="99" spans="10:16" x14ac:dyDescent="0.35">
      <c r="J99" s="40"/>
      <c r="K99" s="40"/>
      <c r="L99" s="40"/>
      <c r="M99" s="40"/>
      <c r="N99" s="40"/>
      <c r="O99" s="40"/>
      <c r="P99" s="40"/>
    </row>
    <row r="100" spans="10:16" x14ac:dyDescent="0.35">
      <c r="J100" s="40"/>
      <c r="K100" s="40"/>
      <c r="L100" s="40"/>
      <c r="M100" s="40"/>
      <c r="N100" s="40"/>
      <c r="O100" s="40"/>
      <c r="P100" s="40"/>
    </row>
    <row r="101" spans="10:16" x14ac:dyDescent="0.35">
      <c r="J101" s="40"/>
      <c r="K101" s="40"/>
      <c r="L101" s="40"/>
      <c r="M101" s="40"/>
      <c r="N101" s="40"/>
      <c r="O101" s="40"/>
      <c r="P101" s="40"/>
    </row>
    <row r="102" spans="10:16" x14ac:dyDescent="0.35">
      <c r="J102" s="40"/>
      <c r="K102" s="40"/>
      <c r="L102" s="40"/>
      <c r="M102" s="40"/>
      <c r="N102" s="40"/>
      <c r="O102" s="40"/>
      <c r="P102" s="40"/>
    </row>
    <row r="103" spans="10:16" x14ac:dyDescent="0.35">
      <c r="J103" s="40"/>
      <c r="K103" s="40"/>
      <c r="L103" s="40"/>
      <c r="M103" s="40"/>
      <c r="N103" s="40"/>
      <c r="O103" s="40"/>
      <c r="P103" s="40"/>
    </row>
    <row r="104" spans="10:16" x14ac:dyDescent="0.35">
      <c r="J104" s="40"/>
      <c r="K104" s="40"/>
      <c r="L104" s="40"/>
      <c r="M104" s="40"/>
      <c r="N104" s="40"/>
      <c r="O104" s="40"/>
      <c r="P104" s="40"/>
    </row>
    <row r="105" spans="10:16" x14ac:dyDescent="0.35">
      <c r="J105" s="40"/>
      <c r="K105" s="40"/>
      <c r="L105" s="40"/>
      <c r="M105" s="40"/>
      <c r="N105" s="40"/>
      <c r="O105" s="40"/>
      <c r="P105" s="40"/>
    </row>
    <row r="106" spans="10:16" x14ac:dyDescent="0.35">
      <c r="J106" s="40"/>
      <c r="K106" s="40"/>
      <c r="L106" s="40"/>
      <c r="M106" s="40"/>
      <c r="N106" s="40"/>
      <c r="O106" s="40"/>
      <c r="P106" s="40"/>
    </row>
    <row r="107" spans="10:16" x14ac:dyDescent="0.35">
      <c r="J107" s="40"/>
      <c r="K107" s="40"/>
      <c r="L107" s="40"/>
      <c r="M107" s="40"/>
      <c r="N107" s="40"/>
      <c r="O107" s="40"/>
      <c r="P107" s="40"/>
    </row>
    <row r="108" spans="10:16" x14ac:dyDescent="0.35">
      <c r="J108" s="40"/>
      <c r="K108" s="40"/>
      <c r="L108" s="40"/>
      <c r="M108" s="40"/>
      <c r="N108" s="40"/>
      <c r="O108" s="40"/>
      <c r="P108" s="40"/>
    </row>
    <row r="109" spans="10:16" x14ac:dyDescent="0.35">
      <c r="J109" s="40"/>
      <c r="K109" s="40"/>
      <c r="L109" s="40"/>
      <c r="M109" s="40"/>
      <c r="N109" s="40"/>
      <c r="O109" s="40"/>
      <c r="P109" s="40"/>
    </row>
    <row r="110" spans="10:16" x14ac:dyDescent="0.35">
      <c r="J110" s="40"/>
      <c r="K110" s="40"/>
      <c r="L110" s="40"/>
      <c r="M110" s="40"/>
      <c r="N110" s="40"/>
      <c r="O110" s="40"/>
      <c r="P110" s="40"/>
    </row>
    <row r="111" spans="10:16" x14ac:dyDescent="0.35">
      <c r="J111" s="40"/>
      <c r="K111" s="40"/>
      <c r="L111" s="40"/>
      <c r="M111" s="40"/>
      <c r="N111" s="40"/>
      <c r="O111" s="40"/>
      <c r="P111" s="40"/>
    </row>
    <row r="112" spans="10:16" x14ac:dyDescent="0.35">
      <c r="J112" s="40"/>
      <c r="K112" s="40"/>
      <c r="L112" s="40"/>
      <c r="M112" s="40"/>
      <c r="N112" s="40"/>
      <c r="O112" s="40"/>
      <c r="P112" s="40"/>
    </row>
    <row r="113" spans="10:16" x14ac:dyDescent="0.35">
      <c r="J113" s="40"/>
      <c r="K113" s="40"/>
      <c r="L113" s="40"/>
      <c r="M113" s="40"/>
      <c r="N113" s="40"/>
      <c r="O113" s="40"/>
      <c r="P113" s="40"/>
    </row>
    <row r="114" spans="10:16" x14ac:dyDescent="0.35">
      <c r="J114" s="40"/>
      <c r="K114" s="40"/>
      <c r="L114" s="40"/>
      <c r="M114" s="40"/>
      <c r="N114" s="40"/>
      <c r="O114" s="40"/>
      <c r="P114" s="40"/>
    </row>
    <row r="115" spans="10:16" x14ac:dyDescent="0.35">
      <c r="J115" s="40"/>
      <c r="K115" s="40"/>
      <c r="L115" s="40"/>
      <c r="M115" s="40"/>
      <c r="N115" s="40"/>
      <c r="O115" s="40"/>
      <c r="P115" s="40"/>
    </row>
    <row r="116" spans="10:16" x14ac:dyDescent="0.35">
      <c r="J116" s="40"/>
      <c r="K116" s="40"/>
      <c r="L116" s="40"/>
      <c r="M116" s="40"/>
      <c r="N116" s="40"/>
      <c r="O116" s="40"/>
      <c r="P116" s="40"/>
    </row>
    <row r="117" spans="10:16" x14ac:dyDescent="0.35">
      <c r="J117" s="40"/>
      <c r="K117" s="40"/>
      <c r="L117" s="40"/>
      <c r="M117" s="40"/>
      <c r="N117" s="40"/>
      <c r="O117" s="40"/>
      <c r="P117" s="40"/>
    </row>
    <row r="118" spans="10:16" x14ac:dyDescent="0.35">
      <c r="J118" s="40"/>
      <c r="K118" s="40"/>
      <c r="L118" s="40"/>
      <c r="M118" s="40"/>
      <c r="N118" s="40"/>
      <c r="O118" s="40"/>
      <c r="P118" s="40"/>
    </row>
    <row r="119" spans="10:16" x14ac:dyDescent="0.35">
      <c r="J119" s="40"/>
      <c r="K119" s="40"/>
      <c r="L119" s="40"/>
      <c r="M119" s="40"/>
      <c r="N119" s="40"/>
      <c r="O119" s="40"/>
      <c r="P119" s="40"/>
    </row>
    <row r="120" spans="10:16" x14ac:dyDescent="0.35">
      <c r="J120" s="40"/>
      <c r="K120" s="40"/>
      <c r="L120" s="40"/>
      <c r="M120" s="40"/>
      <c r="N120" s="40"/>
      <c r="O120" s="40"/>
      <c r="P120" s="40"/>
    </row>
    <row r="121" spans="10:16" x14ac:dyDescent="0.35">
      <c r="J121" s="40"/>
      <c r="K121" s="40"/>
      <c r="L121" s="40"/>
      <c r="M121" s="40"/>
      <c r="N121" s="40"/>
      <c r="O121" s="40"/>
      <c r="P121" s="40"/>
    </row>
    <row r="122" spans="10:16" x14ac:dyDescent="0.35">
      <c r="J122" s="40"/>
      <c r="K122" s="40"/>
      <c r="L122" s="40"/>
      <c r="M122" s="40"/>
      <c r="N122" s="40"/>
      <c r="O122" s="40"/>
      <c r="P122" s="40"/>
    </row>
    <row r="123" spans="10:16" x14ac:dyDescent="0.35">
      <c r="J123" s="40"/>
      <c r="K123" s="40"/>
      <c r="L123" s="40"/>
      <c r="M123" s="40"/>
      <c r="N123" s="40"/>
      <c r="O123" s="40"/>
      <c r="P123" s="40"/>
    </row>
    <row r="124" spans="10:16" x14ac:dyDescent="0.35">
      <c r="J124" s="40"/>
      <c r="K124" s="40"/>
      <c r="L124" s="40"/>
      <c r="M124" s="40"/>
      <c r="N124" s="40"/>
      <c r="O124" s="40"/>
      <c r="P124" s="40"/>
    </row>
    <row r="125" spans="10:16" x14ac:dyDescent="0.35">
      <c r="J125" s="40"/>
      <c r="K125" s="40"/>
      <c r="L125" s="40"/>
      <c r="M125" s="40"/>
      <c r="N125" s="40"/>
      <c r="O125" s="40"/>
      <c r="P125" s="40"/>
    </row>
    <row r="126" spans="10:16" x14ac:dyDescent="0.35">
      <c r="J126" s="40"/>
      <c r="K126" s="40"/>
      <c r="L126" s="40"/>
      <c r="M126" s="40"/>
      <c r="N126" s="40"/>
      <c r="O126" s="40"/>
      <c r="P126" s="40"/>
    </row>
    <row r="127" spans="10:16" x14ac:dyDescent="0.35">
      <c r="J127" s="40"/>
      <c r="K127" s="40"/>
      <c r="L127" s="40"/>
      <c r="M127" s="40"/>
      <c r="N127" s="40"/>
      <c r="O127" s="40"/>
      <c r="P127" s="40"/>
    </row>
    <row r="128" spans="10:16" x14ac:dyDescent="0.35">
      <c r="J128" s="40"/>
      <c r="K128" s="40"/>
      <c r="L128" s="40"/>
      <c r="M128" s="40"/>
      <c r="N128" s="40"/>
      <c r="O128" s="40"/>
      <c r="P128" s="40"/>
    </row>
    <row r="129" spans="10:16" x14ac:dyDescent="0.35">
      <c r="J129" s="40"/>
      <c r="K129" s="40"/>
      <c r="L129" s="40"/>
      <c r="M129" s="40"/>
      <c r="N129" s="40"/>
      <c r="O129" s="40"/>
      <c r="P129" s="40"/>
    </row>
    <row r="130" spans="10:16" x14ac:dyDescent="0.35">
      <c r="J130" s="40"/>
      <c r="K130" s="40"/>
      <c r="L130" s="40"/>
      <c r="M130" s="40"/>
      <c r="N130" s="40"/>
      <c r="O130" s="40"/>
      <c r="P130" s="40"/>
    </row>
    <row r="131" spans="10:16" x14ac:dyDescent="0.35">
      <c r="J131" s="40"/>
      <c r="K131" s="40"/>
      <c r="L131" s="40"/>
      <c r="M131" s="40"/>
      <c r="N131" s="40"/>
      <c r="O131" s="40"/>
      <c r="P131" s="40"/>
    </row>
    <row r="132" spans="10:16" x14ac:dyDescent="0.35">
      <c r="J132" s="40"/>
      <c r="K132" s="40"/>
      <c r="L132" s="40"/>
      <c r="M132" s="40"/>
      <c r="N132" s="40"/>
      <c r="O132" s="40"/>
      <c r="P132" s="40"/>
    </row>
    <row r="133" spans="10:16" x14ac:dyDescent="0.35">
      <c r="J133" s="40"/>
      <c r="K133" s="40"/>
      <c r="L133" s="40"/>
      <c r="M133" s="40"/>
      <c r="N133" s="40"/>
      <c r="O133" s="40"/>
      <c r="P133" s="40"/>
    </row>
    <row r="134" spans="10:16" x14ac:dyDescent="0.35">
      <c r="J134" s="40"/>
      <c r="K134" s="40"/>
      <c r="L134" s="40"/>
      <c r="M134" s="40"/>
      <c r="N134" s="40"/>
      <c r="O134" s="40"/>
      <c r="P134" s="40"/>
    </row>
    <row r="135" spans="10:16" x14ac:dyDescent="0.35">
      <c r="J135" s="40"/>
      <c r="K135" s="40"/>
      <c r="L135" s="40"/>
      <c r="M135" s="40"/>
      <c r="N135" s="40"/>
      <c r="O135" s="40"/>
      <c r="P135" s="40"/>
    </row>
    <row r="136" spans="10:16" x14ac:dyDescent="0.35">
      <c r="J136" s="40"/>
      <c r="K136" s="40"/>
      <c r="L136" s="40"/>
      <c r="M136" s="40"/>
      <c r="N136" s="40"/>
      <c r="O136" s="40"/>
      <c r="P136" s="40"/>
    </row>
    <row r="137" spans="10:16" x14ac:dyDescent="0.35">
      <c r="J137" s="40"/>
      <c r="K137" s="40"/>
      <c r="L137" s="40"/>
      <c r="M137" s="40"/>
      <c r="N137" s="40"/>
      <c r="O137" s="40"/>
      <c r="P137" s="40"/>
    </row>
    <row r="138" spans="10:16" x14ac:dyDescent="0.35">
      <c r="J138" s="40"/>
      <c r="K138" s="40"/>
      <c r="L138" s="40"/>
      <c r="M138" s="40"/>
      <c r="N138" s="40"/>
      <c r="O138" s="40"/>
      <c r="P138" s="40"/>
    </row>
    <row r="139" spans="10:16" x14ac:dyDescent="0.35">
      <c r="J139" s="40"/>
      <c r="K139" s="40"/>
      <c r="L139" s="40"/>
      <c r="M139" s="40"/>
      <c r="N139" s="40"/>
      <c r="O139" s="40"/>
      <c r="P139" s="40"/>
    </row>
    <row r="140" spans="10:16" x14ac:dyDescent="0.35">
      <c r="J140" s="40"/>
      <c r="K140" s="40"/>
      <c r="L140" s="40"/>
      <c r="M140" s="40"/>
      <c r="N140" s="40"/>
      <c r="O140" s="40"/>
      <c r="P140" s="40"/>
    </row>
    <row r="141" spans="10:16" x14ac:dyDescent="0.35">
      <c r="J141" s="40"/>
      <c r="K141" s="40"/>
      <c r="L141" s="40"/>
      <c r="M141" s="40"/>
      <c r="N141" s="40"/>
      <c r="O141" s="40"/>
      <c r="P141" s="40"/>
    </row>
    <row r="142" spans="10:16" x14ac:dyDescent="0.35">
      <c r="J142" s="40"/>
      <c r="K142" s="40"/>
      <c r="L142" s="40"/>
      <c r="M142" s="40"/>
      <c r="N142" s="40"/>
      <c r="O142" s="40"/>
      <c r="P142" s="40"/>
    </row>
    <row r="143" spans="10:16" x14ac:dyDescent="0.35">
      <c r="J143" s="40"/>
      <c r="K143" s="40"/>
      <c r="L143" s="40"/>
      <c r="M143" s="40"/>
      <c r="N143" s="40"/>
      <c r="O143" s="40"/>
      <c r="P143" s="40"/>
    </row>
    <row r="144" spans="10:16" x14ac:dyDescent="0.35">
      <c r="J144" s="40"/>
      <c r="K144" s="40"/>
      <c r="L144" s="40"/>
      <c r="M144" s="40"/>
      <c r="N144" s="40"/>
      <c r="O144" s="40"/>
      <c r="P144" s="40"/>
    </row>
    <row r="145" spans="10:16" x14ac:dyDescent="0.35">
      <c r="J145" s="40"/>
      <c r="K145" s="40"/>
      <c r="L145" s="40"/>
      <c r="M145" s="40"/>
      <c r="N145" s="40"/>
      <c r="O145" s="40"/>
      <c r="P145" s="40"/>
    </row>
    <row r="146" spans="10:16" x14ac:dyDescent="0.35">
      <c r="J146" s="40"/>
      <c r="K146" s="40"/>
      <c r="L146" s="40"/>
      <c r="M146" s="40"/>
      <c r="N146" s="40"/>
      <c r="O146" s="40"/>
      <c r="P146" s="40"/>
    </row>
    <row r="147" spans="10:16" x14ac:dyDescent="0.35">
      <c r="J147" s="40"/>
      <c r="K147" s="40"/>
      <c r="L147" s="40"/>
      <c r="M147" s="40"/>
      <c r="N147" s="40"/>
      <c r="O147" s="40"/>
      <c r="P147" s="40"/>
    </row>
    <row r="148" spans="10:16" x14ac:dyDescent="0.35">
      <c r="J148" s="40"/>
      <c r="K148" s="40"/>
      <c r="L148" s="40"/>
      <c r="M148" s="40"/>
      <c r="N148" s="40"/>
      <c r="O148" s="40"/>
      <c r="P148" s="40"/>
    </row>
    <row r="149" spans="10:16" x14ac:dyDescent="0.35">
      <c r="J149" s="40"/>
      <c r="K149" s="40"/>
      <c r="L149" s="40"/>
      <c r="M149" s="40"/>
      <c r="N149" s="40"/>
      <c r="O149" s="40"/>
      <c r="P149" s="40"/>
    </row>
    <row r="150" spans="10:16" x14ac:dyDescent="0.35">
      <c r="J150" s="40"/>
      <c r="K150" s="40"/>
      <c r="L150" s="40"/>
      <c r="M150" s="40"/>
      <c r="N150" s="40"/>
      <c r="O150" s="40"/>
      <c r="P150" s="40"/>
    </row>
    <row r="151" spans="10:16" x14ac:dyDescent="0.35">
      <c r="J151" s="40"/>
      <c r="K151" s="40"/>
      <c r="L151" s="40"/>
      <c r="M151" s="40"/>
      <c r="N151" s="40"/>
      <c r="O151" s="40"/>
      <c r="P151" s="40"/>
    </row>
    <row r="152" spans="10:16" x14ac:dyDescent="0.35">
      <c r="J152" s="40"/>
      <c r="K152" s="40"/>
      <c r="L152" s="40"/>
      <c r="M152" s="40"/>
      <c r="N152" s="40"/>
      <c r="O152" s="40"/>
      <c r="P152" s="40"/>
    </row>
    <row r="153" spans="10:16" x14ac:dyDescent="0.35">
      <c r="J153" s="40"/>
      <c r="K153" s="40"/>
      <c r="L153" s="40"/>
      <c r="M153" s="40"/>
      <c r="N153" s="40"/>
      <c r="O153" s="40"/>
      <c r="P153" s="40"/>
    </row>
    <row r="154" spans="10:16" x14ac:dyDescent="0.35">
      <c r="J154" s="40"/>
      <c r="K154" s="40"/>
      <c r="L154" s="40"/>
      <c r="M154" s="40"/>
      <c r="N154" s="40"/>
      <c r="O154" s="40"/>
      <c r="P154" s="40"/>
    </row>
    <row r="155" spans="10:16" x14ac:dyDescent="0.35">
      <c r="J155" s="40"/>
      <c r="K155" s="40"/>
      <c r="L155" s="40"/>
      <c r="M155" s="40"/>
      <c r="N155" s="40"/>
      <c r="O155" s="40"/>
      <c r="P155" s="40"/>
    </row>
    <row r="156" spans="10:16" x14ac:dyDescent="0.35">
      <c r="J156" s="40"/>
      <c r="K156" s="40"/>
      <c r="L156" s="40"/>
      <c r="M156" s="40"/>
      <c r="N156" s="40"/>
      <c r="O156" s="40"/>
      <c r="P156" s="40"/>
    </row>
    <row r="157" spans="10:16" x14ac:dyDescent="0.35">
      <c r="J157" s="40"/>
      <c r="K157" s="40"/>
      <c r="L157" s="40"/>
      <c r="M157" s="40"/>
      <c r="N157" s="40"/>
      <c r="O157" s="40"/>
      <c r="P157" s="40"/>
    </row>
    <row r="158" spans="10:16" x14ac:dyDescent="0.35">
      <c r="J158" s="40"/>
      <c r="K158" s="40"/>
      <c r="L158" s="40"/>
      <c r="M158" s="40"/>
      <c r="N158" s="40"/>
      <c r="O158" s="40"/>
      <c r="P158" s="40"/>
    </row>
    <row r="159" spans="10:16" x14ac:dyDescent="0.35">
      <c r="J159" s="40"/>
      <c r="K159" s="40"/>
      <c r="L159" s="40"/>
      <c r="M159" s="40"/>
      <c r="N159" s="40"/>
      <c r="O159" s="40"/>
      <c r="P159" s="40"/>
    </row>
    <row r="160" spans="10:16" x14ac:dyDescent="0.35">
      <c r="J160" s="40"/>
      <c r="K160" s="40"/>
      <c r="L160" s="40"/>
      <c r="M160" s="40"/>
      <c r="N160" s="40"/>
      <c r="O160" s="40"/>
      <c r="P160" s="40"/>
    </row>
    <row r="161" spans="10:16" x14ac:dyDescent="0.35">
      <c r="J161" s="40"/>
      <c r="K161" s="40"/>
      <c r="L161" s="40"/>
      <c r="M161" s="40"/>
      <c r="N161" s="40"/>
      <c r="O161" s="40"/>
      <c r="P161" s="40"/>
    </row>
    <row r="162" spans="10:16" x14ac:dyDescent="0.35">
      <c r="J162" s="40"/>
      <c r="K162" s="40"/>
      <c r="L162" s="40"/>
      <c r="M162" s="40"/>
      <c r="N162" s="40"/>
      <c r="O162" s="40"/>
      <c r="P162" s="40"/>
    </row>
    <row r="163" spans="10:16" x14ac:dyDescent="0.35">
      <c r="J163" s="40"/>
      <c r="K163" s="40"/>
      <c r="L163" s="40"/>
      <c r="M163" s="40"/>
      <c r="N163" s="40"/>
      <c r="O163" s="40"/>
      <c r="P163" s="40"/>
    </row>
    <row r="164" spans="10:16" x14ac:dyDescent="0.35">
      <c r="J164" s="40"/>
      <c r="K164" s="40"/>
      <c r="L164" s="40"/>
      <c r="M164" s="40"/>
      <c r="N164" s="40"/>
      <c r="O164" s="40"/>
      <c r="P164" s="40"/>
    </row>
    <row r="165" spans="10:16" x14ac:dyDescent="0.35">
      <c r="J165" s="40"/>
      <c r="K165" s="40"/>
      <c r="L165" s="40"/>
      <c r="M165" s="40"/>
      <c r="N165" s="40"/>
      <c r="O165" s="40"/>
      <c r="P165" s="40"/>
    </row>
    <row r="166" spans="10:16" x14ac:dyDescent="0.35">
      <c r="J166" s="40"/>
      <c r="K166" s="40"/>
      <c r="L166" s="40"/>
      <c r="M166" s="40"/>
      <c r="N166" s="40"/>
      <c r="O166" s="40"/>
      <c r="P166" s="40"/>
    </row>
    <row r="167" spans="10:16" x14ac:dyDescent="0.35">
      <c r="J167" s="40"/>
      <c r="K167" s="40"/>
      <c r="L167" s="40"/>
      <c r="M167" s="40"/>
      <c r="N167" s="40"/>
      <c r="O167" s="40"/>
      <c r="P167" s="40"/>
    </row>
    <row r="168" spans="10:16" x14ac:dyDescent="0.35">
      <c r="J168" s="40"/>
      <c r="K168" s="40"/>
      <c r="L168" s="40"/>
      <c r="M168" s="40"/>
      <c r="N168" s="40"/>
      <c r="O168" s="40"/>
      <c r="P168" s="40"/>
    </row>
    <row r="169" spans="10:16" x14ac:dyDescent="0.35">
      <c r="J169" s="40"/>
      <c r="K169" s="40"/>
      <c r="L169" s="40"/>
      <c r="M169" s="40"/>
      <c r="N169" s="40"/>
      <c r="O169" s="40"/>
      <c r="P169" s="40"/>
    </row>
    <row r="170" spans="10:16" x14ac:dyDescent="0.35">
      <c r="J170" s="40"/>
      <c r="K170" s="40"/>
      <c r="L170" s="40"/>
      <c r="M170" s="40"/>
      <c r="N170" s="40"/>
      <c r="O170" s="40"/>
      <c r="P170" s="40"/>
    </row>
    <row r="171" spans="10:16" x14ac:dyDescent="0.35">
      <c r="J171" s="40"/>
      <c r="K171" s="40"/>
      <c r="L171" s="40"/>
      <c r="M171" s="40"/>
      <c r="N171" s="40"/>
      <c r="O171" s="40"/>
      <c r="P171" s="40"/>
    </row>
    <row r="172" spans="10:16" x14ac:dyDescent="0.35">
      <c r="J172" s="40"/>
      <c r="K172" s="40"/>
      <c r="L172" s="40"/>
      <c r="M172" s="40"/>
      <c r="N172" s="40"/>
      <c r="O172" s="40"/>
      <c r="P172" s="40"/>
    </row>
    <row r="173" spans="10:16" x14ac:dyDescent="0.35">
      <c r="J173" s="40"/>
      <c r="K173" s="40"/>
      <c r="L173" s="40"/>
      <c r="M173" s="40"/>
      <c r="N173" s="40"/>
      <c r="O173" s="40"/>
      <c r="P173" s="40"/>
    </row>
    <row r="174" spans="10:16" x14ac:dyDescent="0.35">
      <c r="J174" s="40"/>
      <c r="K174" s="40"/>
      <c r="L174" s="40"/>
      <c r="M174" s="40"/>
      <c r="N174" s="40"/>
      <c r="O174" s="40"/>
      <c r="P174" s="40"/>
    </row>
    <row r="175" spans="10:16" x14ac:dyDescent="0.35">
      <c r="J175" s="40"/>
      <c r="K175" s="40"/>
      <c r="L175" s="40"/>
      <c r="M175" s="40"/>
      <c r="N175" s="40"/>
      <c r="O175" s="40"/>
      <c r="P175" s="40"/>
    </row>
    <row r="176" spans="10:16" x14ac:dyDescent="0.35">
      <c r="J176" s="40"/>
      <c r="K176" s="40"/>
      <c r="L176" s="40"/>
      <c r="M176" s="40"/>
      <c r="N176" s="40"/>
      <c r="O176" s="40"/>
      <c r="P176" s="40"/>
    </row>
    <row r="177" spans="10:16" x14ac:dyDescent="0.35">
      <c r="J177" s="40"/>
      <c r="K177" s="40"/>
      <c r="L177" s="40"/>
      <c r="M177" s="40"/>
      <c r="N177" s="40"/>
      <c r="O177" s="40"/>
      <c r="P177" s="40"/>
    </row>
    <row r="178" spans="10:16" x14ac:dyDescent="0.35">
      <c r="J178" s="40"/>
      <c r="K178" s="40"/>
      <c r="L178" s="40"/>
      <c r="M178" s="40"/>
      <c r="N178" s="40"/>
      <c r="O178" s="40"/>
      <c r="P178" s="40"/>
    </row>
    <row r="179" spans="10:16" x14ac:dyDescent="0.35">
      <c r="J179" s="40"/>
      <c r="K179" s="40"/>
      <c r="L179" s="40"/>
      <c r="M179" s="40"/>
      <c r="N179" s="40"/>
      <c r="O179" s="40"/>
      <c r="P179" s="40"/>
    </row>
    <row r="180" spans="10:16" x14ac:dyDescent="0.35">
      <c r="J180" s="40"/>
      <c r="K180" s="40"/>
      <c r="L180" s="40"/>
      <c r="M180" s="40"/>
      <c r="N180" s="40"/>
      <c r="O180" s="40"/>
      <c r="P180" s="40"/>
    </row>
    <row r="181" spans="10:16" x14ac:dyDescent="0.35">
      <c r="J181" s="40"/>
      <c r="K181" s="40"/>
      <c r="L181" s="40"/>
      <c r="M181" s="40"/>
      <c r="N181" s="40"/>
      <c r="O181" s="40"/>
      <c r="P181" s="40"/>
    </row>
    <row r="182" spans="10:16" x14ac:dyDescent="0.35">
      <c r="J182" s="40"/>
      <c r="K182" s="40"/>
      <c r="L182" s="40"/>
      <c r="M182" s="40"/>
      <c r="N182" s="40"/>
      <c r="O182" s="40"/>
      <c r="P182" s="40"/>
    </row>
    <row r="183" spans="10:16" x14ac:dyDescent="0.35">
      <c r="J183" s="40"/>
      <c r="K183" s="40"/>
      <c r="L183" s="40"/>
      <c r="M183" s="40"/>
      <c r="N183" s="40"/>
      <c r="O183" s="40"/>
      <c r="P183" s="40"/>
    </row>
    <row r="184" spans="10:16" x14ac:dyDescent="0.35">
      <c r="J184" s="40"/>
      <c r="K184" s="40"/>
      <c r="L184" s="40"/>
      <c r="M184" s="40"/>
      <c r="N184" s="40"/>
      <c r="O184" s="40"/>
      <c r="P184" s="40"/>
    </row>
    <row r="185" spans="10:16" x14ac:dyDescent="0.35">
      <c r="J185" s="40"/>
      <c r="K185" s="40"/>
      <c r="L185" s="40"/>
      <c r="M185" s="40"/>
      <c r="N185" s="40"/>
      <c r="O185" s="40"/>
      <c r="P185" s="40"/>
    </row>
    <row r="186" spans="10:16" x14ac:dyDescent="0.35">
      <c r="J186" s="40"/>
      <c r="K186" s="40"/>
      <c r="L186" s="40"/>
      <c r="M186" s="40"/>
      <c r="N186" s="40"/>
      <c r="O186" s="40"/>
      <c r="P186" s="40"/>
    </row>
    <row r="187" spans="10:16" x14ac:dyDescent="0.35">
      <c r="J187" s="40"/>
      <c r="K187" s="40"/>
      <c r="L187" s="40"/>
      <c r="M187" s="40"/>
      <c r="N187" s="40"/>
      <c r="O187" s="40"/>
      <c r="P187" s="40"/>
    </row>
    <row r="188" spans="10:16" x14ac:dyDescent="0.35">
      <c r="J188" s="40"/>
      <c r="K188" s="40"/>
      <c r="L188" s="40"/>
      <c r="M188" s="40"/>
      <c r="N188" s="40"/>
      <c r="O188" s="40"/>
      <c r="P188" s="40"/>
    </row>
    <row r="189" spans="10:16" x14ac:dyDescent="0.35">
      <c r="J189" s="40"/>
      <c r="K189" s="40"/>
      <c r="L189" s="40"/>
      <c r="M189" s="40"/>
      <c r="N189" s="40"/>
      <c r="O189" s="40"/>
      <c r="P189" s="40"/>
    </row>
    <row r="190" spans="10:16" x14ac:dyDescent="0.35">
      <c r="J190" s="40"/>
      <c r="K190" s="40"/>
      <c r="L190" s="40"/>
      <c r="M190" s="40"/>
      <c r="N190" s="40"/>
      <c r="O190" s="40"/>
      <c r="P190" s="40"/>
    </row>
    <row r="191" spans="10:16" x14ac:dyDescent="0.35">
      <c r="J191" s="40"/>
      <c r="K191" s="40"/>
      <c r="L191" s="40"/>
      <c r="M191" s="40"/>
      <c r="N191" s="40"/>
      <c r="O191" s="40"/>
      <c r="P191" s="40"/>
    </row>
    <row r="192" spans="10:16" x14ac:dyDescent="0.35">
      <c r="J192" s="40"/>
      <c r="K192" s="40"/>
      <c r="L192" s="40"/>
      <c r="M192" s="40"/>
      <c r="N192" s="40"/>
      <c r="O192" s="40"/>
      <c r="P192" s="40"/>
    </row>
    <row r="193" spans="10:16" x14ac:dyDescent="0.35">
      <c r="J193" s="40"/>
      <c r="K193" s="40"/>
      <c r="L193" s="40"/>
      <c r="M193" s="40"/>
      <c r="N193" s="40"/>
      <c r="O193" s="40"/>
      <c r="P193" s="40"/>
    </row>
    <row r="194" spans="10:16" x14ac:dyDescent="0.35">
      <c r="J194" s="40"/>
      <c r="K194" s="40"/>
      <c r="L194" s="40"/>
      <c r="M194" s="40"/>
      <c r="N194" s="40"/>
      <c r="O194" s="40"/>
      <c r="P194" s="40"/>
    </row>
    <row r="195" spans="10:16" x14ac:dyDescent="0.35">
      <c r="J195" s="40"/>
      <c r="K195" s="40"/>
      <c r="L195" s="40"/>
      <c r="M195" s="40"/>
      <c r="N195" s="40"/>
      <c r="O195" s="40"/>
      <c r="P195" s="40"/>
    </row>
    <row r="196" spans="10:16" x14ac:dyDescent="0.35">
      <c r="J196" s="40"/>
      <c r="K196" s="40"/>
      <c r="L196" s="40"/>
      <c r="M196" s="40"/>
      <c r="N196" s="40"/>
      <c r="O196" s="40"/>
      <c r="P196" s="40"/>
    </row>
    <row r="197" spans="10:16" x14ac:dyDescent="0.35">
      <c r="J197" s="40"/>
      <c r="K197" s="40"/>
      <c r="L197" s="40"/>
      <c r="M197" s="40"/>
      <c r="N197" s="40"/>
      <c r="O197" s="40"/>
      <c r="P197" s="40"/>
    </row>
    <row r="198" spans="10:16" x14ac:dyDescent="0.35">
      <c r="J198" s="40"/>
      <c r="K198" s="40"/>
      <c r="L198" s="40"/>
      <c r="M198" s="40"/>
      <c r="N198" s="40"/>
      <c r="O198" s="40"/>
      <c r="P198" s="40"/>
    </row>
    <row r="199" spans="10:16" x14ac:dyDescent="0.35">
      <c r="J199" s="40"/>
      <c r="K199" s="40"/>
      <c r="L199" s="40"/>
      <c r="M199" s="40"/>
      <c r="N199" s="40"/>
      <c r="O199" s="40"/>
      <c r="P199" s="40"/>
    </row>
    <row r="200" spans="10:16" x14ac:dyDescent="0.35">
      <c r="J200" s="40"/>
      <c r="K200" s="40"/>
      <c r="L200" s="40"/>
      <c r="M200" s="40"/>
      <c r="N200" s="40"/>
      <c r="O200" s="40"/>
      <c r="P200" s="40"/>
    </row>
    <row r="201" spans="10:16" x14ac:dyDescent="0.35">
      <c r="J201" s="40"/>
      <c r="K201" s="40"/>
      <c r="L201" s="40"/>
      <c r="M201" s="40"/>
      <c r="N201" s="40"/>
      <c r="O201" s="40"/>
      <c r="P201" s="40"/>
    </row>
    <row r="202" spans="10:16" x14ac:dyDescent="0.35">
      <c r="J202" s="40"/>
      <c r="K202" s="40"/>
      <c r="L202" s="40"/>
      <c r="M202" s="40"/>
      <c r="N202" s="40"/>
      <c r="O202" s="40"/>
      <c r="P202" s="40"/>
    </row>
    <row r="203" spans="10:16" x14ac:dyDescent="0.35">
      <c r="J203" s="40"/>
      <c r="K203" s="40"/>
      <c r="L203" s="40"/>
      <c r="M203" s="40"/>
      <c r="N203" s="40"/>
      <c r="O203" s="40"/>
      <c r="P203" s="40"/>
    </row>
    <row r="204" spans="10:16" x14ac:dyDescent="0.35">
      <c r="J204" s="40"/>
      <c r="K204" s="40"/>
      <c r="L204" s="40"/>
      <c r="M204" s="40"/>
      <c r="N204" s="40"/>
      <c r="O204" s="40"/>
      <c r="P204" s="40"/>
    </row>
    <row r="205" spans="10:16" x14ac:dyDescent="0.35">
      <c r="J205" s="40"/>
      <c r="K205" s="40"/>
      <c r="L205" s="40"/>
      <c r="M205" s="40"/>
      <c r="N205" s="40"/>
      <c r="O205" s="40"/>
      <c r="P205" s="40"/>
    </row>
    <row r="206" spans="10:16" x14ac:dyDescent="0.35">
      <c r="J206" s="40"/>
      <c r="K206" s="40"/>
      <c r="L206" s="40"/>
      <c r="M206" s="40"/>
      <c r="N206" s="40"/>
      <c r="O206" s="40"/>
      <c r="P206" s="40"/>
    </row>
    <row r="207" spans="10:16" x14ac:dyDescent="0.35">
      <c r="J207" s="40"/>
      <c r="K207" s="40"/>
      <c r="L207" s="40"/>
      <c r="M207" s="40"/>
      <c r="N207" s="40"/>
      <c r="O207" s="40"/>
      <c r="P207" s="40"/>
    </row>
    <row r="208" spans="10:16" x14ac:dyDescent="0.35">
      <c r="J208" s="40"/>
      <c r="K208" s="40"/>
      <c r="L208" s="40"/>
      <c r="M208" s="40"/>
      <c r="N208" s="40"/>
      <c r="O208" s="40"/>
      <c r="P208" s="40"/>
    </row>
    <row r="209" spans="10:16" x14ac:dyDescent="0.35">
      <c r="J209" s="40"/>
      <c r="K209" s="40"/>
      <c r="L209" s="40"/>
      <c r="M209" s="40"/>
      <c r="N209" s="40"/>
      <c r="O209" s="40"/>
      <c r="P209" s="40"/>
    </row>
    <row r="210" spans="10:16" x14ac:dyDescent="0.35">
      <c r="J210" s="40"/>
      <c r="K210" s="40"/>
      <c r="L210" s="40"/>
      <c r="M210" s="40"/>
      <c r="N210" s="40"/>
      <c r="O210" s="40"/>
      <c r="P210" s="40"/>
    </row>
    <row r="211" spans="10:16" x14ac:dyDescent="0.35">
      <c r="J211" s="40"/>
      <c r="K211" s="40"/>
      <c r="L211" s="40"/>
      <c r="M211" s="40"/>
      <c r="N211" s="40"/>
      <c r="O211" s="40"/>
      <c r="P211" s="40"/>
    </row>
    <row r="212" spans="10:16" x14ac:dyDescent="0.35">
      <c r="J212" s="40"/>
      <c r="K212" s="40"/>
      <c r="L212" s="40"/>
      <c r="M212" s="40"/>
      <c r="N212" s="40"/>
      <c r="O212" s="40"/>
      <c r="P212" s="40"/>
    </row>
    <row r="213" spans="10:16" x14ac:dyDescent="0.35">
      <c r="J213" s="40"/>
      <c r="K213" s="40"/>
      <c r="L213" s="40"/>
      <c r="M213" s="40"/>
      <c r="N213" s="40"/>
      <c r="O213" s="40"/>
      <c r="P213" s="40"/>
    </row>
    <row r="214" spans="10:16" x14ac:dyDescent="0.35">
      <c r="J214" s="40"/>
      <c r="K214" s="40"/>
      <c r="L214" s="40"/>
      <c r="M214" s="40"/>
      <c r="N214" s="40"/>
      <c r="O214" s="40"/>
      <c r="P214" s="40"/>
    </row>
    <row r="215" spans="10:16" x14ac:dyDescent="0.35">
      <c r="J215" s="40"/>
      <c r="K215" s="40"/>
      <c r="L215" s="40"/>
      <c r="M215" s="40"/>
      <c r="N215" s="40"/>
      <c r="O215" s="40"/>
      <c r="P215" s="40"/>
    </row>
    <row r="216" spans="10:16" x14ac:dyDescent="0.35">
      <c r="J216" s="40"/>
      <c r="K216" s="40"/>
      <c r="L216" s="40"/>
      <c r="M216" s="40"/>
      <c r="N216" s="40"/>
      <c r="O216" s="40"/>
      <c r="P216" s="40"/>
    </row>
    <row r="217" spans="10:16" x14ac:dyDescent="0.35">
      <c r="J217" s="40"/>
      <c r="K217" s="40"/>
      <c r="L217" s="40"/>
      <c r="M217" s="40"/>
      <c r="N217" s="40"/>
      <c r="O217" s="40"/>
      <c r="P217" s="40"/>
    </row>
    <row r="218" spans="10:16" x14ac:dyDescent="0.35">
      <c r="J218" s="40"/>
      <c r="K218" s="40"/>
      <c r="L218" s="40"/>
      <c r="M218" s="40"/>
      <c r="N218" s="40"/>
      <c r="O218" s="40"/>
      <c r="P218" s="40"/>
    </row>
    <row r="219" spans="10:16" x14ac:dyDescent="0.35">
      <c r="J219" s="40"/>
      <c r="K219" s="40"/>
      <c r="L219" s="40"/>
      <c r="M219" s="40"/>
      <c r="N219" s="40"/>
      <c r="O219" s="40"/>
      <c r="P219" s="40"/>
    </row>
    <row r="220" spans="10:16" x14ac:dyDescent="0.35">
      <c r="J220" s="40"/>
      <c r="K220" s="40"/>
      <c r="L220" s="40"/>
      <c r="M220" s="40"/>
      <c r="N220" s="40"/>
      <c r="O220" s="40"/>
      <c r="P220" s="40"/>
    </row>
    <row r="221" spans="10:16" x14ac:dyDescent="0.35">
      <c r="J221" s="40"/>
      <c r="K221" s="40"/>
      <c r="L221" s="40"/>
      <c r="M221" s="40"/>
      <c r="N221" s="40"/>
      <c r="O221" s="40"/>
      <c r="P221" s="40"/>
    </row>
    <row r="222" spans="10:16" x14ac:dyDescent="0.35">
      <c r="J222" s="40"/>
      <c r="K222" s="40"/>
      <c r="L222" s="40"/>
      <c r="M222" s="40"/>
      <c r="N222" s="40"/>
      <c r="O222" s="40"/>
      <c r="P222" s="40"/>
    </row>
    <row r="223" spans="10:16" x14ac:dyDescent="0.35">
      <c r="J223" s="40"/>
      <c r="K223" s="40"/>
      <c r="L223" s="40"/>
      <c r="M223" s="40"/>
      <c r="N223" s="40"/>
      <c r="O223" s="40"/>
      <c r="P223" s="40"/>
    </row>
    <row r="224" spans="10:16" x14ac:dyDescent="0.35">
      <c r="J224" s="40"/>
      <c r="K224" s="40"/>
      <c r="L224" s="40"/>
      <c r="M224" s="40"/>
      <c r="N224" s="40"/>
      <c r="O224" s="40"/>
      <c r="P224" s="40"/>
    </row>
    <row r="225" spans="10:16" x14ac:dyDescent="0.35">
      <c r="J225" s="40"/>
      <c r="K225" s="40"/>
      <c r="L225" s="40"/>
      <c r="M225" s="40"/>
      <c r="N225" s="40"/>
      <c r="O225" s="40"/>
      <c r="P225" s="40"/>
    </row>
    <row r="226" spans="10:16" x14ac:dyDescent="0.35">
      <c r="J226" s="40"/>
      <c r="K226" s="40"/>
      <c r="L226" s="40"/>
      <c r="M226" s="40"/>
      <c r="N226" s="40"/>
      <c r="O226" s="40"/>
      <c r="P226" s="40"/>
    </row>
    <row r="227" spans="10:16" x14ac:dyDescent="0.35">
      <c r="J227" s="40"/>
      <c r="K227" s="40"/>
      <c r="L227" s="40"/>
      <c r="M227" s="40"/>
      <c r="N227" s="40"/>
      <c r="O227" s="40"/>
      <c r="P227" s="40"/>
    </row>
    <row r="228" spans="10:16" x14ac:dyDescent="0.35">
      <c r="J228" s="40"/>
      <c r="K228" s="40"/>
      <c r="L228" s="40"/>
      <c r="M228" s="40"/>
      <c r="N228" s="40"/>
      <c r="O228" s="40"/>
      <c r="P228" s="40"/>
    </row>
    <row r="229" spans="10:16" x14ac:dyDescent="0.35">
      <c r="J229" s="40"/>
      <c r="K229" s="40"/>
      <c r="L229" s="40"/>
      <c r="M229" s="40"/>
      <c r="N229" s="40"/>
      <c r="O229" s="40"/>
      <c r="P229" s="40"/>
    </row>
    <row r="230" spans="10:16" x14ac:dyDescent="0.35">
      <c r="J230" s="40"/>
      <c r="K230" s="40"/>
      <c r="L230" s="40"/>
      <c r="M230" s="40"/>
      <c r="N230" s="40"/>
      <c r="O230" s="40"/>
      <c r="P230" s="40"/>
    </row>
    <row r="231" spans="10:16" x14ac:dyDescent="0.35">
      <c r="J231" s="40"/>
      <c r="K231" s="40"/>
      <c r="L231" s="40"/>
      <c r="M231" s="40"/>
      <c r="N231" s="40"/>
      <c r="O231" s="40"/>
      <c r="P231" s="40"/>
    </row>
    <row r="232" spans="10:16" x14ac:dyDescent="0.35">
      <c r="J232" s="40"/>
      <c r="K232" s="40"/>
      <c r="L232" s="40"/>
      <c r="M232" s="40"/>
      <c r="N232" s="40"/>
      <c r="O232" s="40"/>
      <c r="P232" s="40"/>
    </row>
    <row r="233" spans="10:16" x14ac:dyDescent="0.35">
      <c r="J233" s="40"/>
      <c r="K233" s="40"/>
      <c r="L233" s="40"/>
      <c r="M233" s="40"/>
      <c r="N233" s="40"/>
      <c r="O233" s="40"/>
      <c r="P233" s="40"/>
    </row>
    <row r="234" spans="10:16" x14ac:dyDescent="0.35">
      <c r="J234" s="40"/>
      <c r="K234" s="40"/>
      <c r="L234" s="40"/>
      <c r="M234" s="40"/>
      <c r="N234" s="40"/>
      <c r="O234" s="40"/>
      <c r="P234" s="40"/>
    </row>
    <row r="235" spans="10:16" x14ac:dyDescent="0.35">
      <c r="J235" s="40"/>
      <c r="K235" s="40"/>
      <c r="L235" s="40"/>
      <c r="M235" s="40"/>
      <c r="N235" s="40"/>
      <c r="O235" s="40"/>
      <c r="P235" s="40"/>
    </row>
    <row r="236" spans="10:16" x14ac:dyDescent="0.35">
      <c r="J236" s="40"/>
      <c r="K236" s="40"/>
      <c r="L236" s="40"/>
      <c r="M236" s="40"/>
      <c r="N236" s="40"/>
      <c r="O236" s="40"/>
      <c r="P236" s="40"/>
    </row>
    <row r="237" spans="10:16" x14ac:dyDescent="0.35">
      <c r="J237" s="40"/>
      <c r="K237" s="40"/>
      <c r="L237" s="40"/>
      <c r="M237" s="40"/>
      <c r="N237" s="40"/>
      <c r="O237" s="40"/>
      <c r="P237" s="40"/>
    </row>
    <row r="238" spans="10:16" x14ac:dyDescent="0.35">
      <c r="J238" s="40"/>
      <c r="K238" s="40"/>
      <c r="L238" s="40"/>
      <c r="M238" s="40"/>
      <c r="N238" s="40"/>
      <c r="O238" s="40"/>
      <c r="P238" s="40"/>
    </row>
    <row r="239" spans="10:16" x14ac:dyDescent="0.35">
      <c r="J239" s="40"/>
      <c r="K239" s="40"/>
      <c r="L239" s="40"/>
      <c r="M239" s="40"/>
      <c r="N239" s="40"/>
      <c r="O239" s="40"/>
      <c r="P239" s="40"/>
    </row>
    <row r="240" spans="10:16" x14ac:dyDescent="0.35">
      <c r="J240" s="40"/>
      <c r="K240" s="40"/>
      <c r="L240" s="40"/>
      <c r="M240" s="40"/>
      <c r="N240" s="40"/>
      <c r="O240" s="40"/>
      <c r="P240" s="40"/>
    </row>
    <row r="241" spans="10:16" x14ac:dyDescent="0.35">
      <c r="J241" s="40"/>
      <c r="K241" s="40"/>
      <c r="L241" s="40"/>
      <c r="M241" s="40"/>
      <c r="N241" s="40"/>
      <c r="O241" s="40"/>
      <c r="P241" s="40"/>
    </row>
    <row r="242" spans="10:16" x14ac:dyDescent="0.35">
      <c r="J242" s="40"/>
      <c r="K242" s="40"/>
      <c r="L242" s="40"/>
      <c r="M242" s="40"/>
      <c r="N242" s="40"/>
      <c r="O242" s="40"/>
      <c r="P242" s="40"/>
    </row>
    <row r="243" spans="10:16" x14ac:dyDescent="0.35">
      <c r="J243" s="40"/>
      <c r="K243" s="40"/>
      <c r="L243" s="40"/>
      <c r="M243" s="40"/>
      <c r="N243" s="40"/>
      <c r="O243" s="40"/>
      <c r="P243" s="40"/>
    </row>
    <row r="244" spans="10:16" x14ac:dyDescent="0.35">
      <c r="J244" s="40"/>
      <c r="K244" s="40"/>
      <c r="L244" s="40"/>
      <c r="M244" s="40"/>
      <c r="N244" s="40"/>
      <c r="O244" s="40"/>
      <c r="P244" s="40"/>
    </row>
    <row r="245" spans="10:16" x14ac:dyDescent="0.35">
      <c r="J245" s="40"/>
      <c r="K245" s="40"/>
      <c r="L245" s="40"/>
      <c r="M245" s="40"/>
      <c r="N245" s="40"/>
      <c r="O245" s="40"/>
      <c r="P245" s="40"/>
    </row>
    <row r="246" spans="10:16" x14ac:dyDescent="0.35">
      <c r="J246" s="40"/>
      <c r="K246" s="40"/>
      <c r="L246" s="40"/>
      <c r="M246" s="40"/>
      <c r="N246" s="40"/>
      <c r="O246" s="40"/>
      <c r="P246" s="40"/>
    </row>
    <row r="247" spans="10:16" x14ac:dyDescent="0.35">
      <c r="J247" s="40"/>
      <c r="K247" s="40"/>
      <c r="L247" s="40"/>
      <c r="M247" s="40"/>
      <c r="N247" s="40"/>
      <c r="O247" s="40"/>
      <c r="P247" s="40"/>
    </row>
    <row r="248" spans="10:16" x14ac:dyDescent="0.35">
      <c r="J248" s="40"/>
      <c r="K248" s="40"/>
      <c r="L248" s="40"/>
      <c r="M248" s="40"/>
      <c r="N248" s="40"/>
      <c r="O248" s="40"/>
      <c r="P248" s="40"/>
    </row>
    <row r="249" spans="10:16" x14ac:dyDescent="0.35">
      <c r="J249" s="40"/>
      <c r="K249" s="40"/>
      <c r="L249" s="40"/>
      <c r="M249" s="40"/>
      <c r="N249" s="40"/>
      <c r="O249" s="40"/>
      <c r="P249" s="40"/>
    </row>
    <row r="250" spans="10:16" x14ac:dyDescent="0.35">
      <c r="J250" s="40"/>
      <c r="K250" s="40"/>
      <c r="L250" s="40"/>
      <c r="M250" s="40"/>
      <c r="N250" s="40"/>
      <c r="O250" s="40"/>
      <c r="P250" s="40"/>
    </row>
    <row r="251" spans="10:16" x14ac:dyDescent="0.35">
      <c r="J251" s="40"/>
      <c r="K251" s="40"/>
      <c r="L251" s="40"/>
      <c r="M251" s="40"/>
      <c r="N251" s="40"/>
      <c r="O251" s="40"/>
      <c r="P251" s="40"/>
    </row>
    <row r="252" spans="10:16" x14ac:dyDescent="0.35">
      <c r="J252" s="40"/>
      <c r="K252" s="40"/>
      <c r="L252" s="40"/>
      <c r="M252" s="40"/>
      <c r="N252" s="40"/>
      <c r="O252" s="40"/>
      <c r="P252" s="40"/>
    </row>
    <row r="253" spans="10:16" x14ac:dyDescent="0.35">
      <c r="J253" s="40"/>
      <c r="K253" s="40"/>
      <c r="L253" s="40"/>
      <c r="M253" s="40"/>
      <c r="N253" s="40"/>
      <c r="O253" s="40"/>
      <c r="P253" s="40"/>
    </row>
    <row r="254" spans="10:16" x14ac:dyDescent="0.35">
      <c r="J254" s="40"/>
      <c r="K254" s="40"/>
      <c r="L254" s="40"/>
      <c r="M254" s="40"/>
      <c r="N254" s="40"/>
      <c r="O254" s="40"/>
      <c r="P254" s="40"/>
    </row>
    <row r="255" spans="10:16" x14ac:dyDescent="0.35">
      <c r="J255" s="40"/>
      <c r="K255" s="40"/>
      <c r="L255" s="40"/>
      <c r="M255" s="40"/>
      <c r="N255" s="40"/>
      <c r="O255" s="40"/>
      <c r="P255" s="40"/>
    </row>
    <row r="256" spans="10:16" x14ac:dyDescent="0.35">
      <c r="J256" s="40"/>
      <c r="K256" s="40"/>
      <c r="L256" s="40"/>
      <c r="M256" s="40"/>
      <c r="N256" s="40"/>
      <c r="O256" s="40"/>
      <c r="P256" s="40"/>
    </row>
    <row r="257" spans="10:16" x14ac:dyDescent="0.35">
      <c r="J257" s="40"/>
      <c r="K257" s="40"/>
      <c r="L257" s="40"/>
      <c r="M257" s="40"/>
      <c r="N257" s="40"/>
      <c r="O257" s="40"/>
      <c r="P257" s="40"/>
    </row>
    <row r="258" spans="10:16" x14ac:dyDescent="0.35">
      <c r="J258" s="40"/>
      <c r="K258" s="40"/>
      <c r="L258" s="40"/>
      <c r="M258" s="40"/>
      <c r="N258" s="40"/>
      <c r="O258" s="40"/>
      <c r="P258" s="40"/>
    </row>
    <row r="259" spans="10:16" x14ac:dyDescent="0.35">
      <c r="J259" s="40"/>
      <c r="K259" s="40"/>
      <c r="L259" s="40"/>
      <c r="M259" s="40"/>
      <c r="N259" s="40"/>
      <c r="O259" s="40"/>
      <c r="P259" s="40"/>
    </row>
    <row r="260" spans="10:16" x14ac:dyDescent="0.35">
      <c r="J260" s="40"/>
      <c r="K260" s="40"/>
      <c r="L260" s="40"/>
      <c r="M260" s="40"/>
      <c r="N260" s="40"/>
      <c r="O260" s="40"/>
      <c r="P260" s="40"/>
    </row>
    <row r="261" spans="10:16" x14ac:dyDescent="0.35">
      <c r="J261" s="40"/>
      <c r="K261" s="40"/>
      <c r="L261" s="40"/>
      <c r="M261" s="40"/>
      <c r="N261" s="40"/>
      <c r="O261" s="40"/>
      <c r="P261" s="40"/>
    </row>
    <row r="262" spans="10:16" x14ac:dyDescent="0.35">
      <c r="J262" s="40"/>
      <c r="K262" s="40"/>
      <c r="L262" s="40"/>
      <c r="M262" s="40"/>
      <c r="N262" s="40"/>
      <c r="O262" s="40"/>
      <c r="P262" s="40"/>
    </row>
    <row r="263" spans="10:16" x14ac:dyDescent="0.35">
      <c r="J263" s="40"/>
      <c r="K263" s="40"/>
      <c r="L263" s="40"/>
      <c r="M263" s="40"/>
      <c r="N263" s="40"/>
      <c r="O263" s="40"/>
      <c r="P263" s="40"/>
    </row>
    <row r="264" spans="10:16" x14ac:dyDescent="0.35">
      <c r="J264" s="40"/>
      <c r="K264" s="40"/>
      <c r="L264" s="40"/>
      <c r="M264" s="40"/>
      <c r="N264" s="40"/>
      <c r="O264" s="40"/>
      <c r="P264" s="40"/>
    </row>
    <row r="265" spans="10:16" x14ac:dyDescent="0.35">
      <c r="J265" s="40"/>
      <c r="K265" s="40"/>
      <c r="L265" s="40"/>
      <c r="M265" s="40"/>
      <c r="N265" s="40"/>
      <c r="O265" s="40"/>
      <c r="P265" s="40"/>
    </row>
    <row r="266" spans="10:16" x14ac:dyDescent="0.35">
      <c r="J266" s="40"/>
      <c r="K266" s="40"/>
      <c r="L266" s="40"/>
      <c r="M266" s="40"/>
      <c r="N266" s="40"/>
      <c r="O266" s="40"/>
      <c r="P266" s="40"/>
    </row>
    <row r="267" spans="10:16" x14ac:dyDescent="0.35">
      <c r="J267" s="40"/>
      <c r="K267" s="40"/>
      <c r="L267" s="40"/>
      <c r="M267" s="40"/>
      <c r="N267" s="40"/>
      <c r="O267" s="40"/>
      <c r="P267" s="40"/>
    </row>
    <row r="268" spans="10:16" x14ac:dyDescent="0.35">
      <c r="J268" s="40"/>
      <c r="K268" s="40"/>
      <c r="L268" s="40"/>
      <c r="M268" s="40"/>
      <c r="N268" s="40"/>
      <c r="O268" s="40"/>
      <c r="P268" s="40"/>
    </row>
    <row r="269" spans="10:16" x14ac:dyDescent="0.35">
      <c r="J269" s="40"/>
      <c r="K269" s="40"/>
      <c r="L269" s="40"/>
      <c r="M269" s="40"/>
      <c r="N269" s="40"/>
      <c r="O269" s="40"/>
      <c r="P269" s="40"/>
    </row>
    <row r="270" spans="10:16" x14ac:dyDescent="0.35">
      <c r="J270" s="40"/>
      <c r="K270" s="40"/>
      <c r="L270" s="40"/>
      <c r="M270" s="40"/>
      <c r="N270" s="40"/>
      <c r="O270" s="40"/>
      <c r="P270" s="40"/>
    </row>
    <row r="271" spans="10:16" x14ac:dyDescent="0.35">
      <c r="J271" s="40"/>
      <c r="K271" s="40"/>
      <c r="L271" s="40"/>
      <c r="M271" s="40"/>
      <c r="N271" s="40"/>
      <c r="O271" s="40"/>
      <c r="P271" s="40"/>
    </row>
    <row r="272" spans="10:16" x14ac:dyDescent="0.35">
      <c r="J272" s="40"/>
      <c r="K272" s="40"/>
      <c r="L272" s="40"/>
      <c r="M272" s="40"/>
      <c r="N272" s="40"/>
      <c r="O272" s="40"/>
      <c r="P272" s="40"/>
    </row>
    <row r="273" spans="10:16" x14ac:dyDescent="0.35">
      <c r="J273" s="40"/>
      <c r="K273" s="40"/>
      <c r="L273" s="40"/>
      <c r="M273" s="40"/>
      <c r="N273" s="40"/>
      <c r="O273" s="40"/>
      <c r="P273" s="40"/>
    </row>
    <row r="274" spans="10:16" x14ac:dyDescent="0.35">
      <c r="J274" s="40"/>
      <c r="K274" s="40"/>
      <c r="L274" s="40"/>
      <c r="M274" s="40"/>
      <c r="N274" s="40"/>
      <c r="O274" s="40"/>
      <c r="P274" s="40"/>
    </row>
    <row r="275" spans="10:16" x14ac:dyDescent="0.35">
      <c r="J275" s="40"/>
      <c r="K275" s="40"/>
      <c r="L275" s="40"/>
      <c r="M275" s="40"/>
      <c r="N275" s="40"/>
      <c r="O275" s="40"/>
      <c r="P275" s="40"/>
    </row>
    <row r="276" spans="10:16" x14ac:dyDescent="0.35">
      <c r="J276" s="40"/>
      <c r="K276" s="40"/>
      <c r="L276" s="40"/>
      <c r="M276" s="40"/>
      <c r="N276" s="40"/>
      <c r="O276" s="40"/>
      <c r="P276" s="40"/>
    </row>
    <row r="277" spans="10:16" x14ac:dyDescent="0.35">
      <c r="J277" s="40"/>
      <c r="K277" s="40"/>
      <c r="L277" s="40"/>
      <c r="M277" s="40"/>
      <c r="N277" s="40"/>
      <c r="O277" s="40"/>
      <c r="P277" s="40"/>
    </row>
    <row r="278" spans="10:16" x14ac:dyDescent="0.35">
      <c r="J278" s="40"/>
      <c r="K278" s="40"/>
      <c r="L278" s="40"/>
      <c r="M278" s="40"/>
      <c r="N278" s="40"/>
      <c r="O278" s="40"/>
      <c r="P278" s="40"/>
    </row>
    <row r="279" spans="10:16" x14ac:dyDescent="0.35">
      <c r="J279" s="40"/>
      <c r="K279" s="40"/>
      <c r="L279" s="40"/>
      <c r="M279" s="40"/>
      <c r="N279" s="40"/>
      <c r="O279" s="40"/>
      <c r="P279" s="40"/>
    </row>
    <row r="280" spans="10:16" x14ac:dyDescent="0.35">
      <c r="J280" s="40"/>
      <c r="K280" s="40"/>
      <c r="L280" s="40"/>
      <c r="M280" s="40"/>
      <c r="N280" s="40"/>
      <c r="O280" s="40"/>
      <c r="P280" s="40"/>
    </row>
    <row r="281" spans="10:16" x14ac:dyDescent="0.35">
      <c r="J281" s="40"/>
      <c r="K281" s="40"/>
      <c r="L281" s="40"/>
      <c r="M281" s="40"/>
      <c r="N281" s="40"/>
      <c r="O281" s="40"/>
      <c r="P281" s="40"/>
    </row>
    <row r="282" spans="10:16" x14ac:dyDescent="0.35">
      <c r="J282" s="40"/>
      <c r="K282" s="40"/>
      <c r="L282" s="40"/>
      <c r="M282" s="40"/>
      <c r="N282" s="40"/>
      <c r="O282" s="40"/>
      <c r="P282" s="40"/>
    </row>
    <row r="283" spans="10:16" x14ac:dyDescent="0.35">
      <c r="J283" s="40"/>
      <c r="K283" s="40"/>
      <c r="L283" s="40"/>
      <c r="M283" s="40"/>
      <c r="N283" s="40"/>
      <c r="O283" s="40"/>
      <c r="P283" s="40"/>
    </row>
    <row r="284" spans="10:16" x14ac:dyDescent="0.35">
      <c r="J284" s="40"/>
      <c r="K284" s="40"/>
      <c r="L284" s="40"/>
      <c r="M284" s="40"/>
      <c r="N284" s="40"/>
      <c r="O284" s="40"/>
      <c r="P284" s="40"/>
    </row>
    <row r="285" spans="10:16" x14ac:dyDescent="0.35">
      <c r="J285" s="40"/>
      <c r="K285" s="40"/>
      <c r="L285" s="40"/>
      <c r="M285" s="40"/>
      <c r="N285" s="40"/>
      <c r="O285" s="40"/>
      <c r="P285" s="40"/>
    </row>
    <row r="286" spans="10:16" x14ac:dyDescent="0.35">
      <c r="J286" s="40"/>
      <c r="K286" s="40"/>
      <c r="L286" s="40"/>
      <c r="M286" s="40"/>
      <c r="N286" s="40"/>
      <c r="O286" s="40"/>
      <c r="P286" s="40"/>
    </row>
    <row r="287" spans="10:16" x14ac:dyDescent="0.35">
      <c r="J287" s="40"/>
      <c r="K287" s="40"/>
      <c r="L287" s="40"/>
      <c r="M287" s="40"/>
      <c r="N287" s="40"/>
      <c r="O287" s="40"/>
      <c r="P287" s="40"/>
    </row>
    <row r="288" spans="10:16" x14ac:dyDescent="0.35">
      <c r="J288" s="40"/>
      <c r="K288" s="40"/>
      <c r="L288" s="40"/>
      <c r="M288" s="40"/>
      <c r="N288" s="40"/>
      <c r="O288" s="40"/>
      <c r="P288" s="40"/>
    </row>
    <row r="289" spans="10:16" x14ac:dyDescent="0.35">
      <c r="J289" s="40"/>
      <c r="K289" s="40"/>
      <c r="L289" s="40"/>
      <c r="M289" s="40"/>
      <c r="N289" s="40"/>
      <c r="O289" s="40"/>
      <c r="P289" s="40"/>
    </row>
    <row r="290" spans="10:16" x14ac:dyDescent="0.35">
      <c r="J290" s="40"/>
      <c r="K290" s="40"/>
      <c r="L290" s="40"/>
      <c r="M290" s="40"/>
      <c r="N290" s="40"/>
      <c r="O290" s="40"/>
      <c r="P290" s="40"/>
    </row>
    <row r="291" spans="10:16" x14ac:dyDescent="0.35">
      <c r="J291" s="40"/>
      <c r="K291" s="40"/>
      <c r="L291" s="40"/>
      <c r="M291" s="40"/>
      <c r="N291" s="40"/>
      <c r="O291" s="40"/>
      <c r="P291" s="40"/>
    </row>
    <row r="292" spans="10:16" x14ac:dyDescent="0.35">
      <c r="J292" s="40"/>
      <c r="K292" s="40"/>
      <c r="L292" s="40"/>
      <c r="M292" s="40"/>
      <c r="N292" s="40"/>
      <c r="O292" s="40"/>
      <c r="P292" s="40"/>
    </row>
    <row r="293" spans="10:16" x14ac:dyDescent="0.35">
      <c r="J293" s="40"/>
      <c r="K293" s="40"/>
      <c r="L293" s="40"/>
      <c r="M293" s="40"/>
      <c r="N293" s="40"/>
      <c r="O293" s="40"/>
      <c r="P293" s="40"/>
    </row>
    <row r="294" spans="10:16" x14ac:dyDescent="0.35">
      <c r="J294" s="40"/>
      <c r="K294" s="40"/>
      <c r="L294" s="40"/>
      <c r="M294" s="40"/>
      <c r="N294" s="40"/>
      <c r="O294" s="40"/>
      <c r="P294" s="40"/>
    </row>
    <row r="295" spans="10:16" x14ac:dyDescent="0.35">
      <c r="J295" s="40"/>
      <c r="K295" s="40"/>
      <c r="L295" s="40"/>
      <c r="M295" s="40"/>
      <c r="N295" s="40"/>
      <c r="O295" s="40"/>
      <c r="P295" s="40"/>
    </row>
    <row r="296" spans="10:16" x14ac:dyDescent="0.35">
      <c r="J296" s="40"/>
      <c r="K296" s="40"/>
      <c r="L296" s="40"/>
      <c r="M296" s="40"/>
      <c r="N296" s="40"/>
      <c r="O296" s="40"/>
      <c r="P296" s="40"/>
    </row>
    <row r="297" spans="10:16" x14ac:dyDescent="0.35">
      <c r="J297" s="40"/>
      <c r="K297" s="40"/>
      <c r="L297" s="40"/>
      <c r="M297" s="40"/>
      <c r="N297" s="40"/>
      <c r="O297" s="40"/>
      <c r="P297" s="40"/>
    </row>
    <row r="298" spans="10:16" x14ac:dyDescent="0.35">
      <c r="J298" s="40"/>
      <c r="K298" s="40"/>
      <c r="L298" s="40"/>
      <c r="M298" s="40"/>
      <c r="N298" s="40"/>
      <c r="O298" s="40"/>
      <c r="P298" s="40"/>
    </row>
    <row r="299" spans="10:16" x14ac:dyDescent="0.35">
      <c r="J299" s="40"/>
      <c r="K299" s="40"/>
      <c r="L299" s="40"/>
      <c r="M299" s="40"/>
      <c r="N299" s="40"/>
      <c r="O299" s="40"/>
      <c r="P299" s="40"/>
    </row>
    <row r="300" spans="10:16" x14ac:dyDescent="0.35">
      <c r="J300" s="40"/>
      <c r="K300" s="40"/>
      <c r="L300" s="40"/>
      <c r="M300" s="40"/>
      <c r="N300" s="40"/>
      <c r="O300" s="40"/>
      <c r="P300" s="40"/>
    </row>
    <row r="301" spans="10:16" x14ac:dyDescent="0.35">
      <c r="J301" s="40"/>
      <c r="K301" s="40"/>
      <c r="L301" s="40"/>
      <c r="M301" s="40"/>
      <c r="N301" s="40"/>
      <c r="O301" s="40"/>
      <c r="P301" s="40"/>
    </row>
    <row r="302" spans="10:16" x14ac:dyDescent="0.35">
      <c r="J302" s="40"/>
      <c r="K302" s="40"/>
      <c r="L302" s="40"/>
      <c r="M302" s="40"/>
      <c r="N302" s="40"/>
      <c r="O302" s="40"/>
      <c r="P302" s="40"/>
    </row>
    <row r="303" spans="10:16" x14ac:dyDescent="0.35">
      <c r="J303" s="40"/>
      <c r="K303" s="40"/>
      <c r="L303" s="40"/>
      <c r="M303" s="40"/>
      <c r="N303" s="40"/>
      <c r="O303" s="40"/>
      <c r="P303" s="40"/>
    </row>
    <row r="304" spans="10:16" x14ac:dyDescent="0.35">
      <c r="J304" s="40"/>
      <c r="K304" s="40"/>
      <c r="L304" s="40"/>
      <c r="M304" s="40"/>
      <c r="N304" s="40"/>
      <c r="O304" s="40"/>
      <c r="P304" s="40"/>
    </row>
    <row r="305" spans="10:16" x14ac:dyDescent="0.35">
      <c r="J305" s="40"/>
      <c r="K305" s="40"/>
      <c r="L305" s="40"/>
      <c r="M305" s="40"/>
      <c r="N305" s="40"/>
      <c r="O305" s="40"/>
      <c r="P305" s="40"/>
    </row>
    <row r="306" spans="10:16" x14ac:dyDescent="0.35">
      <c r="J306" s="40"/>
      <c r="K306" s="40"/>
      <c r="L306" s="40"/>
      <c r="M306" s="40"/>
      <c r="N306" s="40"/>
      <c r="O306" s="40"/>
      <c r="P306" s="40"/>
    </row>
    <row r="307" spans="10:16" x14ac:dyDescent="0.35">
      <c r="J307" s="40"/>
      <c r="K307" s="40"/>
      <c r="L307" s="40"/>
      <c r="M307" s="40"/>
      <c r="N307" s="40"/>
      <c r="O307" s="40"/>
      <c r="P307" s="40"/>
    </row>
    <row r="308" spans="10:16" x14ac:dyDescent="0.35">
      <c r="J308" s="40"/>
      <c r="K308" s="40"/>
      <c r="L308" s="40"/>
      <c r="M308" s="40"/>
      <c r="N308" s="40"/>
      <c r="O308" s="40"/>
      <c r="P308" s="40"/>
    </row>
    <row r="309" spans="10:16" x14ac:dyDescent="0.35">
      <c r="J309" s="40"/>
      <c r="K309" s="40"/>
      <c r="L309" s="40"/>
      <c r="M309" s="40"/>
      <c r="N309" s="40"/>
      <c r="O309" s="40"/>
      <c r="P309" s="40"/>
    </row>
    <row r="310" spans="10:16" x14ac:dyDescent="0.35">
      <c r="J310" s="40"/>
      <c r="K310" s="40"/>
      <c r="L310" s="40"/>
      <c r="M310" s="40"/>
      <c r="N310" s="40"/>
      <c r="O310" s="40"/>
      <c r="P310" s="40"/>
    </row>
    <row r="311" spans="10:16" x14ac:dyDescent="0.35">
      <c r="J311" s="40"/>
      <c r="K311" s="40"/>
      <c r="L311" s="40"/>
      <c r="M311" s="40"/>
      <c r="N311" s="40"/>
      <c r="O311" s="40"/>
      <c r="P311" s="40"/>
    </row>
    <row r="312" spans="10:16" x14ac:dyDescent="0.35">
      <c r="J312" s="40"/>
      <c r="K312" s="40"/>
      <c r="L312" s="40"/>
      <c r="M312" s="40"/>
      <c r="N312" s="40"/>
      <c r="O312" s="40"/>
      <c r="P312" s="40"/>
    </row>
    <row r="313" spans="10:16" x14ac:dyDescent="0.35">
      <c r="J313" s="40"/>
      <c r="K313" s="40"/>
      <c r="L313" s="40"/>
      <c r="M313" s="40"/>
      <c r="N313" s="40"/>
      <c r="O313" s="40"/>
      <c r="P313" s="40"/>
    </row>
    <row r="314" spans="10:16" x14ac:dyDescent="0.35">
      <c r="J314" s="40"/>
      <c r="K314" s="40"/>
      <c r="L314" s="40"/>
      <c r="M314" s="40"/>
      <c r="N314" s="40"/>
      <c r="O314" s="40"/>
      <c r="P314" s="40"/>
    </row>
    <row r="315" spans="10:16" x14ac:dyDescent="0.35">
      <c r="J315" s="40"/>
      <c r="K315" s="40"/>
      <c r="L315" s="40"/>
      <c r="M315" s="40"/>
      <c r="N315" s="40"/>
      <c r="O315" s="40"/>
      <c r="P315" s="40"/>
    </row>
    <row r="316" spans="10:16" x14ac:dyDescent="0.35">
      <c r="J316" s="40"/>
      <c r="K316" s="40"/>
      <c r="L316" s="40"/>
      <c r="M316" s="40"/>
      <c r="N316" s="40"/>
      <c r="O316" s="40"/>
      <c r="P316" s="40"/>
    </row>
    <row r="317" spans="10:16" x14ac:dyDescent="0.35">
      <c r="J317" s="40"/>
      <c r="K317" s="40"/>
      <c r="L317" s="40"/>
      <c r="M317" s="40"/>
      <c r="N317" s="40"/>
      <c r="O317" s="40"/>
      <c r="P317" s="40"/>
    </row>
    <row r="318" spans="10:16" x14ac:dyDescent="0.35">
      <c r="J318" s="40"/>
      <c r="K318" s="40"/>
      <c r="L318" s="40"/>
      <c r="M318" s="40"/>
      <c r="N318" s="40"/>
      <c r="O318" s="40"/>
      <c r="P318" s="40"/>
    </row>
    <row r="319" spans="10:16" x14ac:dyDescent="0.35">
      <c r="J319" s="40"/>
      <c r="K319" s="40"/>
      <c r="L319" s="40"/>
      <c r="M319" s="40"/>
      <c r="N319" s="40"/>
      <c r="O319" s="40"/>
      <c r="P319" s="40"/>
    </row>
    <row r="320" spans="10:16" x14ac:dyDescent="0.35">
      <c r="J320" s="40"/>
      <c r="K320" s="40"/>
      <c r="L320" s="40"/>
      <c r="M320" s="40"/>
      <c r="N320" s="40"/>
      <c r="O320" s="40"/>
      <c r="P320" s="40"/>
    </row>
    <row r="321" spans="10:16" x14ac:dyDescent="0.35">
      <c r="J321" s="40"/>
      <c r="K321" s="40"/>
      <c r="L321" s="40"/>
      <c r="M321" s="40"/>
      <c r="N321" s="40"/>
      <c r="O321" s="40"/>
      <c r="P321" s="40"/>
    </row>
    <row r="322" spans="10:16" x14ac:dyDescent="0.35">
      <c r="J322" s="40"/>
      <c r="K322" s="40"/>
      <c r="L322" s="40"/>
      <c r="M322" s="40"/>
      <c r="N322" s="40"/>
      <c r="O322" s="40"/>
      <c r="P322" s="40"/>
    </row>
    <row r="323" spans="10:16" x14ac:dyDescent="0.35">
      <c r="J323" s="40"/>
      <c r="K323" s="40"/>
      <c r="L323" s="40"/>
      <c r="M323" s="40"/>
      <c r="N323" s="40"/>
      <c r="O323" s="40"/>
      <c r="P323" s="40"/>
    </row>
    <row r="324" spans="10:16" x14ac:dyDescent="0.35">
      <c r="J324" s="40"/>
      <c r="K324" s="40"/>
      <c r="L324" s="40"/>
      <c r="M324" s="40"/>
      <c r="N324" s="40"/>
      <c r="O324" s="40"/>
      <c r="P324" s="40"/>
    </row>
    <row r="325" spans="10:16" x14ac:dyDescent="0.35">
      <c r="J325" s="40"/>
      <c r="K325" s="40"/>
      <c r="L325" s="40"/>
      <c r="M325" s="40"/>
      <c r="N325" s="40"/>
      <c r="O325" s="40"/>
      <c r="P325" s="40"/>
    </row>
    <row r="326" spans="10:16" x14ac:dyDescent="0.35">
      <c r="J326" s="40"/>
      <c r="K326" s="40"/>
      <c r="L326" s="40"/>
      <c r="M326" s="40"/>
      <c r="N326" s="40"/>
      <c r="O326" s="40"/>
      <c r="P326" s="40"/>
    </row>
    <row r="327" spans="10:16" x14ac:dyDescent="0.35">
      <c r="J327" s="40"/>
      <c r="K327" s="40"/>
      <c r="L327" s="40"/>
      <c r="M327" s="40"/>
      <c r="N327" s="40"/>
      <c r="O327" s="40"/>
      <c r="P327" s="40"/>
    </row>
    <row r="328" spans="10:16" x14ac:dyDescent="0.35">
      <c r="J328" s="40"/>
      <c r="K328" s="40"/>
      <c r="L328" s="40"/>
      <c r="M328" s="40"/>
      <c r="N328" s="40"/>
      <c r="O328" s="40"/>
      <c r="P328" s="40"/>
    </row>
    <row r="329" spans="10:16" x14ac:dyDescent="0.35">
      <c r="J329" s="40"/>
      <c r="L329" s="40"/>
      <c r="M329" s="40"/>
      <c r="N329" s="40"/>
      <c r="O329" s="40"/>
      <c r="P329" s="40"/>
    </row>
    <row r="330" spans="10:16" x14ac:dyDescent="0.35">
      <c r="J330" s="40"/>
      <c r="L330" s="40"/>
      <c r="M330" s="40"/>
      <c r="N330" s="40"/>
      <c r="O330" s="40"/>
      <c r="P330" s="40"/>
    </row>
    <row r="331" spans="10:16" x14ac:dyDescent="0.35">
      <c r="J331" s="40"/>
      <c r="L331" s="40"/>
      <c r="M331" s="40"/>
      <c r="N331" s="40"/>
      <c r="O331" s="40"/>
      <c r="P331" s="40"/>
    </row>
    <row r="332" spans="10:16" x14ac:dyDescent="0.35">
      <c r="J332" s="40"/>
      <c r="L332" s="40"/>
      <c r="M332" s="40"/>
      <c r="N332" s="40"/>
      <c r="O332" s="40"/>
      <c r="P332" s="40"/>
    </row>
    <row r="333" spans="10:16" x14ac:dyDescent="0.35">
      <c r="J333" s="40"/>
      <c r="L333" s="40"/>
      <c r="M333" s="40"/>
      <c r="N333" s="40"/>
      <c r="O333" s="40"/>
      <c r="P333" s="40"/>
    </row>
    <row r="334" spans="10:16" x14ac:dyDescent="0.35">
      <c r="J334" s="40"/>
      <c r="L334" s="40"/>
      <c r="M334" s="40"/>
      <c r="N334" s="40"/>
      <c r="O334" s="40"/>
      <c r="P334" s="40"/>
    </row>
    <row r="335" spans="10:16" x14ac:dyDescent="0.35">
      <c r="P335" s="40"/>
    </row>
    <row r="336" spans="10:16" x14ac:dyDescent="0.35">
      <c r="P336" s="40"/>
    </row>
    <row r="337" spans="16:16" x14ac:dyDescent="0.35">
      <c r="P337" s="40"/>
    </row>
    <row r="338" spans="16:16" x14ac:dyDescent="0.35">
      <c r="P338" s="40"/>
    </row>
    <row r="339" spans="16:16" x14ac:dyDescent="0.35">
      <c r="P339" s="40"/>
    </row>
    <row r="340" spans="16:16" x14ac:dyDescent="0.35">
      <c r="P340" s="40"/>
    </row>
    <row r="341" spans="16:16" x14ac:dyDescent="0.35">
      <c r="P341" s="40"/>
    </row>
    <row r="342" spans="16:16" x14ac:dyDescent="0.35">
      <c r="P342" s="40"/>
    </row>
    <row r="343" spans="16:16" x14ac:dyDescent="0.35">
      <c r="P343" s="40"/>
    </row>
    <row r="344" spans="16:16" x14ac:dyDescent="0.35">
      <c r="P344" s="40"/>
    </row>
    <row r="345" spans="16:16" x14ac:dyDescent="0.35">
      <c r="P345" s="40"/>
    </row>
    <row r="346" spans="16:16" x14ac:dyDescent="0.35">
      <c r="P346" s="40"/>
    </row>
    <row r="347" spans="16:16" x14ac:dyDescent="0.35">
      <c r="P347" s="40"/>
    </row>
    <row r="348" spans="16:16" x14ac:dyDescent="0.35">
      <c r="P348" s="40"/>
    </row>
    <row r="349" spans="16:16" x14ac:dyDescent="0.35">
      <c r="P349" s="40"/>
    </row>
    <row r="350" spans="16:16" x14ac:dyDescent="0.35">
      <c r="P350" s="40"/>
    </row>
  </sheetData>
  <phoneticPr fontId="1" type="noConversion"/>
  <conditionalFormatting sqref="J9:J35 I2:I8">
    <cfRule type="colorScale" priority="6">
      <colorScale>
        <cfvo type="min"/>
        <cfvo type="max"/>
        <color theme="0"/>
        <color rgb="FFC00000"/>
      </colorScale>
    </cfRule>
  </conditionalFormatting>
  <conditionalFormatting sqref="K9:K35 J2:J8">
    <cfRule type="colorScale" priority="5">
      <colorScale>
        <cfvo type="min"/>
        <cfvo type="max"/>
        <color theme="0"/>
        <color rgb="FFC00000"/>
      </colorScale>
    </cfRule>
  </conditionalFormatting>
  <conditionalFormatting sqref="L9:L35 K2:K8">
    <cfRule type="colorScale" priority="63">
      <colorScale>
        <cfvo type="min"/>
        <cfvo type="max"/>
        <color theme="0"/>
        <color rgb="FFC00000"/>
      </colorScale>
    </cfRule>
  </conditionalFormatting>
  <conditionalFormatting sqref="I9:I49 H2:H8">
    <cfRule type="colorScale" priority="2">
      <colorScale>
        <cfvo type="min"/>
        <cfvo type="max"/>
        <color theme="0"/>
        <color rgb="FFC00000"/>
      </colorScale>
    </cfRule>
  </conditionalFormatting>
  <conditionalFormatting sqref="H9:H35 G2:G8">
    <cfRule type="colorScale" priority="1">
      <colorScale>
        <cfvo type="min"/>
        <cfvo type="max"/>
        <color theme="0"/>
        <color rgb="FFC00000"/>
      </colorScale>
    </cfRule>
  </conditionalFormatting>
  <conditionalFormatting sqref="G9:G45">
    <cfRule type="colorScale" priority="77">
      <colorScale>
        <cfvo type="min"/>
        <cfvo type="max"/>
        <color theme="0"/>
        <color rgb="FFC00000"/>
      </colorScale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6C18E-9AAF-47B8-BE3E-BB2EABA3403F}">
  <sheetPr codeName="Sheet5"/>
  <dimension ref="A1:D40"/>
  <sheetViews>
    <sheetView workbookViewId="0">
      <selection activeCell="A19" sqref="A19"/>
    </sheetView>
    <sheetView workbookViewId="1"/>
  </sheetViews>
  <sheetFormatPr defaultRowHeight="14.5" x14ac:dyDescent="0.35"/>
  <cols>
    <col min="1" max="1" width="48.81640625" bestFit="1" customWidth="1"/>
    <col min="2" max="2" width="38" bestFit="1" customWidth="1"/>
  </cols>
  <sheetData>
    <row r="1" spans="1:4" x14ac:dyDescent="0.35">
      <c r="A1" t="s">
        <v>120</v>
      </c>
      <c r="B1" t="s">
        <v>119</v>
      </c>
      <c r="C1" t="s">
        <v>121</v>
      </c>
      <c r="D1" t="s">
        <v>17</v>
      </c>
    </row>
    <row r="2" spans="1:4" x14ac:dyDescent="0.35">
      <c r="A2" t="s">
        <v>283</v>
      </c>
      <c r="B2" t="s">
        <v>304</v>
      </c>
      <c r="D2">
        <v>54.5</v>
      </c>
    </row>
    <row r="3" spans="1:4" x14ac:dyDescent="0.35">
      <c r="A3" t="s">
        <v>283</v>
      </c>
      <c r="B3" t="s">
        <v>305</v>
      </c>
      <c r="C3" t="s">
        <v>118</v>
      </c>
      <c r="D3">
        <v>0.9</v>
      </c>
    </row>
    <row r="4" spans="1:4" x14ac:dyDescent="0.35">
      <c r="A4" t="s">
        <v>284</v>
      </c>
      <c r="B4" t="s">
        <v>306</v>
      </c>
      <c r="C4" t="s">
        <v>118</v>
      </c>
      <c r="D4">
        <v>414.2</v>
      </c>
    </row>
    <row r="5" spans="1:4" x14ac:dyDescent="0.35">
      <c r="A5" t="s">
        <v>284</v>
      </c>
      <c r="B5" t="s">
        <v>307</v>
      </c>
      <c r="D5">
        <v>300</v>
      </c>
    </row>
    <row r="6" spans="1:4" x14ac:dyDescent="0.35">
      <c r="A6" t="s">
        <v>284</v>
      </c>
      <c r="B6" t="s">
        <v>308</v>
      </c>
      <c r="C6" t="s">
        <v>118</v>
      </c>
      <c r="D6">
        <v>828.4</v>
      </c>
    </row>
    <row r="7" spans="1:4" x14ac:dyDescent="0.35">
      <c r="A7" t="s">
        <v>284</v>
      </c>
      <c r="B7" t="s">
        <v>307</v>
      </c>
      <c r="C7" t="s">
        <v>118</v>
      </c>
      <c r="D7">
        <v>600</v>
      </c>
    </row>
    <row r="8" spans="1:4" x14ac:dyDescent="0.35">
      <c r="A8" t="s">
        <v>284</v>
      </c>
      <c r="B8" t="s">
        <v>309</v>
      </c>
      <c r="C8" t="s">
        <v>118</v>
      </c>
      <c r="D8">
        <v>55</v>
      </c>
    </row>
    <row r="9" spans="1:4" x14ac:dyDescent="0.35">
      <c r="A9" t="s">
        <v>285</v>
      </c>
      <c r="B9" t="s">
        <v>310</v>
      </c>
      <c r="C9" t="s">
        <v>118</v>
      </c>
      <c r="D9">
        <v>5.45</v>
      </c>
    </row>
    <row r="10" spans="1:4" x14ac:dyDescent="0.35">
      <c r="A10" t="s">
        <v>286</v>
      </c>
      <c r="B10" t="s">
        <v>311</v>
      </c>
      <c r="C10" t="s">
        <v>118</v>
      </c>
      <c r="D10">
        <v>0.9</v>
      </c>
    </row>
    <row r="11" spans="1:4" x14ac:dyDescent="0.35">
      <c r="A11" t="s">
        <v>286</v>
      </c>
      <c r="B11" t="s">
        <v>312</v>
      </c>
      <c r="D11">
        <v>3.27</v>
      </c>
    </row>
    <row r="12" spans="1:4" x14ac:dyDescent="0.35">
      <c r="A12" t="s">
        <v>287</v>
      </c>
      <c r="B12" t="s">
        <v>313</v>
      </c>
      <c r="C12" t="s">
        <v>118</v>
      </c>
      <c r="D12">
        <v>11</v>
      </c>
    </row>
    <row r="13" spans="1:4" x14ac:dyDescent="0.35">
      <c r="A13" t="s">
        <v>288</v>
      </c>
      <c r="B13" t="s">
        <v>313</v>
      </c>
      <c r="C13" t="s">
        <v>118</v>
      </c>
      <c r="D13">
        <v>1.1000000000000001</v>
      </c>
    </row>
    <row r="14" spans="1:4" x14ac:dyDescent="0.35">
      <c r="A14" t="s">
        <v>289</v>
      </c>
      <c r="B14" t="s">
        <v>313</v>
      </c>
      <c r="C14" t="s">
        <v>118</v>
      </c>
      <c r="D14">
        <v>20</v>
      </c>
    </row>
    <row r="15" spans="1:4" x14ac:dyDescent="0.35">
      <c r="A15" t="s">
        <v>290</v>
      </c>
      <c r="B15" t="s">
        <v>314</v>
      </c>
      <c r="C15" t="s">
        <v>118</v>
      </c>
      <c r="D15">
        <v>3.052</v>
      </c>
    </row>
    <row r="16" spans="1:4" x14ac:dyDescent="0.35">
      <c r="A16" t="s">
        <v>291</v>
      </c>
      <c r="B16" t="s">
        <v>315</v>
      </c>
      <c r="C16" t="s">
        <v>118</v>
      </c>
      <c r="D16">
        <v>5.3</v>
      </c>
    </row>
    <row r="17" spans="1:4" x14ac:dyDescent="0.35">
      <c r="A17" t="s">
        <v>292</v>
      </c>
      <c r="B17" t="s">
        <v>316</v>
      </c>
      <c r="C17" t="s">
        <v>118</v>
      </c>
      <c r="D17">
        <v>0.9</v>
      </c>
    </row>
    <row r="18" spans="1:4" x14ac:dyDescent="0.35">
      <c r="A18" t="s">
        <v>293</v>
      </c>
      <c r="B18" t="s">
        <v>317</v>
      </c>
      <c r="C18" t="s">
        <v>118</v>
      </c>
      <c r="D18">
        <v>5.9950000000000001</v>
      </c>
    </row>
    <row r="19" spans="1:4" x14ac:dyDescent="0.35">
      <c r="A19" t="s">
        <v>294</v>
      </c>
      <c r="B19" t="s">
        <v>318</v>
      </c>
      <c r="D19">
        <v>0.3</v>
      </c>
    </row>
    <row r="20" spans="1:4" x14ac:dyDescent="0.35">
      <c r="A20" t="s">
        <v>294</v>
      </c>
      <c r="B20" t="s">
        <v>319</v>
      </c>
      <c r="D20">
        <v>0.5</v>
      </c>
    </row>
    <row r="21" spans="1:4" x14ac:dyDescent="0.35">
      <c r="A21" t="s">
        <v>294</v>
      </c>
      <c r="B21" t="s">
        <v>320</v>
      </c>
      <c r="C21" t="s">
        <v>118</v>
      </c>
      <c r="D21">
        <v>0.9</v>
      </c>
    </row>
    <row r="22" spans="1:4" x14ac:dyDescent="0.35">
      <c r="A22" t="s">
        <v>294</v>
      </c>
      <c r="B22" t="s">
        <v>314</v>
      </c>
      <c r="D22">
        <v>3.27</v>
      </c>
    </row>
    <row r="23" spans="1:4" x14ac:dyDescent="0.35">
      <c r="A23" t="s">
        <v>293</v>
      </c>
      <c r="B23" t="s">
        <v>317</v>
      </c>
      <c r="D23">
        <v>2.62</v>
      </c>
    </row>
    <row r="24" spans="1:4" x14ac:dyDescent="0.35">
      <c r="A24" t="s">
        <v>295</v>
      </c>
      <c r="B24" t="s">
        <v>318</v>
      </c>
      <c r="C24" t="s">
        <v>118</v>
      </c>
      <c r="D24">
        <v>0.3</v>
      </c>
    </row>
    <row r="25" spans="1:4" x14ac:dyDescent="0.35">
      <c r="A25" t="s">
        <v>295</v>
      </c>
      <c r="B25" t="s">
        <v>319</v>
      </c>
      <c r="C25" t="s">
        <v>118</v>
      </c>
      <c r="D25">
        <v>0.5</v>
      </c>
    </row>
    <row r="26" spans="1:4" x14ac:dyDescent="0.35">
      <c r="A26" t="s">
        <v>295</v>
      </c>
      <c r="B26" t="s">
        <v>320</v>
      </c>
      <c r="D26">
        <v>0.9</v>
      </c>
    </row>
    <row r="27" spans="1:4" x14ac:dyDescent="0.35">
      <c r="A27" t="s">
        <v>295</v>
      </c>
      <c r="B27" t="s">
        <v>321</v>
      </c>
      <c r="C27" t="s">
        <v>118</v>
      </c>
      <c r="D27">
        <v>3.27</v>
      </c>
    </row>
    <row r="28" spans="1:4" x14ac:dyDescent="0.35">
      <c r="A28" t="s">
        <v>296</v>
      </c>
      <c r="B28" t="s">
        <v>313</v>
      </c>
      <c r="C28" t="s">
        <v>118</v>
      </c>
      <c r="D28">
        <v>11</v>
      </c>
    </row>
    <row r="29" spans="1:4" x14ac:dyDescent="0.35">
      <c r="A29" t="s">
        <v>288</v>
      </c>
      <c r="B29" t="s">
        <v>313</v>
      </c>
      <c r="D29">
        <v>1.1000000000000001</v>
      </c>
    </row>
    <row r="30" spans="1:4" x14ac:dyDescent="0.35">
      <c r="A30" t="s">
        <v>297</v>
      </c>
      <c r="B30" t="s">
        <v>322</v>
      </c>
      <c r="D30">
        <v>0.5</v>
      </c>
    </row>
    <row r="31" spans="1:4" x14ac:dyDescent="0.35">
      <c r="A31" t="s">
        <v>290</v>
      </c>
      <c r="B31" t="s">
        <v>314</v>
      </c>
      <c r="C31" t="s">
        <v>118</v>
      </c>
      <c r="D31">
        <v>3.052</v>
      </c>
    </row>
    <row r="32" spans="1:4" x14ac:dyDescent="0.35">
      <c r="A32" t="s">
        <v>298</v>
      </c>
      <c r="B32" t="s">
        <v>323</v>
      </c>
      <c r="C32" t="s">
        <v>118</v>
      </c>
      <c r="D32">
        <v>2000</v>
      </c>
    </row>
    <row r="33" spans="1:4" x14ac:dyDescent="0.35">
      <c r="A33" t="s">
        <v>299</v>
      </c>
      <c r="B33" t="s">
        <v>324</v>
      </c>
      <c r="C33" t="s">
        <v>118</v>
      </c>
      <c r="D33">
        <v>75</v>
      </c>
    </row>
    <row r="34" spans="1:4" x14ac:dyDescent="0.35">
      <c r="A34" t="s">
        <v>299</v>
      </c>
      <c r="B34" t="s">
        <v>325</v>
      </c>
      <c r="D34">
        <v>65</v>
      </c>
    </row>
    <row r="35" spans="1:4" x14ac:dyDescent="0.35">
      <c r="A35" t="s">
        <v>299</v>
      </c>
      <c r="B35" t="s">
        <v>326</v>
      </c>
      <c r="C35" t="s">
        <v>118</v>
      </c>
      <c r="D35">
        <v>55</v>
      </c>
    </row>
    <row r="36" spans="1:4" x14ac:dyDescent="0.35">
      <c r="A36" t="s">
        <v>300</v>
      </c>
      <c r="B36" t="s">
        <v>314</v>
      </c>
      <c r="D36">
        <v>25</v>
      </c>
    </row>
    <row r="37" spans="1:4" x14ac:dyDescent="0.35">
      <c r="A37" t="s">
        <v>301</v>
      </c>
      <c r="B37" t="s">
        <v>327</v>
      </c>
      <c r="C37" t="s">
        <v>118</v>
      </c>
      <c r="D37">
        <v>45</v>
      </c>
    </row>
    <row r="38" spans="1:4" x14ac:dyDescent="0.35">
      <c r="A38" t="s">
        <v>301</v>
      </c>
      <c r="B38" t="s">
        <v>328</v>
      </c>
      <c r="C38" t="s">
        <v>118</v>
      </c>
      <c r="D38">
        <v>20</v>
      </c>
    </row>
    <row r="39" spans="1:4" x14ac:dyDescent="0.35">
      <c r="A39" t="s">
        <v>302</v>
      </c>
      <c r="B39" t="s">
        <v>313</v>
      </c>
      <c r="C39" t="s">
        <v>118</v>
      </c>
      <c r="D39">
        <v>0.15</v>
      </c>
    </row>
    <row r="40" spans="1:4" x14ac:dyDescent="0.35">
      <c r="A40" t="s">
        <v>303</v>
      </c>
      <c r="B40" t="s">
        <v>329</v>
      </c>
      <c r="C40" t="s">
        <v>118</v>
      </c>
      <c r="D40">
        <v>420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6381E-8FE8-4AF0-8FEB-C44D5A96C21B}">
  <sheetPr codeName="Sheet6"/>
  <dimension ref="A1:C263"/>
  <sheetViews>
    <sheetView workbookViewId="0">
      <selection activeCell="G10" sqref="G10"/>
    </sheetView>
    <sheetView workbookViewId="1"/>
  </sheetViews>
  <sheetFormatPr defaultRowHeight="14.5" x14ac:dyDescent="0.35"/>
  <cols>
    <col min="1" max="1" width="18.36328125" bestFit="1" customWidth="1"/>
    <col min="2" max="2" width="12.90625" customWidth="1"/>
    <col min="3" max="3" width="11.81640625" bestFit="1" customWidth="1"/>
  </cols>
  <sheetData>
    <row r="1" spans="1:3" x14ac:dyDescent="0.35">
      <c r="A1" t="s">
        <v>25</v>
      </c>
      <c r="B1" t="s">
        <v>26</v>
      </c>
      <c r="C1" t="s">
        <v>567</v>
      </c>
    </row>
    <row r="2" spans="1:3" x14ac:dyDescent="0.35">
      <c r="A2" t="s">
        <v>365</v>
      </c>
      <c r="B2">
        <v>67.599999999999994</v>
      </c>
      <c r="C2">
        <v>560.63800000000003</v>
      </c>
    </row>
    <row r="3" spans="1:3" x14ac:dyDescent="0.35">
      <c r="A3" t="s">
        <v>366</v>
      </c>
      <c r="B3">
        <v>67.599999999999994</v>
      </c>
      <c r="C3">
        <v>559.36400000000003</v>
      </c>
    </row>
    <row r="4" spans="1:3" x14ac:dyDescent="0.35">
      <c r="A4" t="s">
        <v>367</v>
      </c>
      <c r="B4">
        <v>67.599999999999994</v>
      </c>
      <c r="C4">
        <v>276.36700000000002</v>
      </c>
    </row>
    <row r="5" spans="1:3" x14ac:dyDescent="0.35">
      <c r="A5" t="s">
        <v>368</v>
      </c>
      <c r="B5">
        <v>50.266666666666666</v>
      </c>
      <c r="C5">
        <v>129.67391666666668</v>
      </c>
    </row>
    <row r="6" spans="1:3" x14ac:dyDescent="0.35">
      <c r="A6" t="s">
        <v>369</v>
      </c>
      <c r="B6">
        <v>52</v>
      </c>
      <c r="C6">
        <v>351.18200000000002</v>
      </c>
    </row>
    <row r="7" spans="1:3" x14ac:dyDescent="0.35">
      <c r="A7" t="s">
        <v>370</v>
      </c>
      <c r="B7">
        <v>67.599999999999994</v>
      </c>
      <c r="C7">
        <v>494.52</v>
      </c>
    </row>
    <row r="8" spans="1:3" x14ac:dyDescent="0.35">
      <c r="A8" t="s">
        <v>371</v>
      </c>
      <c r="B8">
        <v>52</v>
      </c>
      <c r="C8">
        <v>307.03399999999999</v>
      </c>
    </row>
    <row r="9" spans="1:3" x14ac:dyDescent="0.35">
      <c r="A9" t="s">
        <v>372</v>
      </c>
      <c r="B9">
        <v>67.599999999999994</v>
      </c>
      <c r="C9">
        <v>389.5796666666667</v>
      </c>
    </row>
    <row r="10" spans="1:3" x14ac:dyDescent="0.35">
      <c r="A10" t="s">
        <v>373</v>
      </c>
      <c r="B10">
        <v>52</v>
      </c>
      <c r="C10">
        <v>209.066</v>
      </c>
    </row>
    <row r="11" spans="1:3" x14ac:dyDescent="0.35">
      <c r="A11" t="s">
        <v>374</v>
      </c>
      <c r="B11">
        <v>52</v>
      </c>
      <c r="C11">
        <v>268.48900000000003</v>
      </c>
    </row>
    <row r="12" spans="1:3" x14ac:dyDescent="0.35">
      <c r="A12" t="s">
        <v>375</v>
      </c>
      <c r="B12">
        <v>52</v>
      </c>
      <c r="C12">
        <v>214.94200000000001</v>
      </c>
    </row>
    <row r="13" spans="1:3" x14ac:dyDescent="0.35">
      <c r="A13" t="s">
        <v>376</v>
      </c>
      <c r="B13">
        <v>52</v>
      </c>
      <c r="C13">
        <v>146.75700000000001</v>
      </c>
    </row>
    <row r="14" spans="1:3" x14ac:dyDescent="0.35">
      <c r="A14" t="s">
        <v>377</v>
      </c>
      <c r="B14">
        <v>52</v>
      </c>
      <c r="C14">
        <v>347.06100000000004</v>
      </c>
    </row>
    <row r="15" spans="1:3" x14ac:dyDescent="0.35">
      <c r="A15" t="s">
        <v>378</v>
      </c>
      <c r="B15">
        <v>67.599999999999994</v>
      </c>
      <c r="C15">
        <v>497.83499999999998</v>
      </c>
    </row>
    <row r="16" spans="1:3" x14ac:dyDescent="0.35">
      <c r="A16" t="s">
        <v>379</v>
      </c>
      <c r="B16">
        <v>67.599999999999994</v>
      </c>
      <c r="C16">
        <v>374.75842857142857</v>
      </c>
    </row>
    <row r="17" spans="1:3" x14ac:dyDescent="0.35">
      <c r="A17" t="s">
        <v>380</v>
      </c>
      <c r="B17">
        <v>52</v>
      </c>
      <c r="C17">
        <v>209.066</v>
      </c>
    </row>
    <row r="18" spans="1:3" x14ac:dyDescent="0.35">
      <c r="A18" t="s">
        <v>381</v>
      </c>
      <c r="B18">
        <v>52</v>
      </c>
      <c r="C18">
        <v>194.33700000000002</v>
      </c>
    </row>
    <row r="19" spans="1:3" x14ac:dyDescent="0.35">
      <c r="A19" t="s">
        <v>382</v>
      </c>
      <c r="B19">
        <v>67.599999999999994</v>
      </c>
      <c r="C19">
        <v>581.15200000000004</v>
      </c>
    </row>
    <row r="20" spans="1:3" x14ac:dyDescent="0.35">
      <c r="A20" t="s">
        <v>383</v>
      </c>
      <c r="B20">
        <v>52</v>
      </c>
      <c r="C20">
        <v>109.447</v>
      </c>
    </row>
    <row r="21" spans="1:3" x14ac:dyDescent="0.35">
      <c r="A21" t="s">
        <v>384</v>
      </c>
      <c r="B21">
        <v>52</v>
      </c>
      <c r="C21">
        <v>229.203</v>
      </c>
    </row>
    <row r="22" spans="1:3" x14ac:dyDescent="0.35">
      <c r="A22" t="s">
        <v>385</v>
      </c>
      <c r="B22">
        <v>67.599999999999994</v>
      </c>
      <c r="C22">
        <v>547.17650000000003</v>
      </c>
    </row>
    <row r="23" spans="1:3" x14ac:dyDescent="0.35">
      <c r="A23" t="s">
        <v>386</v>
      </c>
      <c r="B23">
        <v>52</v>
      </c>
      <c r="C23">
        <v>209.066</v>
      </c>
    </row>
    <row r="24" spans="1:3" x14ac:dyDescent="0.35">
      <c r="A24" t="s">
        <v>387</v>
      </c>
      <c r="B24">
        <v>52</v>
      </c>
      <c r="C24">
        <v>309.47800000000001</v>
      </c>
    </row>
    <row r="25" spans="1:3" x14ac:dyDescent="0.35">
      <c r="A25" t="s">
        <v>388</v>
      </c>
      <c r="B25">
        <v>52</v>
      </c>
      <c r="C25">
        <v>306.91700000000003</v>
      </c>
    </row>
    <row r="26" spans="1:3" x14ac:dyDescent="0.35">
      <c r="A26" t="s">
        <v>389</v>
      </c>
      <c r="B26">
        <v>67.599999999999994</v>
      </c>
      <c r="C26">
        <v>448.52860000000004</v>
      </c>
    </row>
    <row r="27" spans="1:3" x14ac:dyDescent="0.35">
      <c r="A27" t="s">
        <v>390</v>
      </c>
      <c r="B27">
        <v>52</v>
      </c>
      <c r="C27">
        <v>211.19800000000001</v>
      </c>
    </row>
    <row r="28" spans="1:3" x14ac:dyDescent="0.35">
      <c r="A28" t="s">
        <v>391</v>
      </c>
      <c r="B28">
        <v>52</v>
      </c>
      <c r="C28">
        <v>323.99900000000002</v>
      </c>
    </row>
    <row r="29" spans="1:3" x14ac:dyDescent="0.35">
      <c r="A29" t="s">
        <v>392</v>
      </c>
      <c r="B29">
        <v>52</v>
      </c>
      <c r="C29">
        <v>244.19200000000001</v>
      </c>
    </row>
    <row r="30" spans="1:3" x14ac:dyDescent="0.35">
      <c r="A30" t="s">
        <v>393</v>
      </c>
      <c r="B30">
        <v>67.599999999999994</v>
      </c>
      <c r="C30">
        <v>455.65000000000003</v>
      </c>
    </row>
    <row r="31" spans="1:3" x14ac:dyDescent="0.35">
      <c r="A31" t="s">
        <v>394</v>
      </c>
      <c r="B31">
        <v>52</v>
      </c>
      <c r="C31">
        <v>293.11099999999999</v>
      </c>
    </row>
    <row r="32" spans="1:3" x14ac:dyDescent="0.35">
      <c r="A32" t="s">
        <v>395</v>
      </c>
      <c r="B32">
        <v>52</v>
      </c>
      <c r="C32">
        <v>268.48900000000003</v>
      </c>
    </row>
    <row r="33" spans="1:3" x14ac:dyDescent="0.35">
      <c r="A33" t="s">
        <v>396</v>
      </c>
      <c r="B33">
        <v>52</v>
      </c>
      <c r="C33">
        <v>273.46800000000002</v>
      </c>
    </row>
    <row r="34" spans="1:3" x14ac:dyDescent="0.35">
      <c r="A34" t="s">
        <v>397</v>
      </c>
      <c r="B34">
        <v>67.599999999999994</v>
      </c>
      <c r="C34">
        <v>455.65000000000003</v>
      </c>
    </row>
    <row r="35" spans="1:3" x14ac:dyDescent="0.35">
      <c r="A35" t="s">
        <v>398</v>
      </c>
      <c r="B35">
        <v>52.65</v>
      </c>
      <c r="C35">
        <v>434.59649999999999</v>
      </c>
    </row>
    <row r="36" spans="1:3" x14ac:dyDescent="0.35">
      <c r="A36" t="s">
        <v>399</v>
      </c>
      <c r="B36">
        <v>52</v>
      </c>
      <c r="C36">
        <v>209.066</v>
      </c>
    </row>
    <row r="37" spans="1:3" x14ac:dyDescent="0.35">
      <c r="A37" t="s">
        <v>400</v>
      </c>
      <c r="B37">
        <v>67.599999999999994</v>
      </c>
      <c r="C37">
        <v>567.65800000000002</v>
      </c>
    </row>
    <row r="38" spans="1:3" x14ac:dyDescent="0.35">
      <c r="A38" t="s">
        <v>401</v>
      </c>
      <c r="B38">
        <v>67.599999999999994</v>
      </c>
      <c r="C38">
        <v>473.99300000000005</v>
      </c>
    </row>
    <row r="39" spans="1:3" x14ac:dyDescent="0.35">
      <c r="A39" t="s">
        <v>402</v>
      </c>
      <c r="B39">
        <v>52</v>
      </c>
      <c r="C39">
        <v>326.32600000000002</v>
      </c>
    </row>
    <row r="40" spans="1:3" x14ac:dyDescent="0.35">
      <c r="A40" t="s">
        <v>27</v>
      </c>
      <c r="B40">
        <v>52</v>
      </c>
      <c r="C40">
        <v>187.11333333333334</v>
      </c>
    </row>
    <row r="41" spans="1:3" x14ac:dyDescent="0.35">
      <c r="A41" t="s">
        <v>403</v>
      </c>
      <c r="B41">
        <v>67.599999999999994</v>
      </c>
      <c r="C41">
        <v>516.65899999999999</v>
      </c>
    </row>
    <row r="42" spans="1:3" x14ac:dyDescent="0.35">
      <c r="A42" t="s">
        <v>404</v>
      </c>
      <c r="B42">
        <v>52</v>
      </c>
      <c r="C42">
        <v>185.83499999999998</v>
      </c>
    </row>
    <row r="43" spans="1:3" x14ac:dyDescent="0.35">
      <c r="A43" t="s">
        <v>405</v>
      </c>
      <c r="B43">
        <v>52</v>
      </c>
      <c r="C43">
        <v>195.988</v>
      </c>
    </row>
    <row r="44" spans="1:3" x14ac:dyDescent="0.35">
      <c r="A44" t="s">
        <v>406</v>
      </c>
      <c r="B44">
        <v>52</v>
      </c>
      <c r="C44">
        <v>360.81500000000005</v>
      </c>
    </row>
    <row r="45" spans="1:3" x14ac:dyDescent="0.35">
      <c r="A45" t="s">
        <v>407</v>
      </c>
      <c r="B45">
        <v>52</v>
      </c>
      <c r="C45">
        <v>209.066</v>
      </c>
    </row>
    <row r="46" spans="1:3" x14ac:dyDescent="0.35">
      <c r="A46" t="s">
        <v>408</v>
      </c>
      <c r="B46">
        <v>52</v>
      </c>
      <c r="C46">
        <v>173.03</v>
      </c>
    </row>
    <row r="47" spans="1:3" x14ac:dyDescent="0.35">
      <c r="A47" t="s">
        <v>409</v>
      </c>
      <c r="B47">
        <v>52</v>
      </c>
      <c r="C47">
        <v>97.200999999999993</v>
      </c>
    </row>
    <row r="48" spans="1:3" x14ac:dyDescent="0.35">
      <c r="A48" t="s">
        <v>410</v>
      </c>
      <c r="B48">
        <v>67.599999999999994</v>
      </c>
      <c r="C48">
        <v>497.13300000000004</v>
      </c>
    </row>
    <row r="49" spans="1:3" x14ac:dyDescent="0.35">
      <c r="A49" t="s">
        <v>411</v>
      </c>
      <c r="B49">
        <v>52</v>
      </c>
      <c r="C49">
        <v>97.200999999999993</v>
      </c>
    </row>
    <row r="50" spans="1:3" x14ac:dyDescent="0.35">
      <c r="A50" t="s">
        <v>412</v>
      </c>
      <c r="B50">
        <v>52</v>
      </c>
      <c r="C50">
        <v>293.21500000000003</v>
      </c>
    </row>
    <row r="51" spans="1:3" x14ac:dyDescent="0.35">
      <c r="A51" t="s">
        <v>413</v>
      </c>
      <c r="B51">
        <v>52</v>
      </c>
      <c r="C51">
        <v>146.75700000000001</v>
      </c>
    </row>
    <row r="52" spans="1:3" x14ac:dyDescent="0.35">
      <c r="A52" t="s">
        <v>414</v>
      </c>
      <c r="B52">
        <v>52</v>
      </c>
      <c r="C52">
        <v>360.63300000000004</v>
      </c>
    </row>
    <row r="53" spans="1:3" x14ac:dyDescent="0.35">
      <c r="A53" t="s">
        <v>415</v>
      </c>
      <c r="B53">
        <v>67.599999999999994</v>
      </c>
      <c r="C53">
        <v>1716.95875</v>
      </c>
    </row>
    <row r="54" spans="1:3" x14ac:dyDescent="0.35">
      <c r="A54" t="s">
        <v>416</v>
      </c>
      <c r="B54">
        <v>52</v>
      </c>
      <c r="C54">
        <v>332.423</v>
      </c>
    </row>
    <row r="55" spans="1:3" x14ac:dyDescent="0.35">
      <c r="A55" t="s">
        <v>417</v>
      </c>
      <c r="B55">
        <v>67.599999999999994</v>
      </c>
      <c r="C55">
        <v>385.30700000000002</v>
      </c>
    </row>
    <row r="56" spans="1:3" x14ac:dyDescent="0.35">
      <c r="A56" t="s">
        <v>418</v>
      </c>
      <c r="B56">
        <v>52</v>
      </c>
      <c r="C56">
        <v>306.91700000000003</v>
      </c>
    </row>
    <row r="57" spans="1:3" x14ac:dyDescent="0.35">
      <c r="A57" t="s">
        <v>419</v>
      </c>
      <c r="B57">
        <v>67.599999999999994</v>
      </c>
      <c r="C57">
        <v>479.81700000000001</v>
      </c>
    </row>
    <row r="58" spans="1:3" x14ac:dyDescent="0.35">
      <c r="A58" t="s">
        <v>420</v>
      </c>
      <c r="B58">
        <v>56.333333333333336</v>
      </c>
      <c r="C58">
        <v>484.72233333333338</v>
      </c>
    </row>
    <row r="59" spans="1:3" x14ac:dyDescent="0.35">
      <c r="A59" t="s">
        <v>421</v>
      </c>
      <c r="B59">
        <v>52</v>
      </c>
      <c r="C59">
        <v>332.423</v>
      </c>
    </row>
    <row r="60" spans="1:3" x14ac:dyDescent="0.35">
      <c r="A60" t="s">
        <v>422</v>
      </c>
      <c r="B60">
        <v>52</v>
      </c>
      <c r="C60">
        <v>173.57600000000002</v>
      </c>
    </row>
    <row r="61" spans="1:3" x14ac:dyDescent="0.35">
      <c r="A61" t="s">
        <v>423</v>
      </c>
      <c r="B61">
        <v>52</v>
      </c>
      <c r="C61">
        <v>360.81500000000005</v>
      </c>
    </row>
    <row r="62" spans="1:3" x14ac:dyDescent="0.35">
      <c r="A62" t="s">
        <v>424</v>
      </c>
      <c r="B62">
        <v>52</v>
      </c>
      <c r="C62">
        <v>360.81500000000005</v>
      </c>
    </row>
    <row r="63" spans="1:3" x14ac:dyDescent="0.35">
      <c r="A63" t="s">
        <v>425</v>
      </c>
      <c r="B63">
        <v>52</v>
      </c>
      <c r="C63">
        <v>209.066</v>
      </c>
    </row>
    <row r="64" spans="1:3" x14ac:dyDescent="0.35">
      <c r="A64" t="s">
        <v>426</v>
      </c>
      <c r="B64">
        <v>52</v>
      </c>
      <c r="C64">
        <v>209.066</v>
      </c>
    </row>
    <row r="65" spans="1:3" x14ac:dyDescent="0.35">
      <c r="A65" t="s">
        <v>427</v>
      </c>
      <c r="B65">
        <v>52</v>
      </c>
      <c r="C65">
        <v>246.571</v>
      </c>
    </row>
    <row r="66" spans="1:3" x14ac:dyDescent="0.35">
      <c r="A66" t="s">
        <v>428</v>
      </c>
      <c r="B66">
        <v>52</v>
      </c>
      <c r="C66">
        <v>211.19800000000001</v>
      </c>
    </row>
    <row r="67" spans="1:3" x14ac:dyDescent="0.35">
      <c r="A67" t="s">
        <v>429</v>
      </c>
      <c r="B67">
        <v>52</v>
      </c>
      <c r="C67">
        <v>306.91700000000003</v>
      </c>
    </row>
    <row r="68" spans="1:3" x14ac:dyDescent="0.35">
      <c r="A68" t="s">
        <v>430</v>
      </c>
      <c r="B68">
        <v>52</v>
      </c>
      <c r="C68">
        <v>146.75700000000001</v>
      </c>
    </row>
    <row r="69" spans="1:3" x14ac:dyDescent="0.35">
      <c r="A69" t="s">
        <v>431</v>
      </c>
      <c r="B69">
        <v>52</v>
      </c>
      <c r="C69">
        <v>231.959</v>
      </c>
    </row>
    <row r="70" spans="1:3" x14ac:dyDescent="0.35">
      <c r="A70" t="s">
        <v>432</v>
      </c>
      <c r="B70">
        <v>52</v>
      </c>
      <c r="C70">
        <v>97.200999999999993</v>
      </c>
    </row>
    <row r="71" spans="1:3" x14ac:dyDescent="0.35">
      <c r="A71" t="s">
        <v>433</v>
      </c>
      <c r="B71">
        <v>67.599999999999994</v>
      </c>
      <c r="C71">
        <v>385.15100000000001</v>
      </c>
    </row>
    <row r="72" spans="1:3" x14ac:dyDescent="0.35">
      <c r="A72" t="s">
        <v>434</v>
      </c>
      <c r="B72">
        <v>52</v>
      </c>
      <c r="C72">
        <v>340.41800000000001</v>
      </c>
    </row>
    <row r="73" spans="1:3" x14ac:dyDescent="0.35">
      <c r="A73" t="s">
        <v>435</v>
      </c>
      <c r="B73">
        <v>52</v>
      </c>
      <c r="C73">
        <v>233.90900000000002</v>
      </c>
    </row>
    <row r="74" spans="1:3" x14ac:dyDescent="0.35">
      <c r="A74" t="s">
        <v>436</v>
      </c>
      <c r="B74">
        <v>52</v>
      </c>
      <c r="C74">
        <v>214.95500000000001</v>
      </c>
    </row>
    <row r="75" spans="1:3" x14ac:dyDescent="0.35">
      <c r="A75" t="s">
        <v>437</v>
      </c>
      <c r="B75">
        <v>52</v>
      </c>
      <c r="C75">
        <v>360.81500000000005</v>
      </c>
    </row>
    <row r="76" spans="1:3" x14ac:dyDescent="0.35">
      <c r="A76" t="s">
        <v>438</v>
      </c>
      <c r="B76">
        <v>52</v>
      </c>
      <c r="C76">
        <v>178.49</v>
      </c>
    </row>
    <row r="77" spans="1:3" x14ac:dyDescent="0.35">
      <c r="A77" t="s">
        <v>439</v>
      </c>
      <c r="B77">
        <v>52</v>
      </c>
      <c r="C77">
        <v>283.452</v>
      </c>
    </row>
    <row r="78" spans="1:3" x14ac:dyDescent="0.35">
      <c r="A78" t="s">
        <v>440</v>
      </c>
      <c r="B78">
        <v>52</v>
      </c>
      <c r="C78">
        <v>332.423</v>
      </c>
    </row>
    <row r="79" spans="1:3" x14ac:dyDescent="0.35">
      <c r="A79" t="s">
        <v>441</v>
      </c>
      <c r="B79">
        <v>52</v>
      </c>
      <c r="C79">
        <v>332.423</v>
      </c>
    </row>
    <row r="80" spans="1:3" x14ac:dyDescent="0.35">
      <c r="A80" t="s">
        <v>442</v>
      </c>
      <c r="B80">
        <v>52</v>
      </c>
      <c r="C80">
        <v>209.066</v>
      </c>
    </row>
    <row r="81" spans="1:3" x14ac:dyDescent="0.35">
      <c r="A81" t="s">
        <v>443</v>
      </c>
      <c r="B81">
        <v>52</v>
      </c>
      <c r="C81">
        <v>97.200999999999993</v>
      </c>
    </row>
    <row r="82" spans="1:3" x14ac:dyDescent="0.35">
      <c r="A82" t="s">
        <v>444</v>
      </c>
      <c r="B82">
        <v>52</v>
      </c>
      <c r="C82">
        <v>257.85500000000002</v>
      </c>
    </row>
    <row r="83" spans="1:3" x14ac:dyDescent="0.35">
      <c r="A83" t="s">
        <v>445</v>
      </c>
      <c r="B83">
        <v>52</v>
      </c>
      <c r="C83">
        <v>347.06100000000004</v>
      </c>
    </row>
    <row r="84" spans="1:3" x14ac:dyDescent="0.35">
      <c r="A84" t="s">
        <v>446</v>
      </c>
      <c r="B84">
        <v>52</v>
      </c>
      <c r="C84">
        <v>323.596</v>
      </c>
    </row>
    <row r="85" spans="1:3" x14ac:dyDescent="0.35">
      <c r="A85" t="s">
        <v>447</v>
      </c>
      <c r="B85">
        <v>52</v>
      </c>
      <c r="C85">
        <v>97.200999999999993</v>
      </c>
    </row>
    <row r="86" spans="1:3" x14ac:dyDescent="0.35">
      <c r="A86" t="s">
        <v>448</v>
      </c>
      <c r="B86">
        <v>52</v>
      </c>
      <c r="C86">
        <v>306.87799999999999</v>
      </c>
    </row>
    <row r="87" spans="1:3" x14ac:dyDescent="0.35">
      <c r="A87" t="s">
        <v>449</v>
      </c>
      <c r="B87">
        <v>52</v>
      </c>
      <c r="C87">
        <v>155.25900000000001</v>
      </c>
    </row>
    <row r="88" spans="1:3" x14ac:dyDescent="0.35">
      <c r="A88" t="s">
        <v>450</v>
      </c>
      <c r="B88">
        <v>52</v>
      </c>
      <c r="C88">
        <v>332.423</v>
      </c>
    </row>
    <row r="89" spans="1:3" x14ac:dyDescent="0.35">
      <c r="A89" t="s">
        <v>451</v>
      </c>
      <c r="B89">
        <v>67.599999999999994</v>
      </c>
      <c r="C89">
        <v>372.00800000000004</v>
      </c>
    </row>
    <row r="90" spans="1:3" x14ac:dyDescent="0.35">
      <c r="A90" t="s">
        <v>452</v>
      </c>
      <c r="B90">
        <v>67.599999999999994</v>
      </c>
      <c r="C90">
        <v>510.80900000000003</v>
      </c>
    </row>
    <row r="91" spans="1:3" x14ac:dyDescent="0.35">
      <c r="A91" t="s">
        <v>453</v>
      </c>
      <c r="B91">
        <v>52</v>
      </c>
      <c r="C91">
        <v>248.65100000000001</v>
      </c>
    </row>
    <row r="92" spans="1:3" x14ac:dyDescent="0.35">
      <c r="A92" t="s">
        <v>454</v>
      </c>
      <c r="B92">
        <v>52</v>
      </c>
      <c r="C92">
        <v>146.75700000000001</v>
      </c>
    </row>
    <row r="93" spans="1:3" x14ac:dyDescent="0.35">
      <c r="A93" t="s">
        <v>455</v>
      </c>
      <c r="B93">
        <v>67.599999999999994</v>
      </c>
      <c r="C93">
        <v>446.43300000000005</v>
      </c>
    </row>
    <row r="94" spans="1:3" x14ac:dyDescent="0.35">
      <c r="A94" t="s">
        <v>456</v>
      </c>
      <c r="B94">
        <v>67.599999999999994</v>
      </c>
      <c r="C94">
        <v>472.49799999999999</v>
      </c>
    </row>
    <row r="95" spans="1:3" x14ac:dyDescent="0.35">
      <c r="A95" t="s">
        <v>457</v>
      </c>
      <c r="B95">
        <v>52</v>
      </c>
      <c r="C95">
        <v>180.19300000000001</v>
      </c>
    </row>
    <row r="96" spans="1:3" x14ac:dyDescent="0.35">
      <c r="A96" t="s">
        <v>458</v>
      </c>
      <c r="B96">
        <v>52</v>
      </c>
      <c r="C96">
        <v>492.71300000000002</v>
      </c>
    </row>
    <row r="97" spans="1:3" x14ac:dyDescent="0.35">
      <c r="A97" t="s">
        <v>459</v>
      </c>
      <c r="B97">
        <v>52</v>
      </c>
      <c r="C97">
        <v>197.95533333333333</v>
      </c>
    </row>
    <row r="98" spans="1:3" x14ac:dyDescent="0.35">
      <c r="A98" t="s">
        <v>460</v>
      </c>
      <c r="B98">
        <v>52</v>
      </c>
      <c r="C98">
        <v>492.71300000000002</v>
      </c>
    </row>
    <row r="99" spans="1:3" x14ac:dyDescent="0.35">
      <c r="A99" t="s">
        <v>461</v>
      </c>
      <c r="B99">
        <v>67.599999999999994</v>
      </c>
      <c r="C99">
        <v>479.71950000000004</v>
      </c>
    </row>
    <row r="100" spans="1:3" x14ac:dyDescent="0.35">
      <c r="A100" t="s">
        <v>462</v>
      </c>
      <c r="B100">
        <v>52</v>
      </c>
      <c r="C100">
        <v>186.88800000000003</v>
      </c>
    </row>
    <row r="101" spans="1:3" x14ac:dyDescent="0.35">
      <c r="A101" t="s">
        <v>463</v>
      </c>
      <c r="B101">
        <v>52</v>
      </c>
      <c r="C101">
        <v>161.03100000000001</v>
      </c>
    </row>
    <row r="102" spans="1:3" x14ac:dyDescent="0.35">
      <c r="A102" t="s">
        <v>464</v>
      </c>
      <c r="B102">
        <v>52</v>
      </c>
      <c r="C102">
        <v>148.68100000000001</v>
      </c>
    </row>
    <row r="103" spans="1:3" x14ac:dyDescent="0.35">
      <c r="A103" t="s">
        <v>465</v>
      </c>
      <c r="B103">
        <v>52</v>
      </c>
      <c r="C103">
        <v>320.91800000000001</v>
      </c>
    </row>
    <row r="104" spans="1:3" x14ac:dyDescent="0.35">
      <c r="A104" t="s">
        <v>466</v>
      </c>
      <c r="B104">
        <v>52</v>
      </c>
      <c r="C104">
        <v>360.63300000000004</v>
      </c>
    </row>
    <row r="105" spans="1:3" x14ac:dyDescent="0.35">
      <c r="A105" t="s">
        <v>467</v>
      </c>
      <c r="B105">
        <v>67.599999999999994</v>
      </c>
      <c r="C105">
        <v>512.35599999999999</v>
      </c>
    </row>
    <row r="106" spans="1:3" x14ac:dyDescent="0.35">
      <c r="A106" t="s">
        <v>468</v>
      </c>
      <c r="B106">
        <v>52</v>
      </c>
      <c r="C106">
        <v>268.48900000000003</v>
      </c>
    </row>
    <row r="107" spans="1:3" x14ac:dyDescent="0.35">
      <c r="A107" t="s">
        <v>469</v>
      </c>
      <c r="B107">
        <v>52</v>
      </c>
      <c r="C107">
        <v>496.86</v>
      </c>
    </row>
    <row r="108" spans="1:3" x14ac:dyDescent="0.35">
      <c r="A108" t="s">
        <v>470</v>
      </c>
      <c r="B108">
        <v>52</v>
      </c>
      <c r="C108">
        <v>233.90900000000002</v>
      </c>
    </row>
    <row r="109" spans="1:3" x14ac:dyDescent="0.35">
      <c r="A109" t="s">
        <v>471</v>
      </c>
      <c r="B109">
        <v>52</v>
      </c>
      <c r="C109">
        <v>231.959</v>
      </c>
    </row>
    <row r="110" spans="1:3" x14ac:dyDescent="0.35">
      <c r="A110" t="s">
        <v>472</v>
      </c>
      <c r="B110">
        <v>52</v>
      </c>
      <c r="C110">
        <v>253.422</v>
      </c>
    </row>
    <row r="111" spans="1:3" x14ac:dyDescent="0.35">
      <c r="A111" t="s">
        <v>473</v>
      </c>
      <c r="B111">
        <v>52</v>
      </c>
      <c r="C111">
        <v>306.91700000000003</v>
      </c>
    </row>
    <row r="112" spans="1:3" x14ac:dyDescent="0.35">
      <c r="A112" t="s">
        <v>474</v>
      </c>
      <c r="B112">
        <v>52</v>
      </c>
      <c r="C112">
        <v>360.81500000000005</v>
      </c>
    </row>
    <row r="113" spans="1:3" x14ac:dyDescent="0.35">
      <c r="A113" t="s">
        <v>475</v>
      </c>
      <c r="B113">
        <v>52</v>
      </c>
      <c r="C113">
        <v>210.821</v>
      </c>
    </row>
    <row r="114" spans="1:3" x14ac:dyDescent="0.35">
      <c r="A114" t="s">
        <v>476</v>
      </c>
      <c r="B114">
        <v>52</v>
      </c>
      <c r="C114">
        <v>292.16200000000003</v>
      </c>
    </row>
    <row r="115" spans="1:3" x14ac:dyDescent="0.35">
      <c r="A115" t="s">
        <v>477</v>
      </c>
      <c r="B115">
        <v>52</v>
      </c>
      <c r="C115">
        <v>155.25900000000001</v>
      </c>
    </row>
    <row r="116" spans="1:3" x14ac:dyDescent="0.35">
      <c r="A116" t="s">
        <v>478</v>
      </c>
      <c r="B116">
        <v>52</v>
      </c>
      <c r="C116">
        <v>271.88200000000001</v>
      </c>
    </row>
    <row r="117" spans="1:3" x14ac:dyDescent="0.35">
      <c r="A117" t="s">
        <v>479</v>
      </c>
      <c r="B117">
        <v>52</v>
      </c>
      <c r="C117">
        <v>148.68100000000001</v>
      </c>
    </row>
    <row r="118" spans="1:3" x14ac:dyDescent="0.35">
      <c r="A118" t="s">
        <v>480</v>
      </c>
      <c r="B118">
        <v>52</v>
      </c>
      <c r="C118">
        <v>323.99900000000002</v>
      </c>
    </row>
    <row r="119" spans="1:3" x14ac:dyDescent="0.35">
      <c r="A119" t="s">
        <v>481</v>
      </c>
      <c r="B119">
        <v>52</v>
      </c>
      <c r="C119">
        <v>306.91700000000003</v>
      </c>
    </row>
    <row r="120" spans="1:3" x14ac:dyDescent="0.35">
      <c r="A120" t="s">
        <v>482</v>
      </c>
      <c r="B120">
        <v>52</v>
      </c>
      <c r="C120">
        <v>214.95500000000001</v>
      </c>
    </row>
    <row r="121" spans="1:3" x14ac:dyDescent="0.35">
      <c r="A121" t="s">
        <v>483</v>
      </c>
      <c r="B121">
        <v>52</v>
      </c>
      <c r="C121">
        <v>195.221</v>
      </c>
    </row>
    <row r="122" spans="1:3" x14ac:dyDescent="0.35">
      <c r="A122" t="s">
        <v>484</v>
      </c>
      <c r="B122">
        <v>52</v>
      </c>
      <c r="C122">
        <v>307.03399999999999</v>
      </c>
    </row>
    <row r="123" spans="1:3" x14ac:dyDescent="0.35">
      <c r="A123" t="s">
        <v>485</v>
      </c>
      <c r="B123">
        <v>52</v>
      </c>
      <c r="C123">
        <v>209.066</v>
      </c>
    </row>
    <row r="124" spans="1:3" x14ac:dyDescent="0.35">
      <c r="A124" t="s">
        <v>486</v>
      </c>
      <c r="B124">
        <v>52</v>
      </c>
      <c r="C124">
        <v>269.62</v>
      </c>
    </row>
    <row r="125" spans="1:3" x14ac:dyDescent="0.35">
      <c r="A125" t="s">
        <v>487</v>
      </c>
      <c r="B125">
        <v>52</v>
      </c>
      <c r="C125">
        <v>341.25</v>
      </c>
    </row>
    <row r="126" spans="1:3" x14ac:dyDescent="0.35">
      <c r="A126" t="s">
        <v>488</v>
      </c>
      <c r="B126">
        <v>52</v>
      </c>
      <c r="C126">
        <v>148.68100000000001</v>
      </c>
    </row>
    <row r="127" spans="1:3" x14ac:dyDescent="0.35">
      <c r="A127" t="s">
        <v>489</v>
      </c>
      <c r="B127">
        <v>67.599999999999994</v>
      </c>
      <c r="C127">
        <v>463.21600000000001</v>
      </c>
    </row>
    <row r="128" spans="1:3" x14ac:dyDescent="0.35">
      <c r="A128" t="s">
        <v>490</v>
      </c>
      <c r="B128">
        <v>52</v>
      </c>
      <c r="C128">
        <v>260.97500000000002</v>
      </c>
    </row>
    <row r="129" spans="1:3" x14ac:dyDescent="0.35">
      <c r="A129" t="s">
        <v>491</v>
      </c>
      <c r="B129">
        <v>52</v>
      </c>
      <c r="C129">
        <v>148.68100000000001</v>
      </c>
    </row>
    <row r="130" spans="1:3" x14ac:dyDescent="0.35">
      <c r="A130" t="s">
        <v>492</v>
      </c>
      <c r="B130">
        <v>52</v>
      </c>
      <c r="C130">
        <v>209.066</v>
      </c>
    </row>
    <row r="131" spans="1:3" x14ac:dyDescent="0.35">
      <c r="A131" t="s">
        <v>493</v>
      </c>
      <c r="B131">
        <v>52</v>
      </c>
      <c r="C131">
        <v>162.357</v>
      </c>
    </row>
    <row r="132" spans="1:3" x14ac:dyDescent="0.35">
      <c r="A132" t="s">
        <v>494</v>
      </c>
      <c r="B132">
        <v>67.599999999999994</v>
      </c>
      <c r="C132">
        <v>559.36400000000003</v>
      </c>
    </row>
    <row r="133" spans="1:3" x14ac:dyDescent="0.35">
      <c r="A133" t="s">
        <v>495</v>
      </c>
      <c r="B133">
        <v>52</v>
      </c>
      <c r="C133">
        <v>496.86</v>
      </c>
    </row>
    <row r="134" spans="1:3" x14ac:dyDescent="0.35">
      <c r="A134" t="s">
        <v>496</v>
      </c>
      <c r="B134">
        <v>52</v>
      </c>
      <c r="C134">
        <v>161.03100000000001</v>
      </c>
    </row>
    <row r="135" spans="1:3" x14ac:dyDescent="0.35">
      <c r="A135" t="s">
        <v>497</v>
      </c>
      <c r="B135">
        <v>67.599999999999994</v>
      </c>
      <c r="C135">
        <v>479.83000000000004</v>
      </c>
    </row>
    <row r="136" spans="1:3" x14ac:dyDescent="0.35">
      <c r="A136" t="s">
        <v>498</v>
      </c>
      <c r="B136">
        <v>67.599999999999994</v>
      </c>
      <c r="C136">
        <v>540.89099999999996</v>
      </c>
    </row>
    <row r="137" spans="1:3" x14ac:dyDescent="0.35">
      <c r="A137" t="s">
        <v>499</v>
      </c>
      <c r="B137">
        <v>67.599999999999994</v>
      </c>
      <c r="C137">
        <v>385.30700000000002</v>
      </c>
    </row>
    <row r="138" spans="1:3" x14ac:dyDescent="0.35">
      <c r="A138" t="s">
        <v>500</v>
      </c>
      <c r="B138">
        <v>52</v>
      </c>
      <c r="C138">
        <v>269.62</v>
      </c>
    </row>
    <row r="139" spans="1:3" x14ac:dyDescent="0.35">
      <c r="A139" t="s">
        <v>501</v>
      </c>
      <c r="B139">
        <v>52</v>
      </c>
      <c r="C139">
        <v>209.066</v>
      </c>
    </row>
    <row r="140" spans="1:3" x14ac:dyDescent="0.35">
      <c r="A140" t="s">
        <v>502</v>
      </c>
      <c r="B140">
        <v>67.599999999999994</v>
      </c>
      <c r="C140">
        <v>512.53800000000001</v>
      </c>
    </row>
    <row r="141" spans="1:3" x14ac:dyDescent="0.35">
      <c r="A141" t="s">
        <v>503</v>
      </c>
      <c r="B141">
        <v>52</v>
      </c>
      <c r="C141">
        <v>211.19800000000001</v>
      </c>
    </row>
    <row r="142" spans="1:3" x14ac:dyDescent="0.35">
      <c r="A142" t="s">
        <v>504</v>
      </c>
      <c r="B142">
        <v>52</v>
      </c>
      <c r="C142">
        <v>116.18100000000001</v>
      </c>
    </row>
    <row r="143" spans="1:3" x14ac:dyDescent="0.35">
      <c r="A143" t="s">
        <v>505</v>
      </c>
      <c r="B143">
        <v>67.599999999999994</v>
      </c>
      <c r="C143">
        <v>537.77100000000007</v>
      </c>
    </row>
    <row r="144" spans="1:3" x14ac:dyDescent="0.35">
      <c r="A144" t="s">
        <v>506</v>
      </c>
      <c r="B144">
        <v>67.599999999999994</v>
      </c>
      <c r="C144">
        <v>334.62</v>
      </c>
    </row>
    <row r="145" spans="1:3" x14ac:dyDescent="0.35">
      <c r="A145" t="s">
        <v>507</v>
      </c>
      <c r="B145">
        <v>52</v>
      </c>
      <c r="C145">
        <v>268.48900000000003</v>
      </c>
    </row>
    <row r="146" spans="1:3" x14ac:dyDescent="0.35">
      <c r="A146" t="s">
        <v>508</v>
      </c>
      <c r="B146">
        <v>52</v>
      </c>
      <c r="C146">
        <v>168.09000000000003</v>
      </c>
    </row>
    <row r="147" spans="1:3" x14ac:dyDescent="0.35">
      <c r="A147" t="s">
        <v>509</v>
      </c>
      <c r="B147">
        <v>52</v>
      </c>
      <c r="C147">
        <v>306.91700000000003</v>
      </c>
    </row>
    <row r="148" spans="1:3" x14ac:dyDescent="0.35">
      <c r="A148" t="s">
        <v>510</v>
      </c>
      <c r="B148">
        <v>52</v>
      </c>
      <c r="C148">
        <v>332.423</v>
      </c>
    </row>
    <row r="149" spans="1:3" x14ac:dyDescent="0.35">
      <c r="A149" t="s">
        <v>511</v>
      </c>
      <c r="B149">
        <v>52</v>
      </c>
      <c r="C149">
        <v>344.89000000000004</v>
      </c>
    </row>
    <row r="150" spans="1:3" x14ac:dyDescent="0.35">
      <c r="A150" t="s">
        <v>512</v>
      </c>
      <c r="B150">
        <v>52</v>
      </c>
      <c r="C150">
        <v>273.46800000000002</v>
      </c>
    </row>
    <row r="151" spans="1:3" x14ac:dyDescent="0.35">
      <c r="A151" t="s">
        <v>513</v>
      </c>
      <c r="B151">
        <v>52</v>
      </c>
      <c r="C151">
        <v>209.066</v>
      </c>
    </row>
    <row r="152" spans="1:3" x14ac:dyDescent="0.35">
      <c r="A152" t="s">
        <v>514</v>
      </c>
      <c r="B152">
        <v>52</v>
      </c>
      <c r="C152">
        <v>148.68100000000001</v>
      </c>
    </row>
    <row r="153" spans="1:3" x14ac:dyDescent="0.35">
      <c r="A153" t="s">
        <v>515</v>
      </c>
      <c r="B153">
        <v>52</v>
      </c>
      <c r="C153">
        <v>244.19200000000001</v>
      </c>
    </row>
    <row r="154" spans="1:3" x14ac:dyDescent="0.35">
      <c r="A154" t="s">
        <v>516</v>
      </c>
      <c r="B154">
        <v>52</v>
      </c>
      <c r="C154">
        <v>293.21500000000003</v>
      </c>
    </row>
    <row r="155" spans="1:3" x14ac:dyDescent="0.35">
      <c r="A155" t="s">
        <v>517</v>
      </c>
      <c r="B155">
        <v>52</v>
      </c>
      <c r="C155">
        <v>332.423</v>
      </c>
    </row>
    <row r="156" spans="1:3" x14ac:dyDescent="0.35">
      <c r="A156" t="s">
        <v>518</v>
      </c>
      <c r="B156">
        <v>52</v>
      </c>
      <c r="C156">
        <v>369.01800000000003</v>
      </c>
    </row>
    <row r="157" spans="1:3" x14ac:dyDescent="0.35">
      <c r="A157" t="s">
        <v>519</v>
      </c>
      <c r="B157">
        <v>52</v>
      </c>
      <c r="C157">
        <v>178.49</v>
      </c>
    </row>
    <row r="158" spans="1:3" x14ac:dyDescent="0.35">
      <c r="A158" t="s">
        <v>520</v>
      </c>
      <c r="B158">
        <v>52</v>
      </c>
      <c r="C158">
        <v>161.03100000000001</v>
      </c>
    </row>
    <row r="159" spans="1:3" x14ac:dyDescent="0.35">
      <c r="A159" t="s">
        <v>521</v>
      </c>
      <c r="B159">
        <v>52</v>
      </c>
      <c r="C159">
        <v>182.71500000000003</v>
      </c>
    </row>
    <row r="160" spans="1:3" x14ac:dyDescent="0.35">
      <c r="A160" t="s">
        <v>522</v>
      </c>
      <c r="B160">
        <v>52</v>
      </c>
      <c r="C160">
        <v>180.19300000000001</v>
      </c>
    </row>
    <row r="161" spans="1:3" x14ac:dyDescent="0.35">
      <c r="A161" t="s">
        <v>523</v>
      </c>
      <c r="B161">
        <v>52</v>
      </c>
      <c r="C161">
        <v>187.239</v>
      </c>
    </row>
    <row r="162" spans="1:3" x14ac:dyDescent="0.35">
      <c r="A162" t="s">
        <v>524</v>
      </c>
      <c r="B162">
        <v>67.599999999999994</v>
      </c>
      <c r="C162">
        <v>629.69399999999996</v>
      </c>
    </row>
    <row r="163" spans="1:3" x14ac:dyDescent="0.35">
      <c r="A163" t="s">
        <v>525</v>
      </c>
      <c r="B163">
        <v>52</v>
      </c>
      <c r="C163">
        <v>393.36699999999996</v>
      </c>
    </row>
    <row r="164" spans="1:3" x14ac:dyDescent="0.35">
      <c r="A164" t="s">
        <v>526</v>
      </c>
      <c r="B164">
        <v>52</v>
      </c>
      <c r="C164">
        <v>162.357</v>
      </c>
    </row>
    <row r="165" spans="1:3" x14ac:dyDescent="0.35">
      <c r="A165" t="s">
        <v>527</v>
      </c>
      <c r="B165">
        <v>52</v>
      </c>
      <c r="C165">
        <v>146.75700000000001</v>
      </c>
    </row>
    <row r="166" spans="1:3" x14ac:dyDescent="0.35">
      <c r="A166" t="s">
        <v>528</v>
      </c>
      <c r="B166">
        <v>52</v>
      </c>
      <c r="C166">
        <v>148.68100000000001</v>
      </c>
    </row>
    <row r="167" spans="1:3" x14ac:dyDescent="0.35">
      <c r="A167" t="s">
        <v>529</v>
      </c>
      <c r="B167">
        <v>52</v>
      </c>
      <c r="C167">
        <v>162.357</v>
      </c>
    </row>
    <row r="168" spans="1:3" x14ac:dyDescent="0.35">
      <c r="A168" t="s">
        <v>530</v>
      </c>
      <c r="B168">
        <v>52</v>
      </c>
      <c r="C168">
        <v>195.221</v>
      </c>
    </row>
    <row r="169" spans="1:3" x14ac:dyDescent="0.35">
      <c r="A169" t="s">
        <v>531</v>
      </c>
      <c r="B169">
        <v>52</v>
      </c>
      <c r="C169">
        <v>107.79600000000001</v>
      </c>
    </row>
    <row r="170" spans="1:3" x14ac:dyDescent="0.35">
      <c r="A170" t="s">
        <v>532</v>
      </c>
      <c r="B170">
        <v>67.599999999999994</v>
      </c>
      <c r="C170">
        <v>455.65000000000003</v>
      </c>
    </row>
    <row r="171" spans="1:3" x14ac:dyDescent="0.35">
      <c r="A171" t="s">
        <v>533</v>
      </c>
      <c r="B171">
        <v>52</v>
      </c>
      <c r="C171">
        <v>257.85500000000002</v>
      </c>
    </row>
    <row r="172" spans="1:3" x14ac:dyDescent="0.35">
      <c r="A172" t="s">
        <v>534</v>
      </c>
      <c r="B172">
        <v>67.599999999999994</v>
      </c>
      <c r="C172">
        <v>473.65500000000003</v>
      </c>
    </row>
    <row r="173" spans="1:3" x14ac:dyDescent="0.35">
      <c r="A173" t="s">
        <v>535</v>
      </c>
      <c r="B173">
        <v>52</v>
      </c>
      <c r="C173">
        <v>162.357</v>
      </c>
    </row>
    <row r="174" spans="1:3" x14ac:dyDescent="0.35">
      <c r="A174" t="s">
        <v>536</v>
      </c>
      <c r="B174">
        <v>52</v>
      </c>
      <c r="C174">
        <v>162.357</v>
      </c>
    </row>
    <row r="175" spans="1:3" x14ac:dyDescent="0.35">
      <c r="A175" t="s">
        <v>537</v>
      </c>
      <c r="B175">
        <v>52</v>
      </c>
      <c r="C175">
        <v>209.066</v>
      </c>
    </row>
    <row r="176" spans="1:3" x14ac:dyDescent="0.35">
      <c r="A176" t="s">
        <v>538</v>
      </c>
      <c r="B176">
        <v>52</v>
      </c>
      <c r="C176">
        <v>264.83600000000001</v>
      </c>
    </row>
    <row r="177" spans="1:3" x14ac:dyDescent="0.35">
      <c r="A177" t="s">
        <v>539</v>
      </c>
      <c r="B177">
        <v>52</v>
      </c>
      <c r="C177">
        <v>231.959</v>
      </c>
    </row>
    <row r="178" spans="1:3" x14ac:dyDescent="0.35">
      <c r="A178" t="s">
        <v>540</v>
      </c>
      <c r="B178">
        <v>52</v>
      </c>
      <c r="C178">
        <v>332.423</v>
      </c>
    </row>
    <row r="179" spans="1:3" x14ac:dyDescent="0.35">
      <c r="A179" t="s">
        <v>541</v>
      </c>
      <c r="B179">
        <v>52</v>
      </c>
      <c r="C179">
        <v>229.203</v>
      </c>
    </row>
    <row r="180" spans="1:3" x14ac:dyDescent="0.35">
      <c r="A180" t="s">
        <v>542</v>
      </c>
      <c r="B180">
        <v>52</v>
      </c>
      <c r="C180">
        <v>279.46100000000001</v>
      </c>
    </row>
    <row r="181" spans="1:3" x14ac:dyDescent="0.35">
      <c r="A181" t="s">
        <v>543</v>
      </c>
      <c r="B181">
        <v>67.599999999999994</v>
      </c>
      <c r="C181">
        <v>512.35599999999999</v>
      </c>
    </row>
    <row r="182" spans="1:3" x14ac:dyDescent="0.35">
      <c r="A182" t="s">
        <v>544</v>
      </c>
      <c r="B182">
        <v>52</v>
      </c>
      <c r="C182">
        <v>306.91700000000003</v>
      </c>
    </row>
    <row r="183" spans="1:3" x14ac:dyDescent="0.35">
      <c r="A183" t="s">
        <v>545</v>
      </c>
      <c r="B183">
        <v>52</v>
      </c>
      <c r="C183">
        <v>263.84800000000001</v>
      </c>
    </row>
    <row r="184" spans="1:3" x14ac:dyDescent="0.35">
      <c r="A184" t="s">
        <v>546</v>
      </c>
      <c r="B184">
        <v>52</v>
      </c>
      <c r="C184">
        <v>306.91700000000003</v>
      </c>
    </row>
    <row r="185" spans="1:3" x14ac:dyDescent="0.35">
      <c r="A185" t="s">
        <v>547</v>
      </c>
      <c r="B185">
        <v>52</v>
      </c>
      <c r="C185">
        <v>352.89799999999997</v>
      </c>
    </row>
    <row r="186" spans="1:3" x14ac:dyDescent="0.35">
      <c r="A186" t="s">
        <v>548</v>
      </c>
      <c r="B186">
        <v>52</v>
      </c>
      <c r="C186">
        <v>438.12599999999998</v>
      </c>
    </row>
    <row r="187" spans="1:3" x14ac:dyDescent="0.35">
      <c r="A187" t="s">
        <v>549</v>
      </c>
      <c r="B187">
        <v>52</v>
      </c>
      <c r="C187">
        <v>360.63300000000004</v>
      </c>
    </row>
    <row r="188" spans="1:3" x14ac:dyDescent="0.35">
      <c r="A188" t="s">
        <v>550</v>
      </c>
      <c r="B188">
        <v>52</v>
      </c>
      <c r="C188">
        <v>162.357</v>
      </c>
    </row>
    <row r="189" spans="1:3" x14ac:dyDescent="0.35">
      <c r="A189" t="s">
        <v>551</v>
      </c>
      <c r="B189">
        <v>52</v>
      </c>
      <c r="C189">
        <v>209.066</v>
      </c>
    </row>
    <row r="190" spans="1:3" x14ac:dyDescent="0.35">
      <c r="A190" t="s">
        <v>552</v>
      </c>
      <c r="B190">
        <v>67.599999999999994</v>
      </c>
      <c r="C190">
        <v>559.36400000000003</v>
      </c>
    </row>
    <row r="191" spans="1:3" x14ac:dyDescent="0.35">
      <c r="A191" t="s">
        <v>553</v>
      </c>
      <c r="B191">
        <v>52</v>
      </c>
      <c r="C191">
        <v>306.94300000000004</v>
      </c>
    </row>
    <row r="192" spans="1:3" x14ac:dyDescent="0.35">
      <c r="A192" t="s">
        <v>554</v>
      </c>
      <c r="B192">
        <v>52</v>
      </c>
      <c r="C192">
        <v>209.066</v>
      </c>
    </row>
    <row r="193" spans="1:3" x14ac:dyDescent="0.35">
      <c r="A193" t="s">
        <v>555</v>
      </c>
      <c r="B193">
        <v>67.599999999999994</v>
      </c>
      <c r="C193">
        <v>455.65000000000003</v>
      </c>
    </row>
    <row r="194" spans="1:3" x14ac:dyDescent="0.35">
      <c r="A194" t="s">
        <v>556</v>
      </c>
      <c r="B194">
        <v>52</v>
      </c>
      <c r="C194">
        <v>341.25</v>
      </c>
    </row>
    <row r="195" spans="1:3" x14ac:dyDescent="0.35">
      <c r="A195" t="s">
        <v>72</v>
      </c>
      <c r="B195">
        <v>52</v>
      </c>
      <c r="C195">
        <v>263.71800000000002</v>
      </c>
    </row>
    <row r="196" spans="1:3" x14ac:dyDescent="0.35">
      <c r="A196" t="s">
        <v>557</v>
      </c>
      <c r="B196">
        <v>41.6</v>
      </c>
      <c r="C196">
        <v>209.066</v>
      </c>
    </row>
    <row r="197" spans="1:3" x14ac:dyDescent="0.35">
      <c r="A197" t="s">
        <v>558</v>
      </c>
      <c r="B197">
        <v>67.599999999999994</v>
      </c>
      <c r="C197">
        <v>489.39799999999997</v>
      </c>
    </row>
    <row r="198" spans="1:3" x14ac:dyDescent="0.35">
      <c r="A198" t="s">
        <v>559</v>
      </c>
      <c r="B198">
        <v>52</v>
      </c>
      <c r="C198">
        <v>231.959</v>
      </c>
    </row>
    <row r="199" spans="1:3" x14ac:dyDescent="0.35">
      <c r="A199" t="s">
        <v>560</v>
      </c>
      <c r="B199">
        <v>52</v>
      </c>
      <c r="C199">
        <v>332.423</v>
      </c>
    </row>
    <row r="200" spans="1:3" x14ac:dyDescent="0.35">
      <c r="A200" t="s">
        <v>561</v>
      </c>
      <c r="B200">
        <v>56.333333333333336</v>
      </c>
      <c r="C200">
        <v>295.78033333333332</v>
      </c>
    </row>
    <row r="201" spans="1:3" x14ac:dyDescent="0.35">
      <c r="A201" t="s">
        <v>562</v>
      </c>
      <c r="B201">
        <v>52</v>
      </c>
      <c r="C201">
        <v>97.200999999999993</v>
      </c>
    </row>
    <row r="202" spans="1:3" x14ac:dyDescent="0.35">
      <c r="A202" t="s">
        <v>563</v>
      </c>
      <c r="B202">
        <v>52</v>
      </c>
      <c r="C202">
        <v>332.423</v>
      </c>
    </row>
    <row r="203" spans="1:3" x14ac:dyDescent="0.35">
      <c r="A203" t="s">
        <v>564</v>
      </c>
      <c r="B203">
        <v>67.599999999999994</v>
      </c>
      <c r="C203">
        <v>537.77100000000007</v>
      </c>
    </row>
    <row r="204" spans="1:3" x14ac:dyDescent="0.35">
      <c r="A204" t="s">
        <v>565</v>
      </c>
      <c r="B204">
        <v>52</v>
      </c>
      <c r="C204">
        <v>268.48900000000003</v>
      </c>
    </row>
    <row r="205" spans="1:3" x14ac:dyDescent="0.35">
      <c r="A205" t="s">
        <v>566</v>
      </c>
      <c r="B205">
        <v>52</v>
      </c>
      <c r="C205">
        <v>211.78300000000002</v>
      </c>
    </row>
    <row r="206" spans="1:3" x14ac:dyDescent="0.35">
      <c r="A206" t="s">
        <v>28</v>
      </c>
      <c r="B206">
        <v>90</v>
      </c>
      <c r="C206">
        <v>0.95479999999999998</v>
      </c>
    </row>
    <row r="207" spans="1:3" x14ac:dyDescent="0.35">
      <c r="A207" t="s">
        <v>29</v>
      </c>
      <c r="B207">
        <v>90</v>
      </c>
      <c r="C207">
        <v>0.86650000000000005</v>
      </c>
    </row>
    <row r="208" spans="1:3" x14ac:dyDescent="0.35">
      <c r="A208" t="s">
        <v>30</v>
      </c>
      <c r="B208">
        <v>90</v>
      </c>
      <c r="C208">
        <v>1.1256999999999999</v>
      </c>
    </row>
    <row r="209" spans="1:3" x14ac:dyDescent="0.35">
      <c r="A209" t="s">
        <v>31</v>
      </c>
      <c r="B209">
        <v>90</v>
      </c>
      <c r="C209">
        <v>1.6088</v>
      </c>
    </row>
    <row r="210" spans="1:3" x14ac:dyDescent="0.35">
      <c r="A210" t="s">
        <v>32</v>
      </c>
      <c r="B210">
        <v>90</v>
      </c>
      <c r="C210">
        <v>1.1781999999999999</v>
      </c>
    </row>
    <row r="211" spans="1:3" x14ac:dyDescent="0.35">
      <c r="A211" t="s">
        <v>33</v>
      </c>
      <c r="B211">
        <v>90</v>
      </c>
      <c r="C211">
        <v>2.1429</v>
      </c>
    </row>
    <row r="212" spans="1:3" x14ac:dyDescent="0.35">
      <c r="A212" t="s">
        <v>34</v>
      </c>
      <c r="B212">
        <v>90</v>
      </c>
      <c r="C212">
        <v>0.97219999999999995</v>
      </c>
    </row>
    <row r="213" spans="1:3" x14ac:dyDescent="0.35">
      <c r="A213" t="s">
        <v>35</v>
      </c>
      <c r="B213">
        <v>90</v>
      </c>
      <c r="C213">
        <v>1.4804999999999999</v>
      </c>
    </row>
    <row r="214" spans="1:3" x14ac:dyDescent="0.35">
      <c r="A214" t="s">
        <v>36</v>
      </c>
      <c r="B214">
        <v>90</v>
      </c>
      <c r="C214">
        <v>0.86650000000000005</v>
      </c>
    </row>
    <row r="215" spans="1:3" x14ac:dyDescent="0.35">
      <c r="A215" t="s">
        <v>37</v>
      </c>
      <c r="B215">
        <v>90</v>
      </c>
      <c r="C215">
        <v>1.5678000000000001</v>
      </c>
    </row>
    <row r="216" spans="1:3" x14ac:dyDescent="0.35">
      <c r="A216" t="s">
        <v>38</v>
      </c>
      <c r="B216">
        <v>90</v>
      </c>
      <c r="C216">
        <v>1.4577</v>
      </c>
    </row>
    <row r="217" spans="1:3" x14ac:dyDescent="0.35">
      <c r="A217" t="s">
        <v>39</v>
      </c>
      <c r="B217">
        <v>75</v>
      </c>
      <c r="C217">
        <v>0.49959999999999999</v>
      </c>
    </row>
    <row r="218" spans="1:3" x14ac:dyDescent="0.35">
      <c r="A218" t="s">
        <v>40</v>
      </c>
      <c r="B218">
        <v>90</v>
      </c>
      <c r="C218">
        <v>2.0905999999999998</v>
      </c>
    </row>
    <row r="219" spans="1:3" x14ac:dyDescent="0.35">
      <c r="A219" t="s">
        <v>41</v>
      </c>
      <c r="B219">
        <v>90</v>
      </c>
      <c r="C219">
        <v>4.0566000000000004</v>
      </c>
    </row>
    <row r="220" spans="1:3" x14ac:dyDescent="0.35">
      <c r="A220" t="s">
        <v>42</v>
      </c>
      <c r="B220">
        <v>90</v>
      </c>
      <c r="C220">
        <v>1.5636000000000001</v>
      </c>
    </row>
    <row r="221" spans="1:3" x14ac:dyDescent="0.35">
      <c r="A221" t="s">
        <v>43</v>
      </c>
      <c r="B221">
        <v>90</v>
      </c>
      <c r="C221">
        <v>0.91790000000000005</v>
      </c>
    </row>
    <row r="222" spans="1:3" x14ac:dyDescent="0.35">
      <c r="A222" t="s">
        <v>44</v>
      </c>
      <c r="B222">
        <v>90</v>
      </c>
      <c r="C222">
        <v>1.8608</v>
      </c>
    </row>
    <row r="223" spans="1:3" x14ac:dyDescent="0.35">
      <c r="A223" t="s">
        <v>45</v>
      </c>
      <c r="B223">
        <v>75</v>
      </c>
      <c r="C223">
        <v>1.0451999999999999</v>
      </c>
    </row>
    <row r="224" spans="1:3" x14ac:dyDescent="0.35">
      <c r="A224" t="s">
        <v>20</v>
      </c>
      <c r="B224">
        <v>75</v>
      </c>
      <c r="C224">
        <v>0.61140000000000005</v>
      </c>
    </row>
    <row r="225" spans="1:3" x14ac:dyDescent="0.35">
      <c r="A225" t="s">
        <v>46</v>
      </c>
      <c r="B225">
        <v>90</v>
      </c>
      <c r="C225">
        <v>1.0738000000000001</v>
      </c>
    </row>
    <row r="226" spans="1:3" x14ac:dyDescent="0.35">
      <c r="A226" t="s">
        <v>47</v>
      </c>
      <c r="B226">
        <v>75</v>
      </c>
      <c r="C226">
        <v>0.76680000000000004</v>
      </c>
    </row>
    <row r="227" spans="1:3" x14ac:dyDescent="0.35">
      <c r="A227" t="s">
        <v>48</v>
      </c>
      <c r="B227">
        <v>90</v>
      </c>
      <c r="C227">
        <v>1.8299000000000001</v>
      </c>
    </row>
    <row r="228" spans="1:3" x14ac:dyDescent="0.35">
      <c r="A228" t="s">
        <v>49</v>
      </c>
      <c r="B228">
        <v>90</v>
      </c>
      <c r="C228">
        <v>0.93269999999999997</v>
      </c>
    </row>
    <row r="229" spans="1:3" x14ac:dyDescent="0.35">
      <c r="A229" t="s">
        <v>50</v>
      </c>
      <c r="B229">
        <v>90</v>
      </c>
      <c r="C229">
        <v>2.2896000000000001</v>
      </c>
    </row>
    <row r="230" spans="1:3" x14ac:dyDescent="0.35">
      <c r="A230" t="s">
        <v>51</v>
      </c>
      <c r="B230">
        <v>90</v>
      </c>
      <c r="C230">
        <v>1.8540000000000001</v>
      </c>
    </row>
    <row r="231" spans="1:3" x14ac:dyDescent="0.35">
      <c r="A231" t="s">
        <v>52</v>
      </c>
      <c r="B231">
        <v>90</v>
      </c>
      <c r="C231">
        <v>3.4491000000000001</v>
      </c>
    </row>
    <row r="232" spans="1:3" x14ac:dyDescent="0.35">
      <c r="A232" t="s">
        <v>53</v>
      </c>
      <c r="B232">
        <v>90</v>
      </c>
      <c r="C232">
        <v>1.4947999999999999</v>
      </c>
    </row>
    <row r="233" spans="1:3" x14ac:dyDescent="0.35">
      <c r="A233" t="s">
        <v>54</v>
      </c>
      <c r="B233">
        <v>90</v>
      </c>
      <c r="C233">
        <v>4.2454999999999998</v>
      </c>
    </row>
    <row r="234" spans="1:3" x14ac:dyDescent="0.35">
      <c r="A234" t="s">
        <v>55</v>
      </c>
      <c r="B234">
        <v>90</v>
      </c>
      <c r="C234">
        <v>2.6448999999999998</v>
      </c>
    </row>
    <row r="235" spans="1:3" x14ac:dyDescent="0.35">
      <c r="A235" t="s">
        <v>56</v>
      </c>
      <c r="B235">
        <v>75</v>
      </c>
      <c r="C235">
        <v>0.99580000000000002</v>
      </c>
    </row>
    <row r="236" spans="1:3" x14ac:dyDescent="0.35">
      <c r="A236" t="s">
        <v>57</v>
      </c>
      <c r="B236">
        <v>75</v>
      </c>
      <c r="C236">
        <v>1.1900999999999999</v>
      </c>
    </row>
    <row r="237" spans="1:3" x14ac:dyDescent="0.35">
      <c r="A237" t="s">
        <v>58</v>
      </c>
      <c r="B237">
        <v>75</v>
      </c>
      <c r="C237">
        <v>0.83950000000000002</v>
      </c>
    </row>
    <row r="238" spans="1:3" x14ac:dyDescent="0.35">
      <c r="A238" t="s">
        <v>59</v>
      </c>
      <c r="B238">
        <v>90</v>
      </c>
      <c r="C238">
        <v>2.0642</v>
      </c>
    </row>
    <row r="239" spans="1:3" x14ac:dyDescent="0.35">
      <c r="A239" t="s">
        <v>60</v>
      </c>
      <c r="B239">
        <v>90</v>
      </c>
      <c r="C239">
        <v>1.9542999999999999</v>
      </c>
    </row>
    <row r="240" spans="1:3" x14ac:dyDescent="0.35">
      <c r="A240" t="s">
        <v>61</v>
      </c>
      <c r="B240">
        <v>90</v>
      </c>
      <c r="C240">
        <v>1.0738000000000001</v>
      </c>
    </row>
    <row r="241" spans="1:3" x14ac:dyDescent="0.35">
      <c r="A241" t="s">
        <v>62</v>
      </c>
      <c r="B241">
        <v>90</v>
      </c>
      <c r="C241">
        <v>0.97789999999999999</v>
      </c>
    </row>
    <row r="242" spans="1:3" x14ac:dyDescent="0.35">
      <c r="A242" t="s">
        <v>63</v>
      </c>
      <c r="B242">
        <v>90</v>
      </c>
      <c r="C242">
        <v>1.3537999999999999</v>
      </c>
    </row>
    <row r="243" spans="1:3" x14ac:dyDescent="0.35">
      <c r="A243" t="s">
        <v>64</v>
      </c>
      <c r="B243">
        <v>90</v>
      </c>
      <c r="C243">
        <v>1.1339999999999999</v>
      </c>
    </row>
    <row r="244" spans="1:3" x14ac:dyDescent="0.35">
      <c r="A244" t="s">
        <v>65</v>
      </c>
      <c r="B244">
        <v>90</v>
      </c>
      <c r="C244">
        <v>2.8054999999999999</v>
      </c>
    </row>
    <row r="245" spans="1:3" x14ac:dyDescent="0.35">
      <c r="A245" t="s">
        <v>66</v>
      </c>
      <c r="B245">
        <v>90</v>
      </c>
      <c r="C245">
        <v>1.1339999999999999</v>
      </c>
    </row>
    <row r="246" spans="1:3" x14ac:dyDescent="0.35">
      <c r="A246" t="s">
        <v>67</v>
      </c>
      <c r="B246">
        <v>90</v>
      </c>
      <c r="C246">
        <v>1.0717000000000001</v>
      </c>
    </row>
    <row r="247" spans="1:3" x14ac:dyDescent="0.35">
      <c r="A247" t="s">
        <v>68</v>
      </c>
      <c r="B247">
        <v>90</v>
      </c>
      <c r="C247">
        <v>1.2008000000000001</v>
      </c>
    </row>
    <row r="248" spans="1:3" x14ac:dyDescent="0.35">
      <c r="A248" t="s">
        <v>69</v>
      </c>
      <c r="B248">
        <v>90</v>
      </c>
      <c r="C248">
        <v>1.2948</v>
      </c>
    </row>
    <row r="249" spans="1:3" x14ac:dyDescent="0.35">
      <c r="A249" t="s">
        <v>70</v>
      </c>
      <c r="B249">
        <v>90</v>
      </c>
      <c r="C249">
        <v>1.2609999999999999</v>
      </c>
    </row>
    <row r="250" spans="1:3" x14ac:dyDescent="0.35">
      <c r="A250" t="s">
        <v>71</v>
      </c>
      <c r="B250">
        <v>90</v>
      </c>
      <c r="C250">
        <v>4.1348000000000003</v>
      </c>
    </row>
    <row r="251" spans="1:3" x14ac:dyDescent="0.35">
      <c r="A251" t="s">
        <v>72</v>
      </c>
      <c r="B251">
        <v>90</v>
      </c>
      <c r="C251">
        <v>1.0815999999999999</v>
      </c>
    </row>
    <row r="252" spans="1:3" x14ac:dyDescent="0.35">
      <c r="A252" t="s">
        <v>73</v>
      </c>
      <c r="B252">
        <v>90</v>
      </c>
      <c r="C252">
        <v>0.97219999999999995</v>
      </c>
    </row>
    <row r="253" spans="1:3" x14ac:dyDescent="0.35">
      <c r="A253" t="s">
        <v>74</v>
      </c>
      <c r="B253">
        <v>90</v>
      </c>
      <c r="C253">
        <v>1.7434000000000001</v>
      </c>
    </row>
    <row r="254" spans="1:3" x14ac:dyDescent="0.35">
      <c r="A254" t="s">
        <v>75</v>
      </c>
      <c r="B254">
        <v>75</v>
      </c>
      <c r="C254">
        <v>0.67900000000000005</v>
      </c>
    </row>
    <row r="255" spans="1:3" x14ac:dyDescent="0.35">
      <c r="A255" t="s">
        <v>76</v>
      </c>
      <c r="B255">
        <v>90</v>
      </c>
      <c r="C255">
        <v>1.1857</v>
      </c>
    </row>
    <row r="256" spans="1:3" x14ac:dyDescent="0.35">
      <c r="A256" t="s">
        <v>77</v>
      </c>
      <c r="B256">
        <v>90</v>
      </c>
      <c r="C256">
        <v>1.0317000000000001</v>
      </c>
    </row>
    <row r="257" spans="1:3" x14ac:dyDescent="0.35">
      <c r="A257" t="s">
        <v>78</v>
      </c>
      <c r="B257">
        <v>90</v>
      </c>
      <c r="C257">
        <v>2.7875000000000001</v>
      </c>
    </row>
    <row r="258" spans="1:3" x14ac:dyDescent="0.35">
      <c r="A258" t="s">
        <v>79</v>
      </c>
      <c r="B258">
        <v>90</v>
      </c>
      <c r="C258">
        <v>0.86650000000000005</v>
      </c>
    </row>
    <row r="259" spans="1:3" x14ac:dyDescent="0.35">
      <c r="A259" t="s">
        <v>80</v>
      </c>
      <c r="B259">
        <v>90</v>
      </c>
      <c r="C259">
        <v>1.0501</v>
      </c>
    </row>
    <row r="260" spans="1:3" x14ac:dyDescent="0.35">
      <c r="A260" t="s">
        <v>81</v>
      </c>
      <c r="B260">
        <v>90</v>
      </c>
      <c r="C260">
        <v>2.1029</v>
      </c>
    </row>
    <row r="261" spans="1:3" x14ac:dyDescent="0.35">
      <c r="A261" t="s">
        <v>82</v>
      </c>
      <c r="B261">
        <v>90</v>
      </c>
      <c r="C261">
        <v>1.1339999999999999</v>
      </c>
    </row>
    <row r="262" spans="1:3" x14ac:dyDescent="0.35">
      <c r="A262" t="s">
        <v>83</v>
      </c>
      <c r="B262">
        <v>90</v>
      </c>
      <c r="C262">
        <v>1.7335</v>
      </c>
    </row>
    <row r="263" spans="1:3" x14ac:dyDescent="0.35">
      <c r="A263" t="s">
        <v>84</v>
      </c>
      <c r="B263">
        <v>90</v>
      </c>
      <c r="C263">
        <v>1.2109000000000001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C6A1F9-5BC0-46A6-83F3-65FBD40F6C46}">
  <sheetPr codeName="Sheet12"/>
  <dimension ref="A1:M35"/>
  <sheetViews>
    <sheetView workbookViewId="0">
      <selection activeCell="I21" sqref="I21"/>
    </sheetView>
    <sheetView workbookViewId="1"/>
  </sheetViews>
  <sheetFormatPr defaultRowHeight="14.5" x14ac:dyDescent="0.35"/>
  <sheetData>
    <row r="1" spans="1:13" x14ac:dyDescent="0.35">
      <c r="A1" t="s">
        <v>190</v>
      </c>
      <c r="B1" t="s">
        <v>191</v>
      </c>
      <c r="C1" t="s">
        <v>192</v>
      </c>
      <c r="D1" t="s">
        <v>193</v>
      </c>
      <c r="E1" t="s">
        <v>194</v>
      </c>
      <c r="F1" t="s">
        <v>195</v>
      </c>
      <c r="G1" t="s">
        <v>196</v>
      </c>
      <c r="H1" t="s">
        <v>197</v>
      </c>
      <c r="I1" t="s">
        <v>198</v>
      </c>
      <c r="J1" t="s">
        <v>199</v>
      </c>
      <c r="K1" t="s">
        <v>200</v>
      </c>
      <c r="L1" t="s">
        <v>201</v>
      </c>
      <c r="M1" t="s">
        <v>202</v>
      </c>
    </row>
    <row r="2" spans="1:13" x14ac:dyDescent="0.35">
      <c r="A2" t="s">
        <v>122</v>
      </c>
      <c r="B2" t="s">
        <v>112</v>
      </c>
      <c r="C2" t="s">
        <v>123</v>
      </c>
      <c r="D2" t="s">
        <v>124</v>
      </c>
      <c r="E2">
        <v>2700</v>
      </c>
      <c r="F2">
        <v>3200</v>
      </c>
      <c r="G2">
        <v>2950</v>
      </c>
      <c r="H2" t="s">
        <v>125</v>
      </c>
      <c r="I2">
        <v>1300</v>
      </c>
      <c r="J2">
        <v>0</v>
      </c>
      <c r="K2" t="s">
        <v>126</v>
      </c>
      <c r="L2" t="s">
        <v>15</v>
      </c>
      <c r="M2" t="s">
        <v>127</v>
      </c>
    </row>
    <row r="3" spans="1:13" x14ac:dyDescent="0.35">
      <c r="A3" t="s">
        <v>122</v>
      </c>
      <c r="B3" t="s">
        <v>112</v>
      </c>
      <c r="C3" t="s">
        <v>128</v>
      </c>
      <c r="D3" t="s">
        <v>124</v>
      </c>
      <c r="E3">
        <v>2700</v>
      </c>
      <c r="F3">
        <v>3200</v>
      </c>
      <c r="G3">
        <v>2950</v>
      </c>
      <c r="H3" t="s">
        <v>129</v>
      </c>
      <c r="I3">
        <v>1300</v>
      </c>
      <c r="J3">
        <v>0</v>
      </c>
      <c r="K3" t="s">
        <v>126</v>
      </c>
      <c r="L3" t="s">
        <v>15</v>
      </c>
      <c r="M3" t="s">
        <v>127</v>
      </c>
    </row>
    <row r="4" spans="1:13" x14ac:dyDescent="0.35">
      <c r="A4" t="s">
        <v>122</v>
      </c>
      <c r="B4" t="s">
        <v>112</v>
      </c>
      <c r="C4" t="s">
        <v>130</v>
      </c>
      <c r="D4" t="s">
        <v>124</v>
      </c>
      <c r="E4">
        <v>2700</v>
      </c>
      <c r="F4">
        <v>3200</v>
      </c>
      <c r="G4">
        <v>2950</v>
      </c>
      <c r="H4" t="s">
        <v>125</v>
      </c>
      <c r="I4">
        <v>1300</v>
      </c>
      <c r="J4">
        <v>0</v>
      </c>
      <c r="K4" t="s">
        <v>126</v>
      </c>
      <c r="L4" t="s">
        <v>15</v>
      </c>
      <c r="M4" t="s">
        <v>127</v>
      </c>
    </row>
    <row r="5" spans="1:13" x14ac:dyDescent="0.35">
      <c r="A5" t="s">
        <v>122</v>
      </c>
      <c r="B5" t="s">
        <v>116</v>
      </c>
      <c r="C5" t="s">
        <v>128</v>
      </c>
      <c r="D5" t="s">
        <v>131</v>
      </c>
      <c r="E5">
        <v>2700</v>
      </c>
      <c r="F5">
        <v>3200</v>
      </c>
      <c r="G5">
        <v>2950</v>
      </c>
      <c r="H5" t="s">
        <v>129</v>
      </c>
      <c r="I5">
        <v>770</v>
      </c>
      <c r="J5">
        <v>0</v>
      </c>
      <c r="K5" t="s">
        <v>132</v>
      </c>
      <c r="L5" t="s">
        <v>133</v>
      </c>
      <c r="M5" t="s">
        <v>134</v>
      </c>
    </row>
    <row r="6" spans="1:13" x14ac:dyDescent="0.35">
      <c r="A6" t="s">
        <v>122</v>
      </c>
      <c r="B6" t="s">
        <v>116</v>
      </c>
      <c r="C6" t="s">
        <v>123</v>
      </c>
      <c r="D6" t="s">
        <v>131</v>
      </c>
      <c r="E6">
        <v>2700</v>
      </c>
      <c r="F6">
        <v>3200</v>
      </c>
      <c r="G6">
        <v>2950</v>
      </c>
      <c r="H6" t="s">
        <v>129</v>
      </c>
      <c r="I6">
        <v>770</v>
      </c>
      <c r="J6">
        <v>0</v>
      </c>
      <c r="K6" t="s">
        <v>132</v>
      </c>
      <c r="L6" t="s">
        <v>133</v>
      </c>
      <c r="M6" t="s">
        <v>134</v>
      </c>
    </row>
    <row r="7" spans="1:13" x14ac:dyDescent="0.35">
      <c r="A7" t="s">
        <v>122</v>
      </c>
      <c r="B7" t="s">
        <v>114</v>
      </c>
      <c r="C7" t="s">
        <v>123</v>
      </c>
      <c r="D7" t="s">
        <v>135</v>
      </c>
      <c r="E7">
        <v>2700</v>
      </c>
      <c r="F7">
        <v>3200</v>
      </c>
      <c r="G7">
        <v>2950</v>
      </c>
      <c r="H7" t="s">
        <v>129</v>
      </c>
      <c r="I7">
        <v>1350</v>
      </c>
      <c r="J7">
        <v>0</v>
      </c>
      <c r="K7" t="s">
        <v>136</v>
      </c>
      <c r="L7" t="s">
        <v>133</v>
      </c>
      <c r="M7" t="s">
        <v>137</v>
      </c>
    </row>
    <row r="8" spans="1:13" x14ac:dyDescent="0.35">
      <c r="A8" t="s">
        <v>122</v>
      </c>
      <c r="B8" t="s">
        <v>23</v>
      </c>
      <c r="C8" t="s">
        <v>123</v>
      </c>
      <c r="D8" t="s">
        <v>138</v>
      </c>
      <c r="E8">
        <v>7050</v>
      </c>
      <c r="F8">
        <v>7700</v>
      </c>
      <c r="G8">
        <v>7375</v>
      </c>
      <c r="H8" t="s">
        <v>129</v>
      </c>
      <c r="I8">
        <v>485</v>
      </c>
      <c r="J8">
        <v>0</v>
      </c>
      <c r="K8" t="s">
        <v>139</v>
      </c>
      <c r="L8" t="s">
        <v>140</v>
      </c>
      <c r="M8" t="s">
        <v>141</v>
      </c>
    </row>
    <row r="9" spans="1:13" x14ac:dyDescent="0.35">
      <c r="A9" t="s">
        <v>122</v>
      </c>
      <c r="B9" t="s">
        <v>142</v>
      </c>
      <c r="C9" t="s">
        <v>123</v>
      </c>
      <c r="D9" t="s">
        <v>143</v>
      </c>
      <c r="E9">
        <v>3000</v>
      </c>
      <c r="F9">
        <v>3750</v>
      </c>
      <c r="G9">
        <v>3375</v>
      </c>
      <c r="H9" t="s">
        <v>129</v>
      </c>
      <c r="I9">
        <v>1200</v>
      </c>
      <c r="J9">
        <v>0</v>
      </c>
      <c r="K9" t="s">
        <v>144</v>
      </c>
      <c r="L9" t="s">
        <v>133</v>
      </c>
      <c r="M9" t="s">
        <v>145</v>
      </c>
    </row>
    <row r="10" spans="1:13" x14ac:dyDescent="0.35">
      <c r="A10" t="s">
        <v>122</v>
      </c>
      <c r="B10" t="s">
        <v>142</v>
      </c>
      <c r="C10" t="s">
        <v>128</v>
      </c>
      <c r="D10" t="s">
        <v>143</v>
      </c>
      <c r="E10">
        <v>3000</v>
      </c>
      <c r="F10">
        <v>3750</v>
      </c>
      <c r="G10">
        <v>3375</v>
      </c>
      <c r="H10" t="s">
        <v>129</v>
      </c>
      <c r="I10">
        <v>1200</v>
      </c>
      <c r="J10">
        <v>0</v>
      </c>
      <c r="K10" t="s">
        <v>144</v>
      </c>
      <c r="L10" t="s">
        <v>133</v>
      </c>
      <c r="M10" t="s">
        <v>145</v>
      </c>
    </row>
    <row r="11" spans="1:13" x14ac:dyDescent="0.35">
      <c r="A11" t="s">
        <v>122</v>
      </c>
      <c r="B11" t="s">
        <v>142</v>
      </c>
      <c r="C11" t="s">
        <v>130</v>
      </c>
      <c r="D11" t="s">
        <v>143</v>
      </c>
      <c r="E11">
        <v>3000</v>
      </c>
      <c r="F11">
        <v>3750</v>
      </c>
      <c r="G11">
        <v>3375</v>
      </c>
      <c r="H11" t="s">
        <v>129</v>
      </c>
      <c r="I11">
        <v>1200</v>
      </c>
      <c r="J11">
        <v>0</v>
      </c>
      <c r="K11" t="s">
        <v>144</v>
      </c>
      <c r="L11" t="s">
        <v>133</v>
      </c>
      <c r="M11" t="s">
        <v>145</v>
      </c>
    </row>
    <row r="12" spans="1:13" x14ac:dyDescent="0.35">
      <c r="A12" t="s">
        <v>146</v>
      </c>
      <c r="B12" t="s">
        <v>113</v>
      </c>
      <c r="C12" t="s">
        <v>130</v>
      </c>
      <c r="D12" t="s">
        <v>147</v>
      </c>
      <c r="E12">
        <v>3000</v>
      </c>
      <c r="F12">
        <v>4500</v>
      </c>
      <c r="G12">
        <v>3750</v>
      </c>
      <c r="H12" t="s">
        <v>129</v>
      </c>
      <c r="I12">
        <v>1200</v>
      </c>
      <c r="J12">
        <v>0</v>
      </c>
      <c r="K12" t="s">
        <v>144</v>
      </c>
      <c r="L12" t="s">
        <v>140</v>
      </c>
      <c r="M12" t="s">
        <v>148</v>
      </c>
    </row>
    <row r="13" spans="1:13" x14ac:dyDescent="0.35">
      <c r="A13" t="s">
        <v>146</v>
      </c>
      <c r="B13" t="s">
        <v>24</v>
      </c>
      <c r="C13" t="s">
        <v>130</v>
      </c>
      <c r="D13" t="s">
        <v>149</v>
      </c>
      <c r="E13">
        <v>4500</v>
      </c>
      <c r="F13">
        <v>5500</v>
      </c>
      <c r="G13">
        <v>5000</v>
      </c>
      <c r="H13" t="s">
        <v>129</v>
      </c>
      <c r="I13">
        <v>1100</v>
      </c>
      <c r="J13">
        <v>0</v>
      </c>
      <c r="K13" t="s">
        <v>150</v>
      </c>
      <c r="L13" t="s">
        <v>140</v>
      </c>
      <c r="M13" t="s">
        <v>151</v>
      </c>
    </row>
    <row r="14" spans="1:13" x14ac:dyDescent="0.35">
      <c r="A14" t="s">
        <v>152</v>
      </c>
      <c r="B14" t="s">
        <v>24</v>
      </c>
      <c r="C14" t="s">
        <v>123</v>
      </c>
      <c r="D14" t="s">
        <v>149</v>
      </c>
      <c r="E14">
        <v>3700</v>
      </c>
      <c r="F14">
        <v>4200</v>
      </c>
      <c r="G14">
        <v>3950</v>
      </c>
      <c r="H14" t="s">
        <v>153</v>
      </c>
      <c r="I14">
        <v>1100</v>
      </c>
      <c r="J14">
        <v>0</v>
      </c>
      <c r="K14" t="s">
        <v>150</v>
      </c>
      <c r="L14" t="s">
        <v>140</v>
      </c>
      <c r="M14" t="s">
        <v>151</v>
      </c>
    </row>
    <row r="15" spans="1:13" x14ac:dyDescent="0.35">
      <c r="A15" t="s">
        <v>152</v>
      </c>
      <c r="B15" t="s">
        <v>24</v>
      </c>
      <c r="C15" t="s">
        <v>123</v>
      </c>
      <c r="D15" t="s">
        <v>154</v>
      </c>
      <c r="E15">
        <v>5200</v>
      </c>
      <c r="F15">
        <v>6200</v>
      </c>
      <c r="G15">
        <v>5700</v>
      </c>
      <c r="H15" t="s">
        <v>129</v>
      </c>
      <c r="I15">
        <v>1100</v>
      </c>
      <c r="J15">
        <v>0</v>
      </c>
      <c r="K15" t="s">
        <v>150</v>
      </c>
      <c r="L15" t="s">
        <v>140</v>
      </c>
      <c r="M15" t="s">
        <v>151</v>
      </c>
    </row>
    <row r="16" spans="1:13" x14ac:dyDescent="0.35">
      <c r="A16" t="s">
        <v>152</v>
      </c>
      <c r="B16" t="s">
        <v>14</v>
      </c>
      <c r="C16" t="s">
        <v>123</v>
      </c>
      <c r="D16" t="s">
        <v>155</v>
      </c>
      <c r="E16">
        <v>3200</v>
      </c>
      <c r="F16">
        <v>4200</v>
      </c>
      <c r="G16">
        <v>3700</v>
      </c>
      <c r="H16" t="s">
        <v>156</v>
      </c>
      <c r="I16">
        <v>1100</v>
      </c>
      <c r="J16">
        <v>0</v>
      </c>
      <c r="K16" t="s">
        <v>150</v>
      </c>
      <c r="L16" t="s">
        <v>140</v>
      </c>
      <c r="M16" t="s">
        <v>157</v>
      </c>
    </row>
    <row r="17" spans="1:13" x14ac:dyDescent="0.35">
      <c r="A17" t="s">
        <v>158</v>
      </c>
      <c r="B17" t="s">
        <v>14</v>
      </c>
      <c r="C17" t="s">
        <v>123</v>
      </c>
      <c r="D17" t="s">
        <v>155</v>
      </c>
      <c r="E17">
        <v>4600</v>
      </c>
      <c r="F17">
        <v>4900</v>
      </c>
      <c r="G17">
        <v>4750</v>
      </c>
      <c r="H17" t="s">
        <v>159</v>
      </c>
      <c r="I17">
        <v>1200</v>
      </c>
      <c r="J17">
        <v>0</v>
      </c>
      <c r="K17" t="s">
        <v>144</v>
      </c>
      <c r="L17" t="s">
        <v>140</v>
      </c>
      <c r="M17" t="s">
        <v>157</v>
      </c>
    </row>
    <row r="18" spans="1:13" x14ac:dyDescent="0.35">
      <c r="A18" t="s">
        <v>152</v>
      </c>
      <c r="B18" t="s">
        <v>112</v>
      </c>
      <c r="C18" t="s">
        <v>123</v>
      </c>
      <c r="D18" t="s">
        <v>124</v>
      </c>
      <c r="E18">
        <v>2700</v>
      </c>
      <c r="F18">
        <v>3200</v>
      </c>
      <c r="G18">
        <v>2950</v>
      </c>
      <c r="H18" t="s">
        <v>125</v>
      </c>
      <c r="I18">
        <v>1300</v>
      </c>
      <c r="J18">
        <v>0</v>
      </c>
      <c r="K18" t="s">
        <v>126</v>
      </c>
      <c r="L18" t="s">
        <v>15</v>
      </c>
      <c r="M18" t="s">
        <v>127</v>
      </c>
    </row>
    <row r="19" spans="1:13" x14ac:dyDescent="0.35">
      <c r="A19" t="s">
        <v>152</v>
      </c>
      <c r="B19" t="s">
        <v>112</v>
      </c>
      <c r="C19" t="s">
        <v>123</v>
      </c>
      <c r="D19" t="s">
        <v>160</v>
      </c>
      <c r="E19">
        <v>3600</v>
      </c>
      <c r="F19">
        <v>4950</v>
      </c>
      <c r="G19">
        <v>4275</v>
      </c>
      <c r="H19" t="s">
        <v>129</v>
      </c>
      <c r="I19">
        <v>1300</v>
      </c>
      <c r="J19">
        <v>0</v>
      </c>
      <c r="K19" t="s">
        <v>126</v>
      </c>
      <c r="L19" t="s">
        <v>15</v>
      </c>
      <c r="M19" t="s">
        <v>127</v>
      </c>
    </row>
    <row r="20" spans="1:13" x14ac:dyDescent="0.35">
      <c r="A20" t="s">
        <v>152</v>
      </c>
      <c r="B20" t="s">
        <v>117</v>
      </c>
      <c r="C20" t="s">
        <v>123</v>
      </c>
      <c r="D20" t="s">
        <v>161</v>
      </c>
      <c r="E20">
        <v>3200</v>
      </c>
      <c r="F20">
        <v>4150</v>
      </c>
      <c r="G20">
        <v>3675</v>
      </c>
      <c r="H20" t="s">
        <v>129</v>
      </c>
      <c r="I20">
        <v>1500</v>
      </c>
      <c r="J20">
        <v>0</v>
      </c>
      <c r="K20" t="s">
        <v>162</v>
      </c>
      <c r="L20" t="s">
        <v>140</v>
      </c>
      <c r="M20" t="s">
        <v>163</v>
      </c>
    </row>
    <row r="21" spans="1:13" x14ac:dyDescent="0.35">
      <c r="A21" t="s">
        <v>152</v>
      </c>
      <c r="B21" t="s">
        <v>114</v>
      </c>
      <c r="C21" t="s">
        <v>123</v>
      </c>
      <c r="D21" t="s">
        <v>164</v>
      </c>
      <c r="E21">
        <v>2700</v>
      </c>
      <c r="F21">
        <v>3200</v>
      </c>
      <c r="G21">
        <v>2950</v>
      </c>
      <c r="H21" t="s">
        <v>129</v>
      </c>
      <c r="I21">
        <v>1350</v>
      </c>
      <c r="J21">
        <v>0</v>
      </c>
      <c r="K21" t="s">
        <v>136</v>
      </c>
      <c r="L21" t="s">
        <v>133</v>
      </c>
      <c r="M21" t="s">
        <v>137</v>
      </c>
    </row>
    <row r="22" spans="1:13" x14ac:dyDescent="0.35">
      <c r="A22" t="s">
        <v>152</v>
      </c>
      <c r="B22" t="s">
        <v>23</v>
      </c>
      <c r="C22" t="s">
        <v>123</v>
      </c>
      <c r="D22" t="s">
        <v>138</v>
      </c>
      <c r="E22">
        <v>7050</v>
      </c>
      <c r="F22">
        <v>7700</v>
      </c>
      <c r="G22">
        <v>7375</v>
      </c>
      <c r="H22" t="s">
        <v>129</v>
      </c>
      <c r="I22">
        <v>485</v>
      </c>
      <c r="J22">
        <v>0</v>
      </c>
      <c r="K22" t="s">
        <v>139</v>
      </c>
      <c r="L22" t="s">
        <v>140</v>
      </c>
      <c r="M22" t="s">
        <v>141</v>
      </c>
    </row>
    <row r="23" spans="1:13" x14ac:dyDescent="0.35">
      <c r="A23" t="s">
        <v>158</v>
      </c>
      <c r="B23" t="s">
        <v>24</v>
      </c>
      <c r="C23" t="s">
        <v>123</v>
      </c>
      <c r="D23" t="s">
        <v>149</v>
      </c>
      <c r="E23">
        <v>5050</v>
      </c>
      <c r="F23">
        <v>5300</v>
      </c>
      <c r="G23">
        <v>5175</v>
      </c>
      <c r="H23" t="s">
        <v>165</v>
      </c>
      <c r="I23">
        <v>1350</v>
      </c>
      <c r="J23">
        <v>0</v>
      </c>
      <c r="K23" t="s">
        <v>136</v>
      </c>
      <c r="L23" t="s">
        <v>140</v>
      </c>
      <c r="M23" t="s">
        <v>151</v>
      </c>
    </row>
    <row r="24" spans="1:13" x14ac:dyDescent="0.35">
      <c r="A24" t="s">
        <v>115</v>
      </c>
      <c r="B24" t="s">
        <v>166</v>
      </c>
      <c r="C24" t="s">
        <v>123</v>
      </c>
      <c r="D24" t="s">
        <v>167</v>
      </c>
      <c r="E24">
        <v>3100</v>
      </c>
      <c r="F24">
        <v>3500</v>
      </c>
      <c r="G24">
        <v>3300</v>
      </c>
      <c r="H24" t="s">
        <v>129</v>
      </c>
      <c r="I24">
        <v>1500</v>
      </c>
      <c r="J24">
        <v>0</v>
      </c>
      <c r="K24" t="s">
        <v>162</v>
      </c>
      <c r="L24" t="s">
        <v>133</v>
      </c>
      <c r="M24" t="s">
        <v>168</v>
      </c>
    </row>
    <row r="25" spans="1:13" x14ac:dyDescent="0.35">
      <c r="A25" t="s">
        <v>115</v>
      </c>
      <c r="B25" t="s">
        <v>169</v>
      </c>
      <c r="C25" t="s">
        <v>123</v>
      </c>
      <c r="D25" t="s">
        <v>170</v>
      </c>
      <c r="E25">
        <v>2800</v>
      </c>
      <c r="F25">
        <v>3200</v>
      </c>
      <c r="G25">
        <v>3000</v>
      </c>
      <c r="H25" t="s">
        <v>129</v>
      </c>
      <c r="I25">
        <v>1720</v>
      </c>
      <c r="J25">
        <v>0</v>
      </c>
      <c r="K25" t="s">
        <v>171</v>
      </c>
      <c r="L25" t="s">
        <v>133</v>
      </c>
      <c r="M25" t="s">
        <v>127</v>
      </c>
    </row>
    <row r="26" spans="1:13" x14ac:dyDescent="0.35">
      <c r="A26" t="s">
        <v>115</v>
      </c>
      <c r="B26" t="s">
        <v>172</v>
      </c>
      <c r="C26" t="s">
        <v>123</v>
      </c>
      <c r="D26" t="s">
        <v>173</v>
      </c>
      <c r="E26">
        <v>2900</v>
      </c>
      <c r="F26">
        <v>3200</v>
      </c>
      <c r="G26">
        <v>3050</v>
      </c>
      <c r="H26" t="s">
        <v>129</v>
      </c>
      <c r="I26">
        <v>1800</v>
      </c>
      <c r="J26">
        <v>0</v>
      </c>
      <c r="K26" t="s">
        <v>174</v>
      </c>
      <c r="L26" t="s">
        <v>133</v>
      </c>
      <c r="M26" t="s">
        <v>168</v>
      </c>
    </row>
    <row r="27" spans="1:13" x14ac:dyDescent="0.35">
      <c r="A27" t="s">
        <v>115</v>
      </c>
      <c r="B27" t="s">
        <v>117</v>
      </c>
      <c r="C27" t="s">
        <v>123</v>
      </c>
      <c r="D27" t="s">
        <v>161</v>
      </c>
      <c r="E27">
        <v>3200</v>
      </c>
      <c r="F27">
        <v>4150</v>
      </c>
      <c r="G27">
        <v>3675</v>
      </c>
      <c r="H27" t="s">
        <v>129</v>
      </c>
      <c r="I27">
        <v>1500</v>
      </c>
      <c r="J27">
        <v>0</v>
      </c>
      <c r="K27" t="s">
        <v>162</v>
      </c>
      <c r="L27" t="s">
        <v>140</v>
      </c>
      <c r="M27" t="s">
        <v>163</v>
      </c>
    </row>
    <row r="28" spans="1:13" x14ac:dyDescent="0.35">
      <c r="A28" t="s">
        <v>115</v>
      </c>
      <c r="B28" t="s">
        <v>175</v>
      </c>
      <c r="C28" t="s">
        <v>123</v>
      </c>
      <c r="D28" t="s">
        <v>164</v>
      </c>
      <c r="E28">
        <v>2700</v>
      </c>
      <c r="F28">
        <v>3200</v>
      </c>
      <c r="G28">
        <v>2950</v>
      </c>
      <c r="H28" t="s">
        <v>129</v>
      </c>
      <c r="I28">
        <v>1350</v>
      </c>
      <c r="J28">
        <v>0</v>
      </c>
      <c r="K28" t="s">
        <v>136</v>
      </c>
      <c r="L28" t="s">
        <v>133</v>
      </c>
      <c r="M28" t="s">
        <v>137</v>
      </c>
    </row>
    <row r="29" spans="1:13" x14ac:dyDescent="0.35">
      <c r="A29" t="s">
        <v>115</v>
      </c>
      <c r="B29" t="s">
        <v>24</v>
      </c>
      <c r="C29" t="s">
        <v>123</v>
      </c>
      <c r="D29" t="s">
        <v>149</v>
      </c>
      <c r="E29">
        <v>3800</v>
      </c>
      <c r="F29">
        <v>5500</v>
      </c>
      <c r="G29">
        <v>4650</v>
      </c>
      <c r="H29" t="s">
        <v>129</v>
      </c>
      <c r="I29">
        <v>1100</v>
      </c>
      <c r="J29">
        <v>0</v>
      </c>
      <c r="K29" t="s">
        <v>150</v>
      </c>
      <c r="L29" t="s">
        <v>140</v>
      </c>
      <c r="M29" t="s">
        <v>151</v>
      </c>
    </row>
    <row r="30" spans="1:13" x14ac:dyDescent="0.35">
      <c r="A30" t="s">
        <v>176</v>
      </c>
      <c r="B30" t="s">
        <v>23</v>
      </c>
      <c r="C30" t="s">
        <v>177</v>
      </c>
      <c r="D30" t="s">
        <v>138</v>
      </c>
      <c r="E30">
        <v>7050</v>
      </c>
      <c r="F30">
        <v>7700</v>
      </c>
      <c r="G30">
        <v>7375</v>
      </c>
      <c r="H30" t="s">
        <v>129</v>
      </c>
      <c r="I30">
        <v>485</v>
      </c>
      <c r="J30">
        <v>0</v>
      </c>
      <c r="K30" t="s">
        <v>139</v>
      </c>
      <c r="L30" t="s">
        <v>140</v>
      </c>
      <c r="M30" t="s">
        <v>141</v>
      </c>
    </row>
    <row r="31" spans="1:13" x14ac:dyDescent="0.35">
      <c r="A31" t="s">
        <v>176</v>
      </c>
      <c r="B31" t="s">
        <v>24</v>
      </c>
      <c r="C31" t="s">
        <v>178</v>
      </c>
      <c r="D31" t="s">
        <v>149</v>
      </c>
      <c r="E31">
        <v>4400</v>
      </c>
      <c r="F31">
        <v>5500</v>
      </c>
      <c r="G31">
        <v>4950</v>
      </c>
      <c r="H31" t="s">
        <v>129</v>
      </c>
      <c r="I31">
        <v>1100</v>
      </c>
      <c r="J31">
        <v>0</v>
      </c>
      <c r="K31" t="s">
        <v>150</v>
      </c>
      <c r="L31" t="s">
        <v>140</v>
      </c>
      <c r="M31" t="s">
        <v>179</v>
      </c>
    </row>
    <row r="32" spans="1:13" x14ac:dyDescent="0.35">
      <c r="A32" t="s">
        <v>176</v>
      </c>
      <c r="B32" t="s">
        <v>24</v>
      </c>
      <c r="C32" t="s">
        <v>173</v>
      </c>
      <c r="D32" t="s">
        <v>180</v>
      </c>
      <c r="E32">
        <v>2900</v>
      </c>
      <c r="F32">
        <v>4500</v>
      </c>
      <c r="G32">
        <v>3700</v>
      </c>
      <c r="H32" t="s">
        <v>129</v>
      </c>
      <c r="I32">
        <v>2400</v>
      </c>
      <c r="J32">
        <v>1200</v>
      </c>
      <c r="K32" t="s">
        <v>181</v>
      </c>
      <c r="L32" t="s">
        <v>18</v>
      </c>
      <c r="M32" t="s">
        <v>182</v>
      </c>
    </row>
    <row r="33" spans="1:13" x14ac:dyDescent="0.35">
      <c r="A33" t="s">
        <v>176</v>
      </c>
      <c r="B33" t="s">
        <v>24</v>
      </c>
      <c r="C33" t="s">
        <v>183</v>
      </c>
      <c r="D33" t="s">
        <v>184</v>
      </c>
      <c r="E33">
        <v>6800</v>
      </c>
      <c r="F33">
        <v>8100</v>
      </c>
      <c r="G33">
        <v>7450</v>
      </c>
      <c r="H33" t="s">
        <v>129</v>
      </c>
      <c r="I33">
        <v>1300</v>
      </c>
      <c r="J33">
        <v>0</v>
      </c>
      <c r="K33" t="s">
        <v>126</v>
      </c>
      <c r="L33" t="s">
        <v>140</v>
      </c>
      <c r="M33" t="s">
        <v>185</v>
      </c>
    </row>
    <row r="34" spans="1:13" x14ac:dyDescent="0.35">
      <c r="A34" t="s">
        <v>176</v>
      </c>
      <c r="B34" t="s">
        <v>24</v>
      </c>
      <c r="C34" t="s">
        <v>177</v>
      </c>
      <c r="D34" t="s">
        <v>184</v>
      </c>
      <c r="E34">
        <v>6500</v>
      </c>
      <c r="F34">
        <v>7600</v>
      </c>
      <c r="G34">
        <v>7050</v>
      </c>
      <c r="H34" t="s">
        <v>129</v>
      </c>
      <c r="I34">
        <v>1300</v>
      </c>
      <c r="J34">
        <v>0</v>
      </c>
      <c r="K34" t="s">
        <v>126</v>
      </c>
      <c r="L34" t="s">
        <v>140</v>
      </c>
      <c r="M34" t="s">
        <v>186</v>
      </c>
    </row>
    <row r="35" spans="1:13" x14ac:dyDescent="0.35">
      <c r="A35" t="s">
        <v>187</v>
      </c>
      <c r="B35" t="s">
        <v>24</v>
      </c>
      <c r="C35" t="s">
        <v>188</v>
      </c>
      <c r="D35" t="s">
        <v>180</v>
      </c>
      <c r="E35">
        <v>2800</v>
      </c>
      <c r="F35">
        <v>4500</v>
      </c>
      <c r="G35">
        <v>3650</v>
      </c>
      <c r="H35" t="s">
        <v>129</v>
      </c>
      <c r="I35">
        <v>2400</v>
      </c>
      <c r="J35">
        <v>1500</v>
      </c>
      <c r="K35" t="s">
        <v>189</v>
      </c>
      <c r="L35" t="s">
        <v>18</v>
      </c>
      <c r="M35" t="s">
        <v>182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0CD27-6830-4C2E-A664-0F8C5437A9A2}">
  <sheetPr codeName="Sheet18"/>
  <dimension ref="A1:AW198"/>
  <sheetViews>
    <sheetView tabSelected="1" topLeftCell="G16" workbookViewId="0">
      <selection activeCell="L2" sqref="L2:L50"/>
    </sheetView>
    <sheetView tabSelected="1" topLeftCell="W1" workbookViewId="1"/>
  </sheetViews>
  <sheetFormatPr defaultRowHeight="14.5" x14ac:dyDescent="0.35"/>
  <cols>
    <col min="1" max="1" width="21.36328125" bestFit="1" customWidth="1"/>
    <col min="2" max="2" width="44.1796875" bestFit="1" customWidth="1"/>
    <col min="3" max="3" width="12.81640625" bestFit="1" customWidth="1"/>
    <col min="4" max="4" width="12.6328125" bestFit="1" customWidth="1"/>
    <col min="5" max="5" width="13.36328125" bestFit="1" customWidth="1"/>
    <col min="6" max="6" width="13.453125" bestFit="1" customWidth="1"/>
    <col min="7" max="7" width="36.6328125" bestFit="1" customWidth="1"/>
    <col min="8" max="8" width="15.81640625" bestFit="1" customWidth="1"/>
    <col min="9" max="9" width="12.90625" bestFit="1" customWidth="1"/>
    <col min="10" max="10" width="21.54296875" bestFit="1" customWidth="1"/>
    <col min="11" max="11" width="35.26953125" bestFit="1" customWidth="1"/>
    <col min="12" max="12" width="15.6328125" bestFit="1" customWidth="1"/>
    <col min="13" max="13" width="15" bestFit="1" customWidth="1"/>
    <col min="14" max="14" width="27.6328125" bestFit="1" customWidth="1"/>
    <col min="15" max="15" width="22.1796875" bestFit="1" customWidth="1"/>
    <col min="16" max="16" width="11.54296875" bestFit="1" customWidth="1"/>
    <col min="17" max="17" width="23.1796875" bestFit="1" customWidth="1"/>
    <col min="18" max="18" width="11.54296875" bestFit="1" customWidth="1"/>
    <col min="19" max="19" width="17" bestFit="1" customWidth="1"/>
    <col min="20" max="20" width="13.6328125" bestFit="1" customWidth="1"/>
    <col min="21" max="21" width="18.26953125" style="42" bestFit="1" customWidth="1"/>
    <col min="22" max="22" width="22.36328125" style="41" bestFit="1" customWidth="1"/>
    <col min="23" max="23" width="23" bestFit="1" customWidth="1"/>
    <col min="24" max="24" width="16.7265625" bestFit="1" customWidth="1"/>
    <col min="25" max="25" width="17.26953125" bestFit="1" customWidth="1"/>
    <col min="26" max="26" width="13.90625" bestFit="1" customWidth="1"/>
    <col min="27" max="27" width="21.08984375" bestFit="1" customWidth="1"/>
    <col min="28" max="28" width="18.54296875" bestFit="1" customWidth="1"/>
    <col min="29" max="29" width="25.7265625" bestFit="1" customWidth="1"/>
    <col min="30" max="30" width="14.1796875" bestFit="1" customWidth="1"/>
    <col min="31" max="31" width="19" bestFit="1" customWidth="1"/>
    <col min="32" max="32" width="23.26953125" bestFit="1" customWidth="1"/>
    <col min="33" max="33" width="24" bestFit="1" customWidth="1"/>
    <col min="34" max="34" width="17.453125" bestFit="1" customWidth="1"/>
    <col min="35" max="35" width="18" bestFit="1" customWidth="1"/>
    <col min="36" max="36" width="14.453125" bestFit="1" customWidth="1"/>
    <col min="37" max="37" width="22" bestFit="1" customWidth="1"/>
    <col min="38" max="38" width="19.26953125" bestFit="1" customWidth="1"/>
    <col min="39" max="39" width="26.81640625" bestFit="1" customWidth="1"/>
    <col min="40" max="40" width="14.7265625" bestFit="1" customWidth="1"/>
    <col min="41" max="41" width="26.7265625" bestFit="1" customWidth="1"/>
    <col min="42" max="43" width="14.7265625" bestFit="1" customWidth="1"/>
    <col min="44" max="44" width="14.1796875" bestFit="1" customWidth="1"/>
    <col min="45" max="45" width="10" bestFit="1" customWidth="1"/>
    <col min="46" max="46" width="26.7265625" bestFit="1" customWidth="1"/>
    <col min="47" max="47" width="19.1796875" bestFit="1" customWidth="1"/>
    <col min="48" max="48" width="18.1796875" style="39" bestFit="1" customWidth="1"/>
    <col min="49" max="49" width="14.7265625" style="8" bestFit="1" customWidth="1"/>
    <col min="50" max="50" width="12.453125" bestFit="1" customWidth="1"/>
    <col min="51" max="51" width="17.453125" bestFit="1" customWidth="1"/>
    <col min="52" max="52" width="27.54296875" bestFit="1" customWidth="1"/>
    <col min="53" max="53" width="19.81640625" bestFit="1" customWidth="1"/>
    <col min="54" max="54" width="19.26953125" customWidth="1"/>
  </cols>
  <sheetData>
    <row r="1" spans="1:49" x14ac:dyDescent="0.35">
      <c r="A1" t="s">
        <v>92</v>
      </c>
      <c r="B1" t="s">
        <v>90</v>
      </c>
      <c r="C1" t="s">
        <v>227</v>
      </c>
      <c r="D1" t="s">
        <v>228</v>
      </c>
      <c r="E1" t="s">
        <v>229</v>
      </c>
      <c r="F1" t="s">
        <v>230</v>
      </c>
      <c r="G1" t="s">
        <v>231</v>
      </c>
      <c r="H1" t="s">
        <v>232</v>
      </c>
      <c r="I1" t="s">
        <v>89</v>
      </c>
      <c r="J1" t="s">
        <v>7</v>
      </c>
      <c r="K1" t="s">
        <v>217</v>
      </c>
      <c r="L1" t="s">
        <v>8</v>
      </c>
      <c r="M1" t="s">
        <v>9</v>
      </c>
      <c r="N1" t="s">
        <v>218</v>
      </c>
      <c r="O1" t="s">
        <v>219</v>
      </c>
      <c r="P1" t="s">
        <v>10</v>
      </c>
      <c r="Q1" t="s">
        <v>11</v>
      </c>
      <c r="R1" s="42" t="s">
        <v>12</v>
      </c>
      <c r="S1" s="41" t="s">
        <v>13</v>
      </c>
      <c r="T1" t="s">
        <v>212</v>
      </c>
      <c r="U1" t="s">
        <v>107</v>
      </c>
      <c r="V1" t="s">
        <v>220</v>
      </c>
      <c r="W1" t="s">
        <v>221</v>
      </c>
      <c r="X1" t="s">
        <v>222</v>
      </c>
      <c r="Y1" t="s">
        <v>223</v>
      </c>
      <c r="Z1" t="s">
        <v>215</v>
      </c>
      <c r="AA1" t="s">
        <v>110</v>
      </c>
      <c r="AB1" t="s">
        <v>216</v>
      </c>
      <c r="AC1" t="s">
        <v>224</v>
      </c>
      <c r="AD1" s="8" t="s">
        <v>111</v>
      </c>
      <c r="AV1"/>
      <c r="AW1"/>
    </row>
    <row r="2" spans="1:49" x14ac:dyDescent="0.35">
      <c r="A2" s="47" t="s">
        <v>233</v>
      </c>
      <c r="B2" t="s">
        <v>234</v>
      </c>
      <c r="C2" s="48">
        <v>1</v>
      </c>
      <c r="D2" s="48">
        <v>1</v>
      </c>
      <c r="E2" s="48">
        <v>37284.543325526916</v>
      </c>
      <c r="F2" s="48">
        <v>14.660000000000004</v>
      </c>
      <c r="G2" s="48">
        <v>32</v>
      </c>
      <c r="H2" s="46">
        <v>27328</v>
      </c>
      <c r="I2">
        <v>0</v>
      </c>
      <c r="J2">
        <v>854</v>
      </c>
      <c r="K2" s="48">
        <v>42</v>
      </c>
      <c r="L2">
        <v>21</v>
      </c>
      <c r="M2">
        <v>72</v>
      </c>
      <c r="N2" s="42">
        <v>6</v>
      </c>
      <c r="O2">
        <v>616</v>
      </c>
      <c r="P2" s="20">
        <v>31.84</v>
      </c>
      <c r="Q2">
        <v>8</v>
      </c>
      <c r="R2" s="42">
        <v>0</v>
      </c>
      <c r="S2" s="41">
        <v>6.4453441295546504E-2</v>
      </c>
      <c r="T2" s="20">
        <v>12519.640000000003</v>
      </c>
      <c r="U2" s="4">
        <v>15</v>
      </c>
      <c r="V2" s="39">
        <v>3638.2678542510089</v>
      </c>
      <c r="W2" s="39">
        <v>0.13313333775801409</v>
      </c>
      <c r="X2" s="39">
        <v>926.07896842105185</v>
      </c>
      <c r="Y2" s="39">
        <v>3.3887550073955351E-2</v>
      </c>
      <c r="Z2" s="42">
        <v>584.95163874392028</v>
      </c>
      <c r="AA2" s="39">
        <v>2.1404846265512305E-2</v>
      </c>
      <c r="AB2" s="42">
        <v>5149.2984614159814</v>
      </c>
      <c r="AC2" s="42">
        <v>0.18842573409748176</v>
      </c>
      <c r="AD2" s="8"/>
      <c r="AV2"/>
      <c r="AW2"/>
    </row>
    <row r="3" spans="1:49" x14ac:dyDescent="0.35">
      <c r="A3" s="47" t="s">
        <v>233</v>
      </c>
      <c r="B3" t="s">
        <v>235</v>
      </c>
      <c r="C3" s="48">
        <v>1</v>
      </c>
      <c r="D3" s="48">
        <v>1</v>
      </c>
      <c r="E3" s="48">
        <v>36000</v>
      </c>
      <c r="F3" s="48">
        <v>14.56</v>
      </c>
      <c r="G3" s="48">
        <v>32</v>
      </c>
      <c r="H3" s="46">
        <v>8</v>
      </c>
      <c r="J3">
        <v>1</v>
      </c>
      <c r="K3" s="48">
        <v>44</v>
      </c>
      <c r="L3">
        <v>1</v>
      </c>
      <c r="M3">
        <v>1</v>
      </c>
      <c r="N3" s="42">
        <v>1</v>
      </c>
      <c r="O3">
        <v>641</v>
      </c>
      <c r="P3" s="20">
        <v>0.04</v>
      </c>
      <c r="Q3">
        <v>8</v>
      </c>
      <c r="R3" s="42"/>
      <c r="S3" s="41">
        <v>8.0971659919028299E-5</v>
      </c>
      <c r="T3" s="20">
        <v>14.56</v>
      </c>
      <c r="U3" s="4">
        <v>15</v>
      </c>
      <c r="V3" s="39">
        <v>4.5706882591093096</v>
      </c>
      <c r="W3" s="39">
        <v>0.57133603238866371</v>
      </c>
      <c r="X3" s="39">
        <v>1.1634157894736836</v>
      </c>
      <c r="Y3" s="39">
        <v>0.14542697368421045</v>
      </c>
      <c r="Z3" s="42">
        <v>0.73486386776874435</v>
      </c>
      <c r="AA3" s="39">
        <v>9.1857983471093044E-2</v>
      </c>
      <c r="AB3" s="42">
        <v>6.4689679163517377</v>
      </c>
      <c r="AC3" s="42">
        <v>0.80862098954396722</v>
      </c>
      <c r="AD3" s="8"/>
      <c r="AV3"/>
      <c r="AW3"/>
    </row>
    <row r="4" spans="1:49" x14ac:dyDescent="0.35">
      <c r="A4" s="47" t="s">
        <v>233</v>
      </c>
      <c r="B4" t="s">
        <v>236</v>
      </c>
      <c r="C4" s="48">
        <v>1</v>
      </c>
      <c r="D4" s="48">
        <v>1</v>
      </c>
      <c r="E4" s="48">
        <v>37285.343228200363</v>
      </c>
      <c r="F4" s="48">
        <v>14.559999999999999</v>
      </c>
      <c r="G4" s="48">
        <v>32</v>
      </c>
      <c r="H4" s="46">
        <v>21560</v>
      </c>
      <c r="J4">
        <v>674</v>
      </c>
      <c r="K4" s="48">
        <v>42</v>
      </c>
      <c r="L4">
        <v>17</v>
      </c>
      <c r="M4">
        <v>57</v>
      </c>
      <c r="N4" s="42">
        <v>5</v>
      </c>
      <c r="O4">
        <v>612</v>
      </c>
      <c r="P4" s="20">
        <v>25.13</v>
      </c>
      <c r="Q4">
        <v>8</v>
      </c>
      <c r="R4" s="42"/>
      <c r="S4" s="41">
        <v>5.0870445344129503E-2</v>
      </c>
      <c r="T4" s="20">
        <v>9813.4399999999987</v>
      </c>
      <c r="U4" s="4">
        <v>15</v>
      </c>
      <c r="V4" s="39">
        <v>2871.5348987854222</v>
      </c>
      <c r="W4" s="39">
        <v>0.1331880750828118</v>
      </c>
      <c r="X4" s="39">
        <v>730.91596973684136</v>
      </c>
      <c r="Y4" s="39">
        <v>3.3901482826384111E-2</v>
      </c>
      <c r="Z4" s="42">
        <v>461.67822492571344</v>
      </c>
      <c r="AA4" s="39">
        <v>2.1413646796183371E-2</v>
      </c>
      <c r="AB4" s="42">
        <v>4064.1290934479771</v>
      </c>
      <c r="AC4" s="42">
        <v>0.18850320470537929</v>
      </c>
      <c r="AD4" s="8"/>
      <c r="AF4" s="39"/>
      <c r="AG4" s="39"/>
      <c r="AH4" s="39"/>
      <c r="AI4" s="39"/>
      <c r="AJ4" s="39"/>
      <c r="AK4" s="39"/>
      <c r="AL4" s="39"/>
      <c r="AM4" s="39"/>
      <c r="AN4" s="39"/>
      <c r="AV4"/>
      <c r="AW4"/>
    </row>
    <row r="5" spans="1:49" x14ac:dyDescent="0.35">
      <c r="A5" s="47" t="s">
        <v>233</v>
      </c>
      <c r="B5" t="s">
        <v>237</v>
      </c>
      <c r="C5" s="48">
        <v>1</v>
      </c>
      <c r="D5" s="48">
        <v>1</v>
      </c>
      <c r="E5" s="48">
        <v>37285.509325681494</v>
      </c>
      <c r="F5" s="48">
        <v>14.559999999999999</v>
      </c>
      <c r="G5" s="48">
        <v>32</v>
      </c>
      <c r="H5" s="46">
        <v>44608</v>
      </c>
      <c r="J5">
        <v>1394</v>
      </c>
      <c r="K5" s="48">
        <v>42</v>
      </c>
      <c r="L5">
        <v>34</v>
      </c>
      <c r="M5">
        <v>117</v>
      </c>
      <c r="N5" s="42">
        <v>9</v>
      </c>
      <c r="O5">
        <v>612</v>
      </c>
      <c r="P5" s="20">
        <v>51.98</v>
      </c>
      <c r="Q5">
        <v>8</v>
      </c>
      <c r="R5" s="42"/>
      <c r="S5" s="41">
        <v>0.10522267206477701</v>
      </c>
      <c r="T5" s="20">
        <v>20296.64</v>
      </c>
      <c r="U5" s="4">
        <v>15</v>
      </c>
      <c r="V5" s="39">
        <v>5939.6093927125321</v>
      </c>
      <c r="W5" s="39">
        <v>0.13315121486532758</v>
      </c>
      <c r="X5" s="39">
        <v>1511.858818421048</v>
      </c>
      <c r="Y5" s="39">
        <v>3.3892100484689922E-2</v>
      </c>
      <c r="Z5" s="42">
        <v>954.95559616548087</v>
      </c>
      <c r="AA5" s="39">
        <v>2.1407720502274949E-2</v>
      </c>
      <c r="AB5" s="42">
        <v>8406.4238072990611</v>
      </c>
      <c r="AC5" s="42">
        <v>0.18845103585229245</v>
      </c>
      <c r="AD5" s="8"/>
      <c r="AF5" s="39"/>
      <c r="AG5" s="39"/>
      <c r="AH5" s="39"/>
      <c r="AI5" s="39"/>
      <c r="AJ5" s="39"/>
      <c r="AK5" s="39"/>
      <c r="AL5" s="39"/>
      <c r="AM5" s="39"/>
      <c r="AN5" s="39"/>
      <c r="AV5"/>
      <c r="AW5"/>
    </row>
    <row r="6" spans="1:49" x14ac:dyDescent="0.35">
      <c r="A6" s="47" t="s">
        <v>233</v>
      </c>
      <c r="B6" t="s">
        <v>238</v>
      </c>
      <c r="C6" s="48">
        <v>1</v>
      </c>
      <c r="D6" s="48">
        <v>1</v>
      </c>
      <c r="E6" s="48">
        <v>37285.930408472021</v>
      </c>
      <c r="F6" s="48">
        <v>14.659999999999998</v>
      </c>
      <c r="G6" s="48">
        <v>32</v>
      </c>
      <c r="H6" s="46">
        <v>42304</v>
      </c>
      <c r="J6">
        <v>1322</v>
      </c>
      <c r="K6" s="48">
        <v>42</v>
      </c>
      <c r="L6">
        <v>32</v>
      </c>
      <c r="M6">
        <v>111</v>
      </c>
      <c r="N6" s="42">
        <v>8</v>
      </c>
      <c r="O6">
        <v>616</v>
      </c>
      <c r="P6" s="20">
        <v>49.29</v>
      </c>
      <c r="Q6">
        <v>8</v>
      </c>
      <c r="R6" s="42"/>
      <c r="S6" s="41">
        <v>9.9777327935222607E-2</v>
      </c>
      <c r="T6" s="20">
        <v>19380.519999999997</v>
      </c>
      <c r="U6" s="4">
        <v>15</v>
      </c>
      <c r="V6" s="39">
        <v>5632.2306072874453</v>
      </c>
      <c r="W6" s="39">
        <v>0.13313706995289915</v>
      </c>
      <c r="X6" s="39">
        <v>1433.6191065789465</v>
      </c>
      <c r="Y6" s="39">
        <v>3.3888500060962237E-2</v>
      </c>
      <c r="Z6" s="42">
        <v>905.53600105803514</v>
      </c>
      <c r="AA6" s="39">
        <v>2.1405446318504991E-2</v>
      </c>
      <c r="AB6" s="42">
        <v>7971.3857149244268</v>
      </c>
      <c r="AC6" s="42">
        <v>0.18843101633236636</v>
      </c>
      <c r="AD6" s="8"/>
      <c r="AF6" s="39"/>
      <c r="AG6" s="39"/>
      <c r="AH6" s="39"/>
      <c r="AI6" s="39"/>
      <c r="AJ6" s="39"/>
      <c r="AK6" s="39"/>
      <c r="AL6" s="39"/>
      <c r="AM6" s="39"/>
      <c r="AN6" s="39"/>
      <c r="AV6"/>
      <c r="AW6"/>
    </row>
    <row r="7" spans="1:49" x14ac:dyDescent="0.35">
      <c r="A7" s="47" t="s">
        <v>233</v>
      </c>
      <c r="B7" t="s">
        <v>239</v>
      </c>
      <c r="C7" s="48">
        <v>1</v>
      </c>
      <c r="D7" s="48">
        <v>1</v>
      </c>
      <c r="E7" s="48">
        <v>37281.899109792277</v>
      </c>
      <c r="F7" s="48">
        <v>14.690000000000001</v>
      </c>
      <c r="G7" s="48">
        <v>32</v>
      </c>
      <c r="H7" s="46">
        <v>21568</v>
      </c>
      <c r="J7">
        <v>674</v>
      </c>
      <c r="K7" s="48">
        <v>42</v>
      </c>
      <c r="L7">
        <v>17</v>
      </c>
      <c r="M7">
        <v>57</v>
      </c>
      <c r="N7" s="42">
        <v>5</v>
      </c>
      <c r="O7">
        <v>617</v>
      </c>
      <c r="P7" s="20">
        <v>25.13</v>
      </c>
      <c r="Q7">
        <v>8</v>
      </c>
      <c r="R7" s="42"/>
      <c r="S7" s="41">
        <v>5.0870445344129503E-2</v>
      </c>
      <c r="T7" s="20">
        <v>9901.0600000000013</v>
      </c>
      <c r="U7" s="4">
        <v>15</v>
      </c>
      <c r="V7" s="39">
        <v>2871.5348987854222</v>
      </c>
      <c r="W7" s="39">
        <v>0.13313867297781076</v>
      </c>
      <c r="X7" s="39">
        <v>730.91596973684136</v>
      </c>
      <c r="Y7" s="39">
        <v>3.3888908092398057E-2</v>
      </c>
      <c r="Z7" s="42">
        <v>461.67822492571344</v>
      </c>
      <c r="AA7" s="39">
        <v>2.1405704048855407E-2</v>
      </c>
      <c r="AB7" s="42">
        <v>4064.1290934479771</v>
      </c>
      <c r="AC7" s="42">
        <v>0.18843328511906421</v>
      </c>
      <c r="AD7" s="8"/>
      <c r="AF7" s="39"/>
      <c r="AG7" s="39"/>
      <c r="AH7" s="39"/>
      <c r="AI7" s="39"/>
      <c r="AJ7" s="39"/>
      <c r="AK7" s="39"/>
      <c r="AL7" s="39"/>
      <c r="AM7" s="39"/>
      <c r="AN7" s="39"/>
      <c r="AV7"/>
      <c r="AW7"/>
    </row>
    <row r="8" spans="1:49" x14ac:dyDescent="0.35">
      <c r="A8" s="47" t="s">
        <v>233</v>
      </c>
      <c r="B8" t="s">
        <v>240</v>
      </c>
      <c r="C8" s="48">
        <v>1</v>
      </c>
      <c r="D8" s="48">
        <v>1</v>
      </c>
      <c r="E8" s="48">
        <v>37282.841823056282</v>
      </c>
      <c r="F8" s="48">
        <v>14.200000000000003</v>
      </c>
      <c r="G8" s="48">
        <v>32</v>
      </c>
      <c r="H8" s="46">
        <v>23872</v>
      </c>
      <c r="J8">
        <v>746</v>
      </c>
      <c r="K8" s="48">
        <v>42</v>
      </c>
      <c r="L8">
        <v>18</v>
      </c>
      <c r="M8">
        <v>63</v>
      </c>
      <c r="N8" s="42">
        <v>5</v>
      </c>
      <c r="O8">
        <v>597</v>
      </c>
      <c r="P8" s="20">
        <v>27.81</v>
      </c>
      <c r="Q8">
        <v>8</v>
      </c>
      <c r="R8" s="42"/>
      <c r="S8" s="41">
        <v>5.6295546558704397E-2</v>
      </c>
      <c r="T8" s="20">
        <v>10593.200000000003</v>
      </c>
      <c r="U8" s="4">
        <v>15</v>
      </c>
      <c r="V8" s="39">
        <v>3177.7710121457458</v>
      </c>
      <c r="W8" s="39">
        <v>0.13311708328358521</v>
      </c>
      <c r="X8" s="39">
        <v>808.86482763157812</v>
      </c>
      <c r="Y8" s="39">
        <v>3.3883412685639165E-2</v>
      </c>
      <c r="Z8" s="42">
        <v>510.91410406621929</v>
      </c>
      <c r="AA8" s="39">
        <v>2.1402232911621116E-2</v>
      </c>
      <c r="AB8" s="42">
        <v>4497.5499438435436</v>
      </c>
      <c r="AC8" s="42">
        <v>0.18840272888084547</v>
      </c>
      <c r="AD8" s="8"/>
      <c r="AF8" s="39"/>
      <c r="AG8" s="39"/>
      <c r="AH8" s="39"/>
      <c r="AI8" s="39"/>
      <c r="AJ8" s="39"/>
      <c r="AK8" s="39"/>
      <c r="AL8" s="39"/>
      <c r="AM8" s="39"/>
      <c r="AN8" s="39"/>
      <c r="AV8"/>
      <c r="AW8"/>
    </row>
    <row r="9" spans="1:49" x14ac:dyDescent="0.35">
      <c r="A9" s="47" t="s">
        <v>233</v>
      </c>
      <c r="B9" t="s">
        <v>241</v>
      </c>
      <c r="C9" s="48">
        <v>1</v>
      </c>
      <c r="D9" s="48">
        <v>1</v>
      </c>
      <c r="E9" s="48">
        <v>37284.053156146168</v>
      </c>
      <c r="F9" s="48">
        <v>14.14</v>
      </c>
      <c r="G9" s="48">
        <v>32</v>
      </c>
      <c r="H9" s="46">
        <v>19264</v>
      </c>
      <c r="J9">
        <v>602</v>
      </c>
      <c r="K9" s="48">
        <v>42</v>
      </c>
      <c r="L9">
        <v>15</v>
      </c>
      <c r="M9">
        <v>51</v>
      </c>
      <c r="N9" s="42">
        <v>4</v>
      </c>
      <c r="O9">
        <v>594</v>
      </c>
      <c r="P9" s="20">
        <v>22.44</v>
      </c>
      <c r="Q9">
        <v>8</v>
      </c>
      <c r="R9" s="42"/>
      <c r="S9" s="41">
        <v>4.5425101214574902E-2</v>
      </c>
      <c r="T9" s="20">
        <v>8512.2800000000007</v>
      </c>
      <c r="U9" s="4">
        <v>15</v>
      </c>
      <c r="V9" s="39">
        <v>2564.1561133603241</v>
      </c>
      <c r="W9" s="39">
        <v>0.1331061105357311</v>
      </c>
      <c r="X9" s="39">
        <v>652.67625789473686</v>
      </c>
      <c r="Y9" s="39">
        <v>3.3880619699685262E-2</v>
      </c>
      <c r="Z9" s="42">
        <v>412.25862981826583</v>
      </c>
      <c r="AA9" s="39">
        <v>2.1400468740566125E-2</v>
      </c>
      <c r="AB9" s="42">
        <v>3629.0910010733269</v>
      </c>
      <c r="AC9" s="42">
        <v>0.18838719897598249</v>
      </c>
      <c r="AD9" s="8"/>
      <c r="AF9" s="39"/>
      <c r="AG9" s="39"/>
      <c r="AH9" s="39"/>
      <c r="AI9" s="39"/>
      <c r="AJ9" s="39"/>
      <c r="AK9" s="39"/>
      <c r="AL9" s="39"/>
      <c r="AM9" s="39"/>
      <c r="AN9" s="39"/>
      <c r="AV9"/>
      <c r="AW9"/>
    </row>
    <row r="10" spans="1:49" x14ac:dyDescent="0.35">
      <c r="A10" s="47" t="s">
        <v>233</v>
      </c>
      <c r="B10" t="s">
        <v>242</v>
      </c>
      <c r="C10" s="48">
        <v>1</v>
      </c>
      <c r="D10" s="48">
        <v>1</v>
      </c>
      <c r="E10" s="48">
        <v>40000</v>
      </c>
      <c r="F10" s="48">
        <v>14.2</v>
      </c>
      <c r="G10" s="48">
        <v>32</v>
      </c>
      <c r="H10" s="46">
        <v>4</v>
      </c>
      <c r="J10">
        <v>1</v>
      </c>
      <c r="K10" s="48">
        <v>39</v>
      </c>
      <c r="L10">
        <v>1</v>
      </c>
      <c r="M10">
        <v>1</v>
      </c>
      <c r="N10" s="42">
        <v>1</v>
      </c>
      <c r="O10">
        <v>554</v>
      </c>
      <c r="P10" s="20">
        <v>0.04</v>
      </c>
      <c r="Q10">
        <v>8</v>
      </c>
      <c r="R10" s="42"/>
      <c r="S10" s="41">
        <v>8.0971659919028299E-5</v>
      </c>
      <c r="T10" s="20">
        <v>14.2</v>
      </c>
      <c r="U10" s="4">
        <v>15</v>
      </c>
      <c r="V10" s="39">
        <v>4.5706882591093096</v>
      </c>
      <c r="W10" s="39">
        <v>1.1426720647773274</v>
      </c>
      <c r="X10" s="39">
        <v>1.1634157894736836</v>
      </c>
      <c r="Y10" s="39">
        <v>0.29085394736842091</v>
      </c>
      <c r="Z10" s="42">
        <v>0.73486386776874435</v>
      </c>
      <c r="AA10" s="39">
        <v>0.18371596694218609</v>
      </c>
      <c r="AB10" s="42">
        <v>6.4689679163517377</v>
      </c>
      <c r="AC10" s="42">
        <v>1.6172419790879344</v>
      </c>
      <c r="AD10" s="8"/>
      <c r="AF10" s="39"/>
      <c r="AG10" s="39"/>
      <c r="AH10" s="39"/>
      <c r="AI10" s="39"/>
      <c r="AJ10" s="39"/>
      <c r="AK10" s="39"/>
      <c r="AL10" s="39"/>
      <c r="AM10" s="39"/>
      <c r="AN10" s="39"/>
      <c r="AO10" s="39"/>
      <c r="AP10" s="39"/>
      <c r="AV10"/>
      <c r="AW10"/>
    </row>
    <row r="11" spans="1:49" x14ac:dyDescent="0.35">
      <c r="A11" s="47" t="s">
        <v>233</v>
      </c>
      <c r="B11" t="s">
        <v>243</v>
      </c>
      <c r="C11" s="48">
        <v>1</v>
      </c>
      <c r="D11" s="48">
        <v>1</v>
      </c>
      <c r="E11" s="48">
        <v>37285.776728735029</v>
      </c>
      <c r="F11" s="48">
        <v>14.200000000000001</v>
      </c>
      <c r="G11" s="48">
        <v>32</v>
      </c>
      <c r="H11" s="46">
        <v>45756</v>
      </c>
      <c r="J11">
        <v>1430</v>
      </c>
      <c r="K11" s="48">
        <v>42</v>
      </c>
      <c r="L11">
        <v>35</v>
      </c>
      <c r="M11">
        <v>120</v>
      </c>
      <c r="N11" s="42">
        <v>9</v>
      </c>
      <c r="O11">
        <v>597</v>
      </c>
      <c r="P11" s="20">
        <v>53.32</v>
      </c>
      <c r="Q11">
        <v>8</v>
      </c>
      <c r="R11" s="42"/>
      <c r="S11" s="41">
        <v>0.107935222672065</v>
      </c>
      <c r="T11" s="20">
        <v>20306</v>
      </c>
      <c r="U11" s="4">
        <v>15</v>
      </c>
      <c r="V11" s="39">
        <v>6092.7274493927252</v>
      </c>
      <c r="W11" s="39">
        <v>0.13315690727757507</v>
      </c>
      <c r="X11" s="39">
        <v>1550.8332473684243</v>
      </c>
      <c r="Y11" s="39">
        <v>3.3893549422336397E-2</v>
      </c>
      <c r="Z11" s="42">
        <v>979.5735357357388</v>
      </c>
      <c r="AA11" s="39">
        <v>2.1408635714130143E-2</v>
      </c>
      <c r="AB11" s="42">
        <v>8623.1342324968882</v>
      </c>
      <c r="AC11" s="42">
        <v>0.1884590924140416</v>
      </c>
      <c r="AD11" s="8"/>
      <c r="AF11" s="39"/>
      <c r="AG11" s="39"/>
      <c r="AH11" s="39"/>
      <c r="AI11" s="39"/>
      <c r="AJ11" s="39"/>
      <c r="AK11" s="39"/>
      <c r="AL11" s="39"/>
      <c r="AM11" s="39"/>
      <c r="AN11" s="39"/>
      <c r="AO11" s="39"/>
      <c r="AP11" s="39"/>
      <c r="AV11"/>
      <c r="AW11"/>
    </row>
    <row r="12" spans="1:49" x14ac:dyDescent="0.35">
      <c r="A12" s="47" t="s">
        <v>233</v>
      </c>
      <c r="B12" t="s">
        <v>244</v>
      </c>
      <c r="C12" s="48">
        <v>1</v>
      </c>
      <c r="D12" s="48">
        <v>1</v>
      </c>
      <c r="E12" s="48">
        <v>37285.509325681494</v>
      </c>
      <c r="F12" s="48">
        <v>14.200000000000005</v>
      </c>
      <c r="G12" s="48">
        <v>32</v>
      </c>
      <c r="H12" s="46">
        <v>44608</v>
      </c>
      <c r="J12">
        <v>1394</v>
      </c>
      <c r="K12" s="48">
        <v>42</v>
      </c>
      <c r="L12">
        <v>34</v>
      </c>
      <c r="M12">
        <v>117</v>
      </c>
      <c r="N12" s="42">
        <v>9</v>
      </c>
      <c r="O12">
        <v>597</v>
      </c>
      <c r="P12" s="20">
        <v>51.98</v>
      </c>
      <c r="Q12">
        <v>8</v>
      </c>
      <c r="R12" s="42"/>
      <c r="S12" s="41">
        <v>0.10522267206477701</v>
      </c>
      <c r="T12" s="20">
        <v>19794.800000000007</v>
      </c>
      <c r="U12" s="4">
        <v>15</v>
      </c>
      <c r="V12" s="39">
        <v>5939.6093927125321</v>
      </c>
      <c r="W12" s="39">
        <v>0.13315121486532758</v>
      </c>
      <c r="X12" s="39">
        <v>1511.858818421048</v>
      </c>
      <c r="Y12" s="39">
        <v>3.3892100484689922E-2</v>
      </c>
      <c r="Z12" s="42">
        <v>954.95559616548087</v>
      </c>
      <c r="AA12" s="39">
        <v>2.1407720502274949E-2</v>
      </c>
      <c r="AB12" s="42">
        <v>8406.4238072990611</v>
      </c>
      <c r="AC12" s="42">
        <v>0.18845103585229245</v>
      </c>
      <c r="AD12" s="8"/>
      <c r="AF12" s="39"/>
      <c r="AG12" s="39"/>
      <c r="AH12" s="39"/>
      <c r="AI12" s="39"/>
      <c r="AJ12" s="39"/>
      <c r="AK12" s="39"/>
      <c r="AL12" s="39"/>
      <c r="AM12" s="39"/>
      <c r="AN12" s="39"/>
      <c r="AO12" s="39"/>
      <c r="AP12" s="39"/>
      <c r="AV12"/>
      <c r="AW12"/>
    </row>
    <row r="13" spans="1:49" x14ac:dyDescent="0.35">
      <c r="A13" s="47" t="s">
        <v>233</v>
      </c>
      <c r="B13" t="s">
        <v>245</v>
      </c>
      <c r="C13" s="48">
        <v>1</v>
      </c>
      <c r="D13" s="48">
        <v>1</v>
      </c>
      <c r="E13" s="48">
        <v>37281.690140845058</v>
      </c>
      <c r="F13" s="48">
        <v>14.200000000000003</v>
      </c>
      <c r="G13" s="48">
        <v>32</v>
      </c>
      <c r="H13" s="46">
        <v>22720</v>
      </c>
      <c r="J13">
        <v>710</v>
      </c>
      <c r="K13" s="48">
        <v>42</v>
      </c>
      <c r="L13">
        <v>17</v>
      </c>
      <c r="M13">
        <v>60</v>
      </c>
      <c r="N13" s="42">
        <v>5</v>
      </c>
      <c r="O13">
        <v>597</v>
      </c>
      <c r="P13" s="20">
        <v>26.47</v>
      </c>
      <c r="Q13">
        <v>8</v>
      </c>
      <c r="R13" s="42"/>
      <c r="S13" s="41">
        <v>5.3582995951417002E-2</v>
      </c>
      <c r="T13" s="20">
        <v>10082.000000000002</v>
      </c>
      <c r="U13" s="4">
        <v>15</v>
      </c>
      <c r="V13" s="39">
        <v>3024.6529554655867</v>
      </c>
      <c r="W13" s="39">
        <v>0.13312733078633746</v>
      </c>
      <c r="X13" s="39">
        <v>769.89039868421048</v>
      </c>
      <c r="Y13" s="39">
        <v>3.3886021068847291E-2</v>
      </c>
      <c r="Z13" s="42">
        <v>486.29616449596682</v>
      </c>
      <c r="AA13" s="39">
        <v>2.1403880479576004E-2</v>
      </c>
      <c r="AB13" s="42">
        <v>4280.8395186457637</v>
      </c>
      <c r="AC13" s="42">
        <v>0.18841723233476076</v>
      </c>
      <c r="AD13" s="8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V13"/>
      <c r="AW13"/>
    </row>
    <row r="14" spans="1:49" x14ac:dyDescent="0.35">
      <c r="A14" s="47" t="s">
        <v>246</v>
      </c>
      <c r="B14" t="s">
        <v>247</v>
      </c>
      <c r="C14" s="48">
        <v>1</v>
      </c>
      <c r="D14" s="48">
        <v>1</v>
      </c>
      <c r="E14" s="48">
        <v>49556.701030927827</v>
      </c>
      <c r="F14" s="48">
        <v>15.21</v>
      </c>
      <c r="G14" s="48">
        <v>84</v>
      </c>
      <c r="H14" s="46">
        <v>8148</v>
      </c>
      <c r="J14">
        <v>97</v>
      </c>
      <c r="K14" s="48">
        <v>32</v>
      </c>
      <c r="L14">
        <v>4</v>
      </c>
      <c r="M14">
        <v>9</v>
      </c>
      <c r="N14" s="42">
        <v>1</v>
      </c>
      <c r="O14">
        <v>487</v>
      </c>
      <c r="P14" s="20">
        <v>4.8099999999999996</v>
      </c>
      <c r="Q14">
        <v>8</v>
      </c>
      <c r="R14" s="42"/>
      <c r="S14" s="41">
        <v>9.7368421052631497E-3</v>
      </c>
      <c r="T14" s="20">
        <v>1475.3700000000001</v>
      </c>
      <c r="U14" s="4">
        <v>15</v>
      </c>
      <c r="V14" s="39">
        <v>549.62526315789432</v>
      </c>
      <c r="W14" s="39">
        <v>6.7455236028214821E-2</v>
      </c>
      <c r="X14" s="39">
        <v>139.90074868421041</v>
      </c>
      <c r="Y14" s="39">
        <v>1.7169949519417086E-2</v>
      </c>
      <c r="Z14" s="42">
        <v>88.367380099191479</v>
      </c>
      <c r="AA14" s="39">
        <v>1.0845284744623401E-2</v>
      </c>
      <c r="AB14" s="42">
        <v>777.89339194129616</v>
      </c>
      <c r="AC14" s="42">
        <v>9.5470470292255305E-2</v>
      </c>
      <c r="AD14" s="8"/>
      <c r="AF14" s="39"/>
      <c r="AG14" s="39"/>
      <c r="AH14" s="39"/>
      <c r="AI14" s="39"/>
      <c r="AJ14" s="39"/>
      <c r="AK14" s="39"/>
      <c r="AL14" s="39"/>
      <c r="AM14" s="39"/>
      <c r="AN14" s="39"/>
      <c r="AO14" s="39"/>
      <c r="AP14" s="39"/>
      <c r="AV14"/>
      <c r="AW14"/>
    </row>
    <row r="15" spans="1:49" x14ac:dyDescent="0.35">
      <c r="A15" s="47" t="s">
        <v>246</v>
      </c>
      <c r="B15" t="s">
        <v>248</v>
      </c>
      <c r="C15" s="48">
        <v>1</v>
      </c>
      <c r="D15" s="48">
        <v>1</v>
      </c>
      <c r="E15" s="48">
        <v>49560</v>
      </c>
      <c r="F15" s="48">
        <v>15.21</v>
      </c>
      <c r="G15" s="48">
        <v>84</v>
      </c>
      <c r="H15" s="46">
        <v>2100</v>
      </c>
      <c r="J15">
        <v>25</v>
      </c>
      <c r="K15" s="48">
        <v>32</v>
      </c>
      <c r="L15">
        <v>1</v>
      </c>
      <c r="M15">
        <v>3</v>
      </c>
      <c r="N15" s="42">
        <v>1</v>
      </c>
      <c r="O15">
        <v>487</v>
      </c>
      <c r="P15" s="20">
        <v>1.24</v>
      </c>
      <c r="Q15">
        <v>8</v>
      </c>
      <c r="R15" s="42"/>
      <c r="S15" s="41">
        <v>2.5101214574898799E-3</v>
      </c>
      <c r="T15" s="20">
        <v>380.25</v>
      </c>
      <c r="U15" s="4">
        <v>15</v>
      </c>
      <c r="V15" s="39">
        <v>141.69133603238873</v>
      </c>
      <c r="W15" s="39">
        <v>6.7472064777327964E-2</v>
      </c>
      <c r="X15" s="39">
        <v>36.06588947368423</v>
      </c>
      <c r="Y15" s="39">
        <v>1.7174233082706776E-2</v>
      </c>
      <c r="Z15" s="42">
        <v>22.780779900831099</v>
      </c>
      <c r="AA15" s="39">
        <v>1.084799042896719E-2</v>
      </c>
      <c r="AB15" s="42">
        <v>200.53800540690406</v>
      </c>
      <c r="AC15" s="42">
        <v>9.549428828900193E-2</v>
      </c>
      <c r="AD15" s="8"/>
      <c r="AF15" s="39"/>
      <c r="AG15" s="39"/>
      <c r="AH15" s="39"/>
      <c r="AI15" s="39"/>
      <c r="AJ15" s="39"/>
      <c r="AK15" s="39"/>
      <c r="AL15" s="39"/>
      <c r="AM15" s="39"/>
      <c r="AN15" s="39"/>
      <c r="AO15" s="39"/>
      <c r="AP15" s="39"/>
      <c r="AV15"/>
      <c r="AW15"/>
    </row>
    <row r="16" spans="1:49" x14ac:dyDescent="0.35">
      <c r="A16" s="47" t="s">
        <v>246</v>
      </c>
      <c r="B16" t="s">
        <v>249</v>
      </c>
      <c r="C16" s="48">
        <v>1</v>
      </c>
      <c r="D16" s="48">
        <v>1</v>
      </c>
      <c r="E16" s="48">
        <v>49556.701030927827</v>
      </c>
      <c r="F16" s="48">
        <v>15.21</v>
      </c>
      <c r="G16" s="48">
        <v>84</v>
      </c>
      <c r="H16" s="46">
        <v>8148</v>
      </c>
      <c r="J16">
        <v>97</v>
      </c>
      <c r="K16" s="48">
        <v>32</v>
      </c>
      <c r="L16">
        <v>4</v>
      </c>
      <c r="M16">
        <v>9</v>
      </c>
      <c r="N16" s="42">
        <v>1</v>
      </c>
      <c r="O16">
        <v>487</v>
      </c>
      <c r="P16" s="20">
        <v>4.8099999999999996</v>
      </c>
      <c r="Q16">
        <v>8</v>
      </c>
      <c r="R16" s="42"/>
      <c r="S16" s="41">
        <v>9.7368421052631497E-3</v>
      </c>
      <c r="T16" s="20">
        <v>1475.3700000000001</v>
      </c>
      <c r="U16" s="4">
        <v>15</v>
      </c>
      <c r="V16" s="39">
        <v>549.62526315789432</v>
      </c>
      <c r="W16" s="39">
        <v>6.7455236028214821E-2</v>
      </c>
      <c r="X16" s="39">
        <v>139.90074868421041</v>
      </c>
      <c r="Y16" s="39">
        <v>1.7169949519417086E-2</v>
      </c>
      <c r="Z16" s="42">
        <v>88.367380099191479</v>
      </c>
      <c r="AA16" s="39">
        <v>1.0845284744623401E-2</v>
      </c>
      <c r="AB16" s="42">
        <v>777.89339194129616</v>
      </c>
      <c r="AC16" s="42">
        <v>9.5470470292255305E-2</v>
      </c>
      <c r="AD16" s="8"/>
      <c r="AF16" s="39"/>
      <c r="AG16" s="39"/>
      <c r="AH16" s="39"/>
      <c r="AI16" s="39"/>
      <c r="AJ16" s="39"/>
      <c r="AK16" s="39"/>
      <c r="AL16" s="39"/>
      <c r="AM16" s="39"/>
      <c r="AN16" s="39"/>
      <c r="AO16" s="39"/>
      <c r="AP16" s="39"/>
      <c r="AV16"/>
      <c r="AW16"/>
    </row>
    <row r="17" spans="1:49" x14ac:dyDescent="0.35">
      <c r="A17" s="47" t="s">
        <v>246</v>
      </c>
      <c r="B17" t="s">
        <v>250</v>
      </c>
      <c r="C17" s="48">
        <v>1</v>
      </c>
      <c r="D17" s="48">
        <v>1</v>
      </c>
      <c r="E17" s="48">
        <v>50000</v>
      </c>
      <c r="F17" s="48">
        <v>15.21</v>
      </c>
      <c r="G17" s="48">
        <v>84</v>
      </c>
      <c r="H17" s="46">
        <v>84</v>
      </c>
      <c r="J17">
        <v>1</v>
      </c>
      <c r="K17" s="48">
        <v>31</v>
      </c>
      <c r="L17">
        <v>1</v>
      </c>
      <c r="M17">
        <v>1</v>
      </c>
      <c r="N17" s="42">
        <v>1</v>
      </c>
      <c r="O17">
        <v>472</v>
      </c>
      <c r="P17" s="20">
        <v>0.05</v>
      </c>
      <c r="Q17">
        <v>8</v>
      </c>
      <c r="R17" s="42"/>
      <c r="S17" s="41">
        <v>1.01214574898785E-4</v>
      </c>
      <c r="T17" s="20">
        <v>15.21</v>
      </c>
      <c r="U17" s="4">
        <v>15</v>
      </c>
      <c r="V17" s="39">
        <v>5.713360323886616</v>
      </c>
      <c r="W17" s="39">
        <v>6.8016194331983526E-2</v>
      </c>
      <c r="X17" s="39">
        <v>1.4542697368420991</v>
      </c>
      <c r="Y17" s="39">
        <v>1.7312734962405943E-2</v>
      </c>
      <c r="Z17" s="42">
        <v>0.91857983471092708</v>
      </c>
      <c r="AA17" s="39">
        <v>1.0935474222749132E-2</v>
      </c>
      <c r="AB17" s="42">
        <v>8.0862098954396426</v>
      </c>
      <c r="AC17" s="42">
        <v>9.6264403517138608E-2</v>
      </c>
      <c r="AD17" s="8"/>
      <c r="AF17" s="39"/>
      <c r="AG17" s="39"/>
      <c r="AH17" s="39"/>
      <c r="AI17" s="39"/>
      <c r="AJ17" s="39"/>
      <c r="AK17" s="39"/>
      <c r="AL17" s="39"/>
      <c r="AM17" s="39"/>
      <c r="AN17" s="39"/>
      <c r="AO17" s="39"/>
      <c r="AP17" s="39"/>
      <c r="AV17"/>
      <c r="AW17"/>
    </row>
    <row r="18" spans="1:49" x14ac:dyDescent="0.35">
      <c r="A18" s="47" t="s">
        <v>246</v>
      </c>
      <c r="B18" t="s">
        <v>251</v>
      </c>
      <c r="C18" s="48">
        <v>1</v>
      </c>
      <c r="D18" s="48">
        <v>1</v>
      </c>
      <c r="E18" s="48">
        <v>49542.857142857145</v>
      </c>
      <c r="F18" s="48">
        <v>15.21</v>
      </c>
      <c r="G18" s="48">
        <v>84</v>
      </c>
      <c r="H18" s="46">
        <v>8820</v>
      </c>
      <c r="J18">
        <v>105</v>
      </c>
      <c r="K18" s="48">
        <v>32</v>
      </c>
      <c r="L18">
        <v>4</v>
      </c>
      <c r="M18">
        <v>9</v>
      </c>
      <c r="N18" s="42">
        <v>1</v>
      </c>
      <c r="O18">
        <v>487</v>
      </c>
      <c r="P18" s="20">
        <v>5.2</v>
      </c>
      <c r="Q18">
        <v>8</v>
      </c>
      <c r="R18" s="42"/>
      <c r="S18" s="41">
        <v>1.05263157894737E-2</v>
      </c>
      <c r="T18" s="20">
        <v>1597.0500000000002</v>
      </c>
      <c r="U18" s="4">
        <v>15</v>
      </c>
      <c r="V18" s="39">
        <v>594.18947368421141</v>
      </c>
      <c r="W18" s="39">
        <v>6.7368421052631675E-2</v>
      </c>
      <c r="X18" s="39">
        <v>151.24405263157917</v>
      </c>
      <c r="Y18" s="39">
        <v>1.7147851772287889E-2</v>
      </c>
      <c r="Z18" s="42">
        <v>95.532302809936951</v>
      </c>
      <c r="AA18" s="39">
        <v>1.0831326849199201E-2</v>
      </c>
      <c r="AB18" s="42">
        <v>840.96582912572751</v>
      </c>
      <c r="AC18" s="42">
        <v>9.5347599674118766E-2</v>
      </c>
      <c r="AD18" s="8"/>
      <c r="AF18" s="39"/>
      <c r="AG18" s="39"/>
      <c r="AH18" s="39"/>
      <c r="AI18" s="39"/>
      <c r="AJ18" s="39"/>
      <c r="AK18" s="39"/>
      <c r="AL18" s="39"/>
      <c r="AM18" s="39"/>
      <c r="AN18" s="39"/>
      <c r="AO18" s="39"/>
      <c r="AP18" s="39"/>
      <c r="AV18"/>
      <c r="AW18"/>
    </row>
    <row r="19" spans="1:49" x14ac:dyDescent="0.35">
      <c r="A19" s="47" t="s">
        <v>246</v>
      </c>
      <c r="B19" t="s">
        <v>252</v>
      </c>
      <c r="C19" s="48">
        <v>1</v>
      </c>
      <c r="D19" s="48">
        <v>1</v>
      </c>
      <c r="E19" s="48">
        <v>50000</v>
      </c>
      <c r="F19" s="48">
        <v>15.21</v>
      </c>
      <c r="G19" s="48">
        <v>84</v>
      </c>
      <c r="H19" s="46">
        <v>84</v>
      </c>
      <c r="J19">
        <v>1</v>
      </c>
      <c r="K19" s="48">
        <v>31</v>
      </c>
      <c r="L19">
        <v>1</v>
      </c>
      <c r="M19">
        <v>1</v>
      </c>
      <c r="N19" s="42">
        <v>1</v>
      </c>
      <c r="O19">
        <v>472</v>
      </c>
      <c r="P19" s="20">
        <v>0.05</v>
      </c>
      <c r="Q19">
        <v>8</v>
      </c>
      <c r="R19" s="42"/>
      <c r="S19" s="41">
        <v>1.01214574898785E-4</v>
      </c>
      <c r="T19" s="20">
        <v>15.21</v>
      </c>
      <c r="U19" s="4">
        <v>15</v>
      </c>
      <c r="V19" s="39">
        <v>5.713360323886616</v>
      </c>
      <c r="W19" s="39">
        <v>6.8016194331983526E-2</v>
      </c>
      <c r="X19" s="39">
        <v>1.4542697368420991</v>
      </c>
      <c r="Y19" s="39">
        <v>1.7312734962405943E-2</v>
      </c>
      <c r="Z19" s="42">
        <v>0.91857983471092708</v>
      </c>
      <c r="AA19" s="39">
        <v>1.0935474222749132E-2</v>
      </c>
      <c r="AB19" s="42">
        <v>8.0862098954396426</v>
      </c>
      <c r="AC19" s="42">
        <v>9.6264403517138608E-2</v>
      </c>
      <c r="AD19" s="8"/>
      <c r="AF19" s="39"/>
      <c r="AG19" s="39"/>
      <c r="AH19" s="39"/>
      <c r="AI19" s="39"/>
      <c r="AJ19" s="39"/>
      <c r="AK19" s="39"/>
      <c r="AL19" s="39"/>
      <c r="AM19" s="39"/>
      <c r="AN19" s="39"/>
      <c r="AO19" s="39"/>
      <c r="AP19" s="39"/>
      <c r="AV19"/>
      <c r="AW19"/>
    </row>
    <row r="20" spans="1:49" x14ac:dyDescent="0.35">
      <c r="A20" s="47" t="s">
        <v>246</v>
      </c>
      <c r="B20" t="s">
        <v>253</v>
      </c>
      <c r="C20" s="48">
        <v>1</v>
      </c>
      <c r="D20" s="48">
        <v>1</v>
      </c>
      <c r="E20" s="48">
        <v>40082.474226804123</v>
      </c>
      <c r="F20" s="48">
        <v>10.65</v>
      </c>
      <c r="G20" s="48">
        <v>70</v>
      </c>
      <c r="H20" s="46">
        <v>6790</v>
      </c>
      <c r="J20">
        <v>97</v>
      </c>
      <c r="K20" s="48">
        <v>39</v>
      </c>
      <c r="L20">
        <v>3</v>
      </c>
      <c r="M20">
        <v>9</v>
      </c>
      <c r="N20" s="42">
        <v>1</v>
      </c>
      <c r="O20">
        <v>416</v>
      </c>
      <c r="P20" s="20">
        <v>3.89</v>
      </c>
      <c r="Q20">
        <v>8</v>
      </c>
      <c r="R20" s="42"/>
      <c r="S20" s="41">
        <v>7.8744939271254994E-3</v>
      </c>
      <c r="T20" s="20">
        <v>1033.05</v>
      </c>
      <c r="U20" s="4">
        <v>15</v>
      </c>
      <c r="V20" s="39">
        <v>444.49943319838019</v>
      </c>
      <c r="W20" s="39">
        <v>6.5463834049835079E-2</v>
      </c>
      <c r="X20" s="39">
        <v>113.14218552631569</v>
      </c>
      <c r="Y20" s="39">
        <v>1.6663061196806432E-2</v>
      </c>
      <c r="Z20" s="42">
        <v>71.465511140510372</v>
      </c>
      <c r="AA20" s="39">
        <v>1.0525112097276933E-2</v>
      </c>
      <c r="AB20" s="42">
        <v>629.10712986520628</v>
      </c>
      <c r="AC20" s="42">
        <v>9.2652007343918444E-2</v>
      </c>
      <c r="AD20" s="8"/>
      <c r="AF20" s="39"/>
      <c r="AG20" s="39"/>
      <c r="AH20" s="39"/>
      <c r="AI20" s="39"/>
      <c r="AJ20" s="39"/>
      <c r="AK20" s="39"/>
      <c r="AL20" s="39"/>
      <c r="AM20" s="39"/>
      <c r="AN20" s="39"/>
      <c r="AO20" s="39"/>
      <c r="AP20" s="39"/>
      <c r="AV20"/>
      <c r="AW20"/>
    </row>
    <row r="21" spans="1:49" x14ac:dyDescent="0.35">
      <c r="A21" s="47" t="s">
        <v>246</v>
      </c>
      <c r="B21" t="s">
        <v>254</v>
      </c>
      <c r="C21" s="48">
        <v>1</v>
      </c>
      <c r="D21" s="48">
        <v>1</v>
      </c>
      <c r="E21" s="48">
        <v>40082.474226804123</v>
      </c>
      <c r="F21" s="48">
        <v>10.65</v>
      </c>
      <c r="G21" s="48">
        <v>70</v>
      </c>
      <c r="H21" s="46">
        <v>6790</v>
      </c>
      <c r="J21">
        <v>97</v>
      </c>
      <c r="K21" s="48">
        <v>39</v>
      </c>
      <c r="L21">
        <v>3</v>
      </c>
      <c r="M21">
        <v>9</v>
      </c>
      <c r="N21" s="42">
        <v>1</v>
      </c>
      <c r="O21">
        <v>416</v>
      </c>
      <c r="P21" s="20">
        <v>3.89</v>
      </c>
      <c r="Q21">
        <v>8</v>
      </c>
      <c r="R21" s="42"/>
      <c r="S21" s="41">
        <v>7.8744939271254994E-3</v>
      </c>
      <c r="T21" s="20">
        <v>1033.05</v>
      </c>
      <c r="U21" s="4">
        <v>15</v>
      </c>
      <c r="V21" s="39">
        <v>444.49943319838019</v>
      </c>
      <c r="W21" s="39">
        <v>6.5463834049835079E-2</v>
      </c>
      <c r="X21" s="39">
        <v>113.14218552631569</v>
      </c>
      <c r="Y21" s="39">
        <v>1.6663061196806432E-2</v>
      </c>
      <c r="Z21" s="42">
        <v>71.465511140510372</v>
      </c>
      <c r="AA21" s="39">
        <v>1.0525112097276933E-2</v>
      </c>
      <c r="AB21" s="42">
        <v>629.10712986520628</v>
      </c>
      <c r="AC21" s="42">
        <v>9.2652007343918444E-2</v>
      </c>
      <c r="AD21" s="8"/>
      <c r="AF21" s="39"/>
      <c r="AG21" s="39"/>
      <c r="AH21" s="39"/>
      <c r="AI21" s="39"/>
      <c r="AJ21" s="39"/>
      <c r="AK21" s="39"/>
      <c r="AL21" s="39"/>
      <c r="AM21" s="39"/>
      <c r="AN21" s="39"/>
      <c r="AO21" s="39"/>
      <c r="AP21" s="39"/>
      <c r="AV21"/>
      <c r="AW21"/>
    </row>
    <row r="22" spans="1:49" x14ac:dyDescent="0.35">
      <c r="A22" s="47" t="s">
        <v>246</v>
      </c>
      <c r="B22" t="s">
        <v>255</v>
      </c>
      <c r="C22" s="48">
        <v>1</v>
      </c>
      <c r="D22" s="48">
        <v>1</v>
      </c>
      <c r="E22" s="48">
        <v>40000</v>
      </c>
      <c r="F22" s="48">
        <v>10.65</v>
      </c>
      <c r="G22" s="48">
        <v>70</v>
      </c>
      <c r="H22" s="46">
        <v>70</v>
      </c>
      <c r="J22">
        <v>1</v>
      </c>
      <c r="K22" s="48">
        <v>39</v>
      </c>
      <c r="L22">
        <v>1</v>
      </c>
      <c r="M22">
        <v>1</v>
      </c>
      <c r="N22" s="42">
        <v>1</v>
      </c>
      <c r="O22">
        <v>416</v>
      </c>
      <c r="P22" s="20">
        <v>0.04</v>
      </c>
      <c r="Q22">
        <v>8</v>
      </c>
      <c r="R22" s="42"/>
      <c r="S22" s="41">
        <v>8.0971659919028299E-5</v>
      </c>
      <c r="T22" s="20">
        <v>10.65</v>
      </c>
      <c r="U22" s="4">
        <v>15</v>
      </c>
      <c r="V22" s="39">
        <v>4.5706882591093096</v>
      </c>
      <c r="W22" s="39">
        <v>6.5295546558704426E-2</v>
      </c>
      <c r="X22" s="39">
        <v>1.1634157894736836</v>
      </c>
      <c r="Y22" s="39">
        <v>1.6620225563909765E-2</v>
      </c>
      <c r="Z22" s="42">
        <v>0.73486386776874435</v>
      </c>
      <c r="AA22" s="39">
        <v>1.0498055253839206E-2</v>
      </c>
      <c r="AB22" s="42">
        <v>6.4689679163517377</v>
      </c>
      <c r="AC22" s="42">
        <v>9.24138273764534E-2</v>
      </c>
      <c r="AD22" s="8"/>
      <c r="AF22" s="39"/>
      <c r="AG22" s="39"/>
      <c r="AH22" s="39"/>
      <c r="AI22" s="39"/>
      <c r="AJ22" s="39"/>
      <c r="AK22" s="39"/>
      <c r="AL22" s="39"/>
      <c r="AM22" s="39"/>
      <c r="AN22" s="39"/>
      <c r="AO22" s="39"/>
      <c r="AP22" s="39"/>
      <c r="AV22"/>
      <c r="AW22"/>
    </row>
    <row r="23" spans="1:49" x14ac:dyDescent="0.35">
      <c r="A23" s="47" t="s">
        <v>246</v>
      </c>
      <c r="B23" t="s">
        <v>256</v>
      </c>
      <c r="C23" s="48">
        <v>1</v>
      </c>
      <c r="D23" s="48">
        <v>1</v>
      </c>
      <c r="E23" s="48">
        <v>40082.474226804123</v>
      </c>
      <c r="F23" s="48">
        <v>10.65</v>
      </c>
      <c r="G23" s="48">
        <v>70</v>
      </c>
      <c r="H23" s="46">
        <v>6790</v>
      </c>
      <c r="J23">
        <v>97</v>
      </c>
      <c r="K23" s="48">
        <v>39</v>
      </c>
      <c r="L23">
        <v>3</v>
      </c>
      <c r="M23">
        <v>9</v>
      </c>
      <c r="N23" s="42">
        <v>1</v>
      </c>
      <c r="O23">
        <v>416</v>
      </c>
      <c r="P23" s="20">
        <v>3.89</v>
      </c>
      <c r="Q23">
        <v>8</v>
      </c>
      <c r="R23" s="42"/>
      <c r="S23" s="41">
        <v>7.8744939271254994E-3</v>
      </c>
      <c r="T23" s="20">
        <v>1033.05</v>
      </c>
      <c r="U23" s="4">
        <v>15</v>
      </c>
      <c r="V23" s="39">
        <v>444.49943319838019</v>
      </c>
      <c r="W23" s="39">
        <v>6.5463834049835079E-2</v>
      </c>
      <c r="X23" s="39">
        <v>113.14218552631569</v>
      </c>
      <c r="Y23" s="39">
        <v>1.6663061196806432E-2</v>
      </c>
      <c r="Z23" s="42">
        <v>71.465511140510372</v>
      </c>
      <c r="AA23" s="39">
        <v>1.0525112097276933E-2</v>
      </c>
      <c r="AB23" s="42">
        <v>629.10712986520628</v>
      </c>
      <c r="AC23" s="42">
        <v>9.2652007343918444E-2</v>
      </c>
      <c r="AD23" s="8"/>
      <c r="AF23" s="39"/>
      <c r="AG23" s="39"/>
      <c r="AH23" s="39"/>
      <c r="AI23" s="39"/>
      <c r="AJ23" s="39"/>
      <c r="AK23" s="39"/>
      <c r="AL23" s="39"/>
      <c r="AM23" s="39"/>
      <c r="AN23" s="39"/>
      <c r="AO23" s="39"/>
      <c r="AP23" s="39"/>
      <c r="AV23"/>
      <c r="AW23"/>
    </row>
    <row r="24" spans="1:49" x14ac:dyDescent="0.35">
      <c r="A24" s="47" t="s">
        <v>246</v>
      </c>
      <c r="B24" t="s">
        <v>257</v>
      </c>
      <c r="C24" s="48">
        <v>1</v>
      </c>
      <c r="D24" s="48">
        <v>1</v>
      </c>
      <c r="E24" s="48">
        <v>40000</v>
      </c>
      <c r="F24" s="48">
        <v>10.65</v>
      </c>
      <c r="G24" s="48">
        <v>70</v>
      </c>
      <c r="H24" s="46">
        <v>70</v>
      </c>
      <c r="J24">
        <v>1</v>
      </c>
      <c r="K24" s="48">
        <v>39</v>
      </c>
      <c r="L24">
        <v>1</v>
      </c>
      <c r="M24">
        <v>1</v>
      </c>
      <c r="N24" s="42">
        <v>1</v>
      </c>
      <c r="O24">
        <v>416</v>
      </c>
      <c r="P24" s="20">
        <v>0.04</v>
      </c>
      <c r="Q24">
        <v>8</v>
      </c>
      <c r="R24" s="42"/>
      <c r="S24" s="41">
        <v>8.0971659919028299E-5</v>
      </c>
      <c r="T24" s="20">
        <v>10.65</v>
      </c>
      <c r="U24" s="4">
        <v>15</v>
      </c>
      <c r="V24" s="39">
        <v>4.5706882591093096</v>
      </c>
      <c r="W24" s="39">
        <v>6.5295546558704426E-2</v>
      </c>
      <c r="X24" s="39">
        <v>1.1634157894736836</v>
      </c>
      <c r="Y24" s="39">
        <v>1.6620225563909765E-2</v>
      </c>
      <c r="Z24" s="42">
        <v>0.73486386776874435</v>
      </c>
      <c r="AA24" s="39">
        <v>1.0498055253839206E-2</v>
      </c>
      <c r="AB24" s="42">
        <v>6.4689679163517377</v>
      </c>
      <c r="AC24" s="42">
        <v>9.24138273764534E-2</v>
      </c>
      <c r="AD24" s="8"/>
      <c r="AF24" s="39"/>
      <c r="AG24" s="39"/>
      <c r="AH24" s="39"/>
      <c r="AI24" s="39"/>
      <c r="AJ24" s="39"/>
      <c r="AK24" s="39"/>
      <c r="AL24" s="39"/>
      <c r="AM24" s="39"/>
      <c r="AN24" s="39"/>
      <c r="AO24" s="39"/>
      <c r="AP24" s="39"/>
      <c r="AV24"/>
      <c r="AW24"/>
    </row>
    <row r="25" spans="1:49" x14ac:dyDescent="0.35">
      <c r="A25" s="47" t="s">
        <v>246</v>
      </c>
      <c r="B25" t="s">
        <v>258</v>
      </c>
      <c r="C25" s="48">
        <v>1</v>
      </c>
      <c r="D25" s="48">
        <v>1</v>
      </c>
      <c r="E25" s="48">
        <v>40082.474226804123</v>
      </c>
      <c r="F25" s="48">
        <v>10.65</v>
      </c>
      <c r="G25" s="48">
        <v>70</v>
      </c>
      <c r="H25" s="46">
        <v>6790</v>
      </c>
      <c r="J25">
        <v>97</v>
      </c>
      <c r="K25" s="48">
        <v>39</v>
      </c>
      <c r="L25">
        <v>3</v>
      </c>
      <c r="M25">
        <v>9</v>
      </c>
      <c r="N25" s="42">
        <v>1</v>
      </c>
      <c r="O25">
        <v>416</v>
      </c>
      <c r="P25" s="20">
        <v>3.89</v>
      </c>
      <c r="Q25">
        <v>8</v>
      </c>
      <c r="R25" s="42"/>
      <c r="S25" s="41">
        <v>7.8744939271254994E-3</v>
      </c>
      <c r="T25" s="20">
        <v>1033.05</v>
      </c>
      <c r="U25" s="4">
        <v>15</v>
      </c>
      <c r="V25" s="39">
        <v>444.49943319838019</v>
      </c>
      <c r="W25" s="39">
        <v>6.5463834049835079E-2</v>
      </c>
      <c r="X25" s="39">
        <v>113.14218552631569</v>
      </c>
      <c r="Y25" s="39">
        <v>1.6663061196806432E-2</v>
      </c>
      <c r="Z25" s="42">
        <v>71.465511140510372</v>
      </c>
      <c r="AA25" s="39">
        <v>1.0525112097276933E-2</v>
      </c>
      <c r="AB25" s="42">
        <v>629.10712986520628</v>
      </c>
      <c r="AC25" s="42">
        <v>9.2652007343918444E-2</v>
      </c>
      <c r="AD25" s="8"/>
      <c r="AF25" s="39"/>
      <c r="AG25" s="39"/>
      <c r="AH25" s="39"/>
      <c r="AI25" s="39"/>
      <c r="AJ25" s="39"/>
      <c r="AK25" s="39"/>
      <c r="AL25" s="39"/>
      <c r="AM25" s="39"/>
      <c r="AN25" s="39"/>
      <c r="AO25" s="39"/>
      <c r="AP25" s="39"/>
      <c r="AV25"/>
      <c r="AW25"/>
    </row>
    <row r="26" spans="1:49" x14ac:dyDescent="0.35">
      <c r="A26" s="47" t="s">
        <v>246</v>
      </c>
      <c r="B26" t="s">
        <v>259</v>
      </c>
      <c r="C26" s="48">
        <v>1</v>
      </c>
      <c r="D26" s="48">
        <v>1</v>
      </c>
      <c r="E26" s="48">
        <v>52000</v>
      </c>
      <c r="F26" s="48">
        <v>10.4</v>
      </c>
      <c r="G26" s="48">
        <v>72</v>
      </c>
      <c r="H26" s="46">
        <v>72</v>
      </c>
      <c r="J26">
        <v>1</v>
      </c>
      <c r="K26" s="48">
        <v>30</v>
      </c>
      <c r="L26">
        <v>1</v>
      </c>
      <c r="M26">
        <v>1</v>
      </c>
      <c r="N26" s="42">
        <v>1</v>
      </c>
      <c r="O26">
        <v>312</v>
      </c>
      <c r="P26" s="20">
        <v>0.05</v>
      </c>
      <c r="Q26">
        <v>8</v>
      </c>
      <c r="R26" s="42"/>
      <c r="S26" s="41">
        <v>1.01214574898785E-4</v>
      </c>
      <c r="T26" s="20">
        <v>10.4</v>
      </c>
      <c r="U26" s="4">
        <v>15</v>
      </c>
      <c r="V26" s="39">
        <v>5.713360323886616</v>
      </c>
      <c r="W26" s="39">
        <v>7.9352226720647442E-2</v>
      </c>
      <c r="X26" s="39">
        <v>1.4542697368420991</v>
      </c>
      <c r="Y26" s="39">
        <v>2.0198190789473599E-2</v>
      </c>
      <c r="Z26" s="42">
        <v>0.91857983471092708</v>
      </c>
      <c r="AA26" s="39">
        <v>1.2758053259873987E-2</v>
      </c>
      <c r="AB26" s="42">
        <v>8.0862098954396426</v>
      </c>
      <c r="AC26" s="42">
        <v>0.11230847076999503</v>
      </c>
      <c r="AD26" s="8"/>
      <c r="AF26" s="39"/>
      <c r="AG26" s="39"/>
      <c r="AH26" s="39"/>
      <c r="AI26" s="39"/>
      <c r="AJ26" s="39"/>
      <c r="AK26" s="39"/>
      <c r="AL26" s="39"/>
      <c r="AM26" s="39"/>
      <c r="AN26" s="39"/>
      <c r="AO26" s="39"/>
      <c r="AP26" s="39"/>
      <c r="AQ26" s="39"/>
      <c r="AR26" s="39"/>
      <c r="AS26" s="39"/>
      <c r="AT26" s="39"/>
      <c r="AU26" s="39"/>
    </row>
    <row r="27" spans="1:49" x14ac:dyDescent="0.35">
      <c r="A27" s="47" t="s">
        <v>246</v>
      </c>
      <c r="B27" t="s">
        <v>260</v>
      </c>
      <c r="C27" s="48">
        <v>1</v>
      </c>
      <c r="D27" s="48">
        <v>1</v>
      </c>
      <c r="E27" s="48">
        <v>52000</v>
      </c>
      <c r="F27" s="48">
        <v>10.4</v>
      </c>
      <c r="G27" s="48">
        <v>72</v>
      </c>
      <c r="H27" s="46">
        <v>72</v>
      </c>
      <c r="J27">
        <v>1</v>
      </c>
      <c r="K27" s="48">
        <v>30</v>
      </c>
      <c r="L27">
        <v>1</v>
      </c>
      <c r="M27">
        <v>1</v>
      </c>
      <c r="N27" s="42">
        <v>1</v>
      </c>
      <c r="O27">
        <v>312</v>
      </c>
      <c r="P27" s="20">
        <v>0.05</v>
      </c>
      <c r="Q27">
        <v>8</v>
      </c>
      <c r="R27" s="42"/>
      <c r="S27" s="41">
        <v>1.01214574898785E-4</v>
      </c>
      <c r="T27" s="20">
        <v>10.4</v>
      </c>
      <c r="U27" s="4">
        <v>15</v>
      </c>
      <c r="V27" s="39">
        <v>5.713360323886616</v>
      </c>
      <c r="W27" s="39">
        <v>7.9352226720647442E-2</v>
      </c>
      <c r="X27" s="39">
        <v>1.4542697368420991</v>
      </c>
      <c r="Y27" s="39">
        <v>2.0198190789473599E-2</v>
      </c>
      <c r="Z27" s="42">
        <v>0.91857983471092708</v>
      </c>
      <c r="AA27" s="39">
        <v>1.2758053259873987E-2</v>
      </c>
      <c r="AB27" s="42">
        <v>8.0862098954396426</v>
      </c>
      <c r="AC27" s="42">
        <v>0.11230847076999503</v>
      </c>
      <c r="AD27" s="8"/>
      <c r="AF27" s="39"/>
      <c r="AG27" s="39"/>
      <c r="AH27" s="39"/>
      <c r="AI27" s="39"/>
      <c r="AJ27" s="39"/>
      <c r="AK27" s="39"/>
      <c r="AL27" s="39"/>
      <c r="AM27" s="39"/>
      <c r="AN27" s="39"/>
      <c r="AO27" s="39"/>
      <c r="AP27" s="39"/>
      <c r="AQ27" s="39"/>
      <c r="AR27" s="39"/>
      <c r="AS27" s="39"/>
      <c r="AT27" s="39"/>
      <c r="AU27" s="39"/>
    </row>
    <row r="28" spans="1:49" x14ac:dyDescent="0.35">
      <c r="A28" s="47" t="s">
        <v>246</v>
      </c>
      <c r="B28" t="s">
        <v>261</v>
      </c>
      <c r="C28" s="48">
        <v>1</v>
      </c>
      <c r="D28" s="48">
        <v>1</v>
      </c>
      <c r="E28" s="48">
        <v>52000</v>
      </c>
      <c r="F28" s="48">
        <v>10.4</v>
      </c>
      <c r="G28" s="48">
        <v>72</v>
      </c>
      <c r="H28" s="46">
        <v>72</v>
      </c>
      <c r="J28">
        <v>1</v>
      </c>
      <c r="K28" s="48">
        <v>30</v>
      </c>
      <c r="L28">
        <v>1</v>
      </c>
      <c r="M28">
        <v>1</v>
      </c>
      <c r="N28" s="42">
        <v>1</v>
      </c>
      <c r="O28">
        <v>312</v>
      </c>
      <c r="P28" s="20">
        <v>0.05</v>
      </c>
      <c r="Q28">
        <v>8</v>
      </c>
      <c r="R28" s="42"/>
      <c r="S28" s="41">
        <v>1.01214574898785E-4</v>
      </c>
      <c r="T28" s="20">
        <v>10.4</v>
      </c>
      <c r="U28" s="4">
        <v>15</v>
      </c>
      <c r="V28" s="39">
        <v>5.713360323886616</v>
      </c>
      <c r="W28" s="39">
        <v>7.9352226720647442E-2</v>
      </c>
      <c r="X28" s="39">
        <v>1.4542697368420991</v>
      </c>
      <c r="Y28" s="39">
        <v>2.0198190789473599E-2</v>
      </c>
      <c r="Z28" s="42">
        <v>0.91857983471092708</v>
      </c>
      <c r="AA28" s="39">
        <v>1.2758053259873987E-2</v>
      </c>
      <c r="AB28" s="42">
        <v>8.0862098954396426</v>
      </c>
      <c r="AC28" s="42">
        <v>0.11230847076999503</v>
      </c>
      <c r="AD28" s="8"/>
      <c r="AF28" s="39"/>
      <c r="AG28" s="39"/>
      <c r="AH28" s="39"/>
      <c r="AI28" s="39"/>
      <c r="AJ28" s="39"/>
      <c r="AK28" s="39"/>
      <c r="AL28" s="39"/>
      <c r="AM28" s="39"/>
      <c r="AN28" s="39"/>
      <c r="AO28" s="39"/>
      <c r="AP28" s="39"/>
      <c r="AQ28" s="39"/>
      <c r="AR28" s="39"/>
      <c r="AS28" s="39"/>
      <c r="AT28" s="39"/>
      <c r="AU28" s="39"/>
    </row>
    <row r="29" spans="1:49" x14ac:dyDescent="0.35">
      <c r="A29" s="47" t="s">
        <v>246</v>
      </c>
      <c r="B29" t="s">
        <v>262</v>
      </c>
      <c r="C29" s="48">
        <v>1</v>
      </c>
      <c r="D29" s="48">
        <v>1</v>
      </c>
      <c r="E29" s="48">
        <v>52000</v>
      </c>
      <c r="F29" s="48">
        <v>10.4</v>
      </c>
      <c r="G29" s="48">
        <v>72</v>
      </c>
      <c r="H29" s="46">
        <v>72</v>
      </c>
      <c r="J29">
        <v>1</v>
      </c>
      <c r="K29" s="48">
        <v>30</v>
      </c>
      <c r="L29">
        <v>1</v>
      </c>
      <c r="M29">
        <v>1</v>
      </c>
      <c r="N29" s="42">
        <v>1</v>
      </c>
      <c r="O29">
        <v>312</v>
      </c>
      <c r="P29" s="20">
        <v>0.05</v>
      </c>
      <c r="Q29">
        <v>8</v>
      </c>
      <c r="R29" s="42"/>
      <c r="S29" s="41">
        <v>1.01214574898785E-4</v>
      </c>
      <c r="T29" s="20">
        <v>10.4</v>
      </c>
      <c r="U29" s="4">
        <v>15</v>
      </c>
      <c r="V29" s="39">
        <v>5.713360323886616</v>
      </c>
      <c r="W29" s="39">
        <v>7.9352226720647442E-2</v>
      </c>
      <c r="X29" s="39">
        <v>1.4542697368420991</v>
      </c>
      <c r="Y29" s="39">
        <v>2.0198190789473599E-2</v>
      </c>
      <c r="Z29" s="42">
        <v>0.91857983471092708</v>
      </c>
      <c r="AA29" s="39">
        <v>1.2758053259873987E-2</v>
      </c>
      <c r="AB29" s="42">
        <v>8.0862098954396426</v>
      </c>
      <c r="AC29" s="42">
        <v>0.11230847076999503</v>
      </c>
      <c r="AD29" s="8"/>
      <c r="AF29" s="39"/>
      <c r="AG29" s="39"/>
      <c r="AH29" s="39"/>
      <c r="AI29" s="39"/>
      <c r="AJ29" s="39"/>
      <c r="AK29" s="39"/>
      <c r="AL29" s="39"/>
      <c r="AM29" s="39"/>
      <c r="AN29" s="39"/>
      <c r="AO29" s="39"/>
      <c r="AP29" s="39"/>
      <c r="AQ29" s="39"/>
      <c r="AR29" s="39"/>
      <c r="AS29" s="39"/>
      <c r="AT29" s="39"/>
      <c r="AU29" s="39"/>
    </row>
    <row r="30" spans="1:49" x14ac:dyDescent="0.35">
      <c r="A30" s="47" t="s">
        <v>246</v>
      </c>
      <c r="B30" t="s">
        <v>263</v>
      </c>
      <c r="C30" s="48">
        <v>1</v>
      </c>
      <c r="D30" s="48">
        <v>1</v>
      </c>
      <c r="E30" s="48">
        <v>52000</v>
      </c>
      <c r="F30" s="48">
        <v>10.4</v>
      </c>
      <c r="G30" s="48">
        <v>72</v>
      </c>
      <c r="H30" s="46">
        <v>72</v>
      </c>
      <c r="J30">
        <v>1</v>
      </c>
      <c r="K30" s="48">
        <v>30</v>
      </c>
      <c r="L30">
        <v>1</v>
      </c>
      <c r="M30">
        <v>1</v>
      </c>
      <c r="N30" s="42">
        <v>1</v>
      </c>
      <c r="O30">
        <v>312</v>
      </c>
      <c r="P30" s="20">
        <v>0.05</v>
      </c>
      <c r="Q30">
        <v>8</v>
      </c>
      <c r="R30" s="42"/>
      <c r="S30" s="41">
        <v>1.01214574898785E-4</v>
      </c>
      <c r="T30" s="20">
        <v>10.4</v>
      </c>
      <c r="U30" s="4">
        <v>15</v>
      </c>
      <c r="V30" s="39">
        <v>5.713360323886616</v>
      </c>
      <c r="W30" s="39">
        <v>7.9352226720647442E-2</v>
      </c>
      <c r="X30" s="39">
        <v>1.4542697368420991</v>
      </c>
      <c r="Y30" s="39">
        <v>2.0198190789473599E-2</v>
      </c>
      <c r="Z30" s="42">
        <v>0.91857983471092708</v>
      </c>
      <c r="AA30" s="39">
        <v>1.2758053259873987E-2</v>
      </c>
      <c r="AB30" s="42">
        <v>8.0862098954396426</v>
      </c>
      <c r="AC30" s="42">
        <v>0.11230847076999503</v>
      </c>
      <c r="AD30" s="8"/>
      <c r="AF30" s="39"/>
      <c r="AG30" s="39"/>
      <c r="AH30" s="39"/>
      <c r="AI30" s="39"/>
      <c r="AJ30" s="39"/>
      <c r="AK30" s="39"/>
      <c r="AL30" s="39"/>
      <c r="AM30" s="39"/>
      <c r="AN30" s="39"/>
      <c r="AO30" s="39"/>
      <c r="AP30" s="39"/>
      <c r="AQ30" s="39"/>
      <c r="AR30" s="39"/>
      <c r="AS30" s="39"/>
      <c r="AT30" s="39"/>
      <c r="AU30" s="39"/>
    </row>
    <row r="31" spans="1:49" x14ac:dyDescent="0.35">
      <c r="A31" s="47" t="s">
        <v>246</v>
      </c>
      <c r="B31" t="s">
        <v>264</v>
      </c>
      <c r="C31" s="48">
        <v>1</v>
      </c>
      <c r="D31" s="48">
        <v>1</v>
      </c>
      <c r="E31" s="48">
        <v>52000</v>
      </c>
      <c r="F31" s="48">
        <v>10.4</v>
      </c>
      <c r="G31" s="48">
        <v>72</v>
      </c>
      <c r="H31" s="46">
        <v>72</v>
      </c>
      <c r="J31">
        <v>1</v>
      </c>
      <c r="K31" s="48">
        <v>30</v>
      </c>
      <c r="L31">
        <v>1</v>
      </c>
      <c r="M31">
        <v>1</v>
      </c>
      <c r="N31" s="42">
        <v>1</v>
      </c>
      <c r="O31">
        <v>312</v>
      </c>
      <c r="P31" s="20">
        <v>0.05</v>
      </c>
      <c r="Q31">
        <v>8</v>
      </c>
      <c r="R31" s="42"/>
      <c r="S31" s="41">
        <v>1.01214574898785E-4</v>
      </c>
      <c r="T31" s="20">
        <v>10.4</v>
      </c>
      <c r="U31" s="4">
        <v>15</v>
      </c>
      <c r="V31" s="39">
        <v>5.713360323886616</v>
      </c>
      <c r="W31" s="39">
        <v>7.9352226720647442E-2</v>
      </c>
      <c r="X31" s="39">
        <v>1.4542697368420991</v>
      </c>
      <c r="Y31" s="39">
        <v>2.0198190789473599E-2</v>
      </c>
      <c r="Z31" s="42">
        <v>0.91857983471092708</v>
      </c>
      <c r="AA31" s="39">
        <v>1.2758053259873987E-2</v>
      </c>
      <c r="AB31" s="42">
        <v>8.0862098954396426</v>
      </c>
      <c r="AC31" s="42">
        <v>0.11230847076999503</v>
      </c>
      <c r="AD31" s="8"/>
      <c r="AF31" s="39"/>
      <c r="AG31" s="39"/>
      <c r="AH31" s="39"/>
      <c r="AI31" s="39"/>
      <c r="AJ31" s="39"/>
      <c r="AK31" s="39"/>
      <c r="AL31" s="39"/>
      <c r="AM31" s="39"/>
      <c r="AN31" s="39"/>
      <c r="AO31" s="39"/>
      <c r="AP31" s="39"/>
      <c r="AQ31" s="39"/>
      <c r="AR31" s="39"/>
      <c r="AS31" s="39"/>
      <c r="AT31" s="39"/>
      <c r="AU31" s="39"/>
    </row>
    <row r="32" spans="1:49" x14ac:dyDescent="0.35">
      <c r="A32" s="47" t="s">
        <v>246</v>
      </c>
      <c r="B32" t="s">
        <v>265</v>
      </c>
      <c r="C32" s="48">
        <v>1</v>
      </c>
      <c r="D32" s="48">
        <v>1</v>
      </c>
      <c r="E32" s="48">
        <v>37060.377358490565</v>
      </c>
      <c r="F32" s="48">
        <v>13.790000000000001</v>
      </c>
      <c r="G32" s="48">
        <v>40</v>
      </c>
      <c r="H32" s="46">
        <v>10600</v>
      </c>
      <c r="J32">
        <v>265</v>
      </c>
      <c r="K32" s="48">
        <v>42</v>
      </c>
      <c r="L32">
        <v>7</v>
      </c>
      <c r="M32">
        <v>23</v>
      </c>
      <c r="N32" s="42">
        <v>2</v>
      </c>
      <c r="O32">
        <v>580</v>
      </c>
      <c r="P32" s="20">
        <v>9.82</v>
      </c>
      <c r="Q32">
        <v>8</v>
      </c>
      <c r="R32" s="42"/>
      <c r="S32" s="41">
        <v>1.9878542510121399E-2</v>
      </c>
      <c r="T32" s="20">
        <v>3654.3500000000004</v>
      </c>
      <c r="U32" s="4">
        <v>15</v>
      </c>
      <c r="V32" s="39">
        <v>1122.1039676113328</v>
      </c>
      <c r="W32" s="39">
        <v>0.10585886486899367</v>
      </c>
      <c r="X32" s="39">
        <v>285.61857631578863</v>
      </c>
      <c r="Y32" s="39">
        <v>2.6945148709036665E-2</v>
      </c>
      <c r="Z32" s="42">
        <v>180.40907953722632</v>
      </c>
      <c r="AA32" s="39">
        <v>1.7019724484643992E-2</v>
      </c>
      <c r="AB32" s="42">
        <v>1588.1316234643477</v>
      </c>
      <c r="AC32" s="42">
        <v>0.14982373806267432</v>
      </c>
      <c r="AD32" s="8"/>
      <c r="AF32" s="39"/>
      <c r="AG32" s="39"/>
      <c r="AH32" s="39"/>
      <c r="AI32" s="39"/>
      <c r="AJ32" s="39"/>
      <c r="AK32" s="39"/>
      <c r="AL32" s="39"/>
      <c r="AM32" s="39"/>
      <c r="AN32" s="39"/>
      <c r="AO32" s="39"/>
      <c r="AP32" s="39"/>
      <c r="AQ32" s="39"/>
      <c r="AR32" s="39"/>
      <c r="AS32" s="39"/>
      <c r="AT32" s="39"/>
      <c r="AU32" s="39"/>
    </row>
    <row r="33" spans="1:47" x14ac:dyDescent="0.35">
      <c r="A33" s="47" t="s">
        <v>246</v>
      </c>
      <c r="B33" t="s">
        <v>266</v>
      </c>
      <c r="C33" s="48">
        <v>1</v>
      </c>
      <c r="D33" s="48">
        <v>1</v>
      </c>
      <c r="E33" s="48">
        <v>37000</v>
      </c>
      <c r="F33" s="48">
        <v>13.79</v>
      </c>
      <c r="G33" s="48">
        <v>40</v>
      </c>
      <c r="H33" s="46">
        <v>40</v>
      </c>
      <c r="J33">
        <v>1</v>
      </c>
      <c r="K33" s="48">
        <v>42</v>
      </c>
      <c r="L33">
        <v>1</v>
      </c>
      <c r="M33">
        <v>1</v>
      </c>
      <c r="N33" s="42">
        <v>1</v>
      </c>
      <c r="O33">
        <v>580</v>
      </c>
      <c r="P33" s="20">
        <v>0.04</v>
      </c>
      <c r="Q33">
        <v>8</v>
      </c>
      <c r="R33" s="42"/>
      <c r="S33" s="41">
        <v>8.0971659919028299E-5</v>
      </c>
      <c r="T33" s="20">
        <v>13.79</v>
      </c>
      <c r="U33" s="4">
        <v>15</v>
      </c>
      <c r="V33" s="39">
        <v>4.5706882591093096</v>
      </c>
      <c r="W33" s="39">
        <v>0.11426720647773274</v>
      </c>
      <c r="X33" s="39">
        <v>1.1634157894736836</v>
      </c>
      <c r="Y33" s="39">
        <v>2.9085394736842091E-2</v>
      </c>
      <c r="Z33" s="42">
        <v>0.73486386776874435</v>
      </c>
      <c r="AA33" s="39">
        <v>1.837159669421861E-2</v>
      </c>
      <c r="AB33" s="42">
        <v>6.4689679163517377</v>
      </c>
      <c r="AC33" s="42">
        <v>0.16172419790879344</v>
      </c>
      <c r="AD33" s="8"/>
      <c r="AF33" s="39"/>
      <c r="AG33" s="39"/>
      <c r="AH33" s="39"/>
      <c r="AI33" s="39"/>
      <c r="AJ33" s="39"/>
      <c r="AK33" s="39"/>
      <c r="AL33" s="39"/>
      <c r="AM33" s="39"/>
      <c r="AN33" s="39"/>
      <c r="AO33" s="39"/>
      <c r="AP33" s="39"/>
      <c r="AQ33" s="39"/>
      <c r="AR33" s="39"/>
      <c r="AS33" s="39"/>
      <c r="AT33" s="39"/>
      <c r="AU33" s="39"/>
    </row>
    <row r="34" spans="1:47" x14ac:dyDescent="0.35">
      <c r="A34" s="47" t="s">
        <v>246</v>
      </c>
      <c r="B34" t="s">
        <v>267</v>
      </c>
      <c r="C34" s="48">
        <v>1</v>
      </c>
      <c r="D34" s="48">
        <v>1</v>
      </c>
      <c r="E34" s="48">
        <v>37000</v>
      </c>
      <c r="F34" s="48">
        <v>13.79</v>
      </c>
      <c r="G34" s="48">
        <v>40</v>
      </c>
      <c r="H34" s="46">
        <v>40</v>
      </c>
      <c r="J34">
        <v>1</v>
      </c>
      <c r="K34" s="48">
        <v>42</v>
      </c>
      <c r="L34">
        <v>1</v>
      </c>
      <c r="M34">
        <v>1</v>
      </c>
      <c r="N34" s="42">
        <v>1</v>
      </c>
      <c r="O34">
        <v>580</v>
      </c>
      <c r="P34" s="20">
        <v>0.04</v>
      </c>
      <c r="Q34">
        <v>8</v>
      </c>
      <c r="R34" s="42"/>
      <c r="S34" s="41">
        <v>8.0971659919028299E-5</v>
      </c>
      <c r="T34" s="20">
        <v>13.79</v>
      </c>
      <c r="U34" s="4">
        <v>15</v>
      </c>
      <c r="V34" s="39">
        <v>4.5706882591093096</v>
      </c>
      <c r="W34" s="39">
        <v>0.11426720647773274</v>
      </c>
      <c r="X34" s="39">
        <v>1.1634157894736836</v>
      </c>
      <c r="Y34" s="39">
        <v>2.9085394736842091E-2</v>
      </c>
      <c r="Z34" s="42">
        <v>0.73486386776874435</v>
      </c>
      <c r="AA34" s="39">
        <v>1.837159669421861E-2</v>
      </c>
      <c r="AB34" s="42">
        <v>6.4689679163517377</v>
      </c>
      <c r="AC34" s="42">
        <v>0.16172419790879344</v>
      </c>
      <c r="AD34" s="8"/>
      <c r="AF34" s="39"/>
      <c r="AG34" s="39"/>
      <c r="AH34" s="39"/>
      <c r="AI34" s="39"/>
      <c r="AJ34" s="39"/>
      <c r="AK34" s="39"/>
      <c r="AL34" s="39"/>
      <c r="AM34" s="39"/>
      <c r="AN34" s="39"/>
      <c r="AO34" s="39"/>
      <c r="AP34" s="39"/>
      <c r="AQ34" s="39"/>
      <c r="AR34" s="39"/>
      <c r="AS34" s="39"/>
      <c r="AT34" s="39"/>
      <c r="AU34" s="39"/>
    </row>
    <row r="35" spans="1:47" x14ac:dyDescent="0.35">
      <c r="A35" s="47" t="s">
        <v>246</v>
      </c>
      <c r="B35" t="s">
        <v>268</v>
      </c>
      <c r="C35" s="48">
        <v>1</v>
      </c>
      <c r="D35" s="48">
        <v>1</v>
      </c>
      <c r="E35" s="48">
        <v>37060.702875399358</v>
      </c>
      <c r="F35" s="48">
        <v>13.790000000000001</v>
      </c>
      <c r="G35" s="48">
        <v>40</v>
      </c>
      <c r="H35" s="46">
        <v>12520</v>
      </c>
      <c r="J35">
        <v>313</v>
      </c>
      <c r="K35" s="48">
        <v>42</v>
      </c>
      <c r="L35">
        <v>8</v>
      </c>
      <c r="M35">
        <v>27</v>
      </c>
      <c r="N35" s="42">
        <v>2</v>
      </c>
      <c r="O35">
        <v>580</v>
      </c>
      <c r="P35" s="20">
        <v>11.6</v>
      </c>
      <c r="Q35">
        <v>8</v>
      </c>
      <c r="R35" s="42"/>
      <c r="S35" s="41">
        <v>2.3481781376518199E-2</v>
      </c>
      <c r="T35" s="20">
        <v>4316.2700000000004</v>
      </c>
      <c r="U35" s="4">
        <v>15</v>
      </c>
      <c r="V35" s="39">
        <v>1325.4995951416993</v>
      </c>
      <c r="W35" s="39">
        <v>0.10587057469182902</v>
      </c>
      <c r="X35" s="39">
        <v>337.39057894736811</v>
      </c>
      <c r="Y35" s="39">
        <v>2.6948129308895216E-2</v>
      </c>
      <c r="Z35" s="42">
        <v>213.1105216529358</v>
      </c>
      <c r="AA35" s="39">
        <v>1.7021607160777621E-2</v>
      </c>
      <c r="AB35" s="42">
        <v>1876.0006957420032</v>
      </c>
      <c r="AC35" s="42">
        <v>0.14984031116150187</v>
      </c>
      <c r="AD35" s="8"/>
      <c r="AF35" s="39"/>
      <c r="AG35" s="39"/>
      <c r="AH35" s="39"/>
      <c r="AI35" s="39"/>
      <c r="AJ35" s="39"/>
      <c r="AK35" s="39"/>
      <c r="AL35" s="39"/>
      <c r="AM35" s="39"/>
      <c r="AN35" s="39"/>
      <c r="AO35" s="39"/>
      <c r="AP35" s="39"/>
      <c r="AQ35" s="39"/>
      <c r="AR35" s="39"/>
      <c r="AS35" s="39"/>
      <c r="AT35" s="39"/>
      <c r="AU35" s="39"/>
    </row>
    <row r="36" spans="1:47" x14ac:dyDescent="0.35">
      <c r="A36" s="47" t="s">
        <v>246</v>
      </c>
      <c r="B36" t="s">
        <v>269</v>
      </c>
      <c r="C36" s="48">
        <v>1</v>
      </c>
      <c r="D36" s="48">
        <v>1</v>
      </c>
      <c r="E36" s="48">
        <v>37000</v>
      </c>
      <c r="F36" s="48">
        <v>13.79</v>
      </c>
      <c r="G36" s="48">
        <v>40</v>
      </c>
      <c r="H36" s="46">
        <v>40</v>
      </c>
      <c r="J36">
        <v>1</v>
      </c>
      <c r="K36" s="48">
        <v>42</v>
      </c>
      <c r="L36">
        <v>1</v>
      </c>
      <c r="M36">
        <v>1</v>
      </c>
      <c r="N36" s="42">
        <v>1</v>
      </c>
      <c r="O36">
        <v>580</v>
      </c>
      <c r="P36" s="20">
        <v>0.04</v>
      </c>
      <c r="Q36">
        <v>8</v>
      </c>
      <c r="R36" s="42"/>
      <c r="S36" s="41">
        <v>8.0971659919028299E-5</v>
      </c>
      <c r="T36" s="20">
        <v>13.79</v>
      </c>
      <c r="U36" s="4">
        <v>15</v>
      </c>
      <c r="V36" s="39">
        <v>4.5706882591093096</v>
      </c>
      <c r="W36" s="39">
        <v>0.11426720647773274</v>
      </c>
      <c r="X36" s="39">
        <v>1.1634157894736836</v>
      </c>
      <c r="Y36" s="39">
        <v>2.9085394736842091E-2</v>
      </c>
      <c r="Z36" s="42">
        <v>0.73486386776874435</v>
      </c>
      <c r="AA36" s="39">
        <v>1.837159669421861E-2</v>
      </c>
      <c r="AB36" s="42">
        <v>6.4689679163517377</v>
      </c>
      <c r="AC36" s="42">
        <v>0.16172419790879344</v>
      </c>
      <c r="AD36" s="8"/>
      <c r="AF36" s="39"/>
      <c r="AG36" s="39"/>
      <c r="AH36" s="39"/>
      <c r="AI36" s="39"/>
      <c r="AJ36" s="39"/>
      <c r="AK36" s="39"/>
      <c r="AL36" s="39"/>
      <c r="AM36" s="39"/>
      <c r="AN36" s="39"/>
      <c r="AO36" s="39"/>
      <c r="AP36" s="39"/>
      <c r="AQ36" s="39"/>
      <c r="AR36" s="39"/>
      <c r="AS36" s="39"/>
      <c r="AT36" s="39"/>
      <c r="AU36" s="39"/>
    </row>
    <row r="37" spans="1:47" x14ac:dyDescent="0.35">
      <c r="A37" s="47" t="s">
        <v>246</v>
      </c>
      <c r="B37" t="s">
        <v>270</v>
      </c>
      <c r="C37" s="48">
        <v>1</v>
      </c>
      <c r="D37" s="48">
        <v>1</v>
      </c>
      <c r="E37" s="48">
        <v>37058.171745152358</v>
      </c>
      <c r="F37" s="48">
        <v>13.790000000000001</v>
      </c>
      <c r="G37" s="48">
        <v>40</v>
      </c>
      <c r="H37" s="46">
        <v>14440</v>
      </c>
      <c r="J37">
        <v>361</v>
      </c>
      <c r="K37" s="48">
        <v>42</v>
      </c>
      <c r="L37">
        <v>9</v>
      </c>
      <c r="M37">
        <v>31</v>
      </c>
      <c r="N37" s="42">
        <v>3</v>
      </c>
      <c r="O37">
        <v>580</v>
      </c>
      <c r="P37" s="20">
        <v>13.38</v>
      </c>
      <c r="Q37">
        <v>8</v>
      </c>
      <c r="R37" s="42"/>
      <c r="S37" s="41">
        <v>2.7085020242914998E-2</v>
      </c>
      <c r="T37" s="20">
        <v>4978.1900000000005</v>
      </c>
      <c r="U37" s="4">
        <v>15</v>
      </c>
      <c r="V37" s="39">
        <v>1528.8952226720658</v>
      </c>
      <c r="W37" s="39">
        <v>0.10587917054515691</v>
      </c>
      <c r="X37" s="39">
        <v>389.1625815789476</v>
      </c>
      <c r="Y37" s="39">
        <v>2.6950317283860638E-2</v>
      </c>
      <c r="Z37" s="42">
        <v>245.81196376864528</v>
      </c>
      <c r="AA37" s="39">
        <v>1.7022989180654105E-2</v>
      </c>
      <c r="AB37" s="42">
        <v>2163.8697680196587</v>
      </c>
      <c r="AC37" s="42">
        <v>0.14985247700967166</v>
      </c>
      <c r="AD37" s="8"/>
      <c r="AF37" s="39"/>
      <c r="AG37" s="39"/>
      <c r="AH37" s="39"/>
      <c r="AI37" s="39"/>
      <c r="AJ37" s="39"/>
      <c r="AK37" s="39"/>
      <c r="AL37" s="39"/>
      <c r="AM37" s="39"/>
      <c r="AN37" s="39"/>
      <c r="AO37" s="39"/>
      <c r="AP37" s="39"/>
      <c r="AQ37" s="39"/>
      <c r="AR37" s="39"/>
      <c r="AS37" s="39"/>
      <c r="AT37" s="39"/>
      <c r="AU37" s="39"/>
    </row>
    <row r="38" spans="1:47" x14ac:dyDescent="0.35">
      <c r="A38" s="47" t="s">
        <v>246</v>
      </c>
      <c r="B38" t="s">
        <v>271</v>
      </c>
      <c r="C38" s="48">
        <v>1</v>
      </c>
      <c r="D38" s="48">
        <v>1</v>
      </c>
      <c r="E38" s="48">
        <v>30181.818181818177</v>
      </c>
      <c r="F38" s="48">
        <v>14.950000000000001</v>
      </c>
      <c r="G38" s="48">
        <v>24</v>
      </c>
      <c r="H38" s="46">
        <v>12144</v>
      </c>
      <c r="J38">
        <v>506</v>
      </c>
      <c r="K38" s="48">
        <v>52</v>
      </c>
      <c r="L38">
        <v>10</v>
      </c>
      <c r="M38">
        <v>43</v>
      </c>
      <c r="N38" s="42">
        <v>3</v>
      </c>
      <c r="O38">
        <v>778</v>
      </c>
      <c r="P38" s="20">
        <v>15.27</v>
      </c>
      <c r="Q38">
        <v>8</v>
      </c>
      <c r="R38" s="42"/>
      <c r="S38" s="41">
        <v>3.09109311740891E-2</v>
      </c>
      <c r="T38" s="20">
        <v>7564.7000000000007</v>
      </c>
      <c r="U38" s="4">
        <v>15</v>
      </c>
      <c r="V38" s="39">
        <v>1744.8602429149814</v>
      </c>
      <c r="W38" s="39">
        <v>0.14368085004240624</v>
      </c>
      <c r="X38" s="39">
        <v>444.1339776315794</v>
      </c>
      <c r="Y38" s="39">
        <v>3.6572297235801993E-2</v>
      </c>
      <c r="Z38" s="42">
        <v>280.53428152071859</v>
      </c>
      <c r="AA38" s="39">
        <v>2.3100649005329266E-2</v>
      </c>
      <c r="AB38" s="42">
        <v>2469.5285020672795</v>
      </c>
      <c r="AC38" s="42">
        <v>0.2033537962835375</v>
      </c>
      <c r="AD38" s="8"/>
      <c r="AF38" s="39"/>
      <c r="AG38" s="39"/>
      <c r="AH38" s="39"/>
      <c r="AI38" s="39"/>
      <c r="AJ38" s="39"/>
      <c r="AK38" s="39"/>
      <c r="AL38" s="39"/>
      <c r="AM38" s="39"/>
      <c r="AN38" s="39"/>
      <c r="AO38" s="39"/>
      <c r="AP38" s="39"/>
      <c r="AQ38" s="39"/>
      <c r="AR38" s="39"/>
      <c r="AS38" s="39"/>
      <c r="AT38" s="39"/>
      <c r="AU38" s="39"/>
    </row>
    <row r="39" spans="1:47" x14ac:dyDescent="0.35">
      <c r="A39" s="47" t="s">
        <v>246</v>
      </c>
      <c r="B39" t="s">
        <v>272</v>
      </c>
      <c r="C39" s="48">
        <v>1</v>
      </c>
      <c r="D39" s="48">
        <v>1</v>
      </c>
      <c r="E39" s="48">
        <v>30183.937823834196</v>
      </c>
      <c r="F39" s="48">
        <v>14.950000000000001</v>
      </c>
      <c r="G39" s="48">
        <v>24</v>
      </c>
      <c r="H39" s="46">
        <v>9264</v>
      </c>
      <c r="J39">
        <v>386</v>
      </c>
      <c r="K39" s="48">
        <v>52</v>
      </c>
      <c r="L39">
        <v>8</v>
      </c>
      <c r="M39">
        <v>33</v>
      </c>
      <c r="N39" s="42">
        <v>2</v>
      </c>
      <c r="O39">
        <v>778</v>
      </c>
      <c r="P39" s="20">
        <v>11.65</v>
      </c>
      <c r="Q39">
        <v>8</v>
      </c>
      <c r="R39" s="42"/>
      <c r="S39" s="41">
        <v>2.3582995951417E-2</v>
      </c>
      <c r="T39" s="20">
        <v>5770.7000000000007</v>
      </c>
      <c r="U39" s="4">
        <v>15</v>
      </c>
      <c r="V39" s="39">
        <v>1331.2129554655869</v>
      </c>
      <c r="W39" s="39">
        <v>0.14369742610811603</v>
      </c>
      <c r="X39" s="39">
        <v>338.84484868421043</v>
      </c>
      <c r="Y39" s="39">
        <v>3.6576516481456219E-2</v>
      </c>
      <c r="Z39" s="42">
        <v>214.02910148764687</v>
      </c>
      <c r="AA39" s="39">
        <v>2.3103314063865163E-2</v>
      </c>
      <c r="AB39" s="42">
        <v>1884.0869056374443</v>
      </c>
      <c r="AC39" s="42">
        <v>0.20337725665343742</v>
      </c>
      <c r="AD39" s="8"/>
      <c r="AF39" s="39"/>
      <c r="AG39" s="39"/>
      <c r="AH39" s="39"/>
      <c r="AI39" s="39"/>
      <c r="AJ39" s="39"/>
      <c r="AK39" s="39"/>
      <c r="AL39" s="39"/>
      <c r="AM39" s="39"/>
      <c r="AN39" s="39"/>
      <c r="AO39" s="39"/>
      <c r="AP39" s="39"/>
      <c r="AQ39" s="39"/>
      <c r="AR39" s="39"/>
      <c r="AS39" s="39"/>
      <c r="AT39" s="39"/>
      <c r="AU39" s="39"/>
    </row>
    <row r="40" spans="1:47" x14ac:dyDescent="0.35">
      <c r="A40" s="47" t="s">
        <v>246</v>
      </c>
      <c r="B40" t="s">
        <v>273</v>
      </c>
      <c r="C40" s="48">
        <v>1</v>
      </c>
      <c r="D40" s="48">
        <v>1</v>
      </c>
      <c r="E40" s="48">
        <v>30000</v>
      </c>
      <c r="F40" s="48">
        <v>14.95</v>
      </c>
      <c r="G40" s="48">
        <v>24</v>
      </c>
      <c r="H40" s="46">
        <v>48</v>
      </c>
      <c r="J40">
        <v>2</v>
      </c>
      <c r="K40" s="48">
        <v>52</v>
      </c>
      <c r="L40">
        <v>1</v>
      </c>
      <c r="M40">
        <v>1</v>
      </c>
      <c r="N40" s="42">
        <v>1</v>
      </c>
      <c r="O40">
        <v>778</v>
      </c>
      <c r="P40" s="20">
        <v>0.06</v>
      </c>
      <c r="Q40">
        <v>8</v>
      </c>
      <c r="R40" s="42"/>
      <c r="S40" s="41">
        <v>1.21457489878542E-4</v>
      </c>
      <c r="T40" s="20">
        <v>29.9</v>
      </c>
      <c r="U40" s="4">
        <v>15</v>
      </c>
      <c r="V40" s="39">
        <v>6.8560323886639392</v>
      </c>
      <c r="W40" s="39">
        <v>0.1428340080971654</v>
      </c>
      <c r="X40" s="39">
        <v>1.7451236842105189</v>
      </c>
      <c r="Y40" s="39">
        <v>3.6356743421052475E-2</v>
      </c>
      <c r="Z40" s="42">
        <v>1.1022958016531126</v>
      </c>
      <c r="AA40" s="39">
        <v>2.2964495867773178E-2</v>
      </c>
      <c r="AB40" s="42">
        <v>9.7034518745275697</v>
      </c>
      <c r="AC40" s="42">
        <v>0.20215524738599105</v>
      </c>
      <c r="AD40" s="8"/>
      <c r="AF40" s="39"/>
      <c r="AG40" s="39"/>
      <c r="AH40" s="39"/>
      <c r="AI40" s="39"/>
      <c r="AJ40" s="39"/>
      <c r="AK40" s="39"/>
      <c r="AL40" s="39"/>
      <c r="AM40" s="39"/>
      <c r="AN40" s="39"/>
      <c r="AO40" s="39"/>
      <c r="AP40" s="39"/>
      <c r="AQ40" s="39"/>
      <c r="AR40" s="39"/>
      <c r="AS40" s="39"/>
      <c r="AT40" s="39"/>
      <c r="AU40" s="39"/>
    </row>
    <row r="41" spans="1:47" x14ac:dyDescent="0.35">
      <c r="A41" s="47" t="s">
        <v>246</v>
      </c>
      <c r="B41" t="s">
        <v>274</v>
      </c>
      <c r="C41" s="48">
        <v>1</v>
      </c>
      <c r="D41" s="48">
        <v>1</v>
      </c>
      <c r="E41" s="48">
        <v>30183.706070287539</v>
      </c>
      <c r="F41" s="48">
        <v>14.950000000000001</v>
      </c>
      <c r="G41" s="48">
        <v>24</v>
      </c>
      <c r="H41" s="46">
        <v>15024</v>
      </c>
      <c r="J41">
        <v>626</v>
      </c>
      <c r="K41" s="48">
        <v>52</v>
      </c>
      <c r="L41">
        <v>13</v>
      </c>
      <c r="M41">
        <v>53</v>
      </c>
      <c r="N41" s="42">
        <v>4</v>
      </c>
      <c r="O41">
        <v>778</v>
      </c>
      <c r="P41" s="20">
        <v>18.899999999999999</v>
      </c>
      <c r="Q41">
        <v>8</v>
      </c>
      <c r="R41" s="42"/>
      <c r="S41" s="41">
        <v>3.8259109311740903E-2</v>
      </c>
      <c r="T41" s="20">
        <v>9358.7000000000007</v>
      </c>
      <c r="U41" s="4">
        <v>15</v>
      </c>
      <c r="V41" s="39">
        <v>2159.6502024291503</v>
      </c>
      <c r="W41" s="39">
        <v>0.14374668546519903</v>
      </c>
      <c r="X41" s="39">
        <v>549.71396052631599</v>
      </c>
      <c r="Y41" s="39">
        <v>3.6589054880612086E-2</v>
      </c>
      <c r="Z41" s="42">
        <v>347.22317752073201</v>
      </c>
      <c r="AA41" s="39">
        <v>2.3111233860538604E-2</v>
      </c>
      <c r="AB41" s="42">
        <v>3056.5873404761983</v>
      </c>
      <c r="AC41" s="42">
        <v>0.20344697420634972</v>
      </c>
      <c r="AD41" s="8"/>
      <c r="AF41" s="39"/>
      <c r="AG41" s="39"/>
      <c r="AH41" s="39"/>
      <c r="AI41" s="39"/>
      <c r="AJ41" s="39"/>
      <c r="AK41" s="39"/>
      <c r="AL41" s="39"/>
      <c r="AM41" s="39"/>
      <c r="AN41" s="39"/>
      <c r="AO41" s="39"/>
      <c r="AP41" s="39"/>
      <c r="AQ41" s="39"/>
      <c r="AR41" s="39"/>
      <c r="AS41" s="39"/>
      <c r="AT41" s="39"/>
      <c r="AU41" s="39"/>
    </row>
    <row r="42" spans="1:47" x14ac:dyDescent="0.35">
      <c r="A42" s="47" t="s">
        <v>246</v>
      </c>
      <c r="B42" t="s">
        <v>275</v>
      </c>
      <c r="C42" s="48">
        <v>1</v>
      </c>
      <c r="D42" s="48">
        <v>1</v>
      </c>
      <c r="E42" s="48">
        <v>30000</v>
      </c>
      <c r="F42" s="48">
        <v>14.95</v>
      </c>
      <c r="G42" s="48">
        <v>24</v>
      </c>
      <c r="H42" s="46">
        <v>48</v>
      </c>
      <c r="J42">
        <v>2</v>
      </c>
      <c r="K42" s="48">
        <v>52</v>
      </c>
      <c r="L42">
        <v>1</v>
      </c>
      <c r="M42">
        <v>1</v>
      </c>
      <c r="N42" s="42">
        <v>1</v>
      </c>
      <c r="O42">
        <v>778</v>
      </c>
      <c r="P42" s="20">
        <v>0.06</v>
      </c>
      <c r="Q42">
        <v>8</v>
      </c>
      <c r="R42" s="42"/>
      <c r="S42" s="41">
        <v>1.21457489878542E-4</v>
      </c>
      <c r="T42" s="20">
        <v>29.9</v>
      </c>
      <c r="U42" s="4">
        <v>15</v>
      </c>
      <c r="V42" s="39">
        <v>6.8560323886639392</v>
      </c>
      <c r="W42" s="39">
        <v>0.1428340080971654</v>
      </c>
      <c r="X42" s="39">
        <v>1.7451236842105189</v>
      </c>
      <c r="Y42" s="39">
        <v>3.6356743421052475E-2</v>
      </c>
      <c r="Z42" s="42">
        <v>1.1022958016531126</v>
      </c>
      <c r="AA42" s="39">
        <v>2.2964495867773178E-2</v>
      </c>
      <c r="AB42" s="42">
        <v>9.7034518745275697</v>
      </c>
      <c r="AC42" s="42">
        <v>0.20215524738599105</v>
      </c>
      <c r="AD42" s="8"/>
      <c r="AF42" s="39"/>
      <c r="AG42" s="39"/>
      <c r="AH42" s="39"/>
      <c r="AI42" s="39"/>
      <c r="AJ42" s="39"/>
      <c r="AK42" s="39"/>
      <c r="AL42" s="39"/>
      <c r="AM42" s="39"/>
      <c r="AN42" s="39"/>
      <c r="AO42" s="39"/>
      <c r="AP42" s="39"/>
      <c r="AQ42" s="39"/>
      <c r="AR42" s="39"/>
      <c r="AS42" s="39"/>
      <c r="AT42" s="39"/>
      <c r="AU42" s="39"/>
    </row>
    <row r="43" spans="1:47" x14ac:dyDescent="0.35">
      <c r="A43" s="47" t="s">
        <v>246</v>
      </c>
      <c r="B43" t="s">
        <v>276</v>
      </c>
      <c r="C43" s="48">
        <v>1</v>
      </c>
      <c r="D43" s="48">
        <v>1</v>
      </c>
      <c r="E43" s="48">
        <v>30183.794466403164</v>
      </c>
      <c r="F43" s="48">
        <v>14.950000000000001</v>
      </c>
      <c r="G43" s="48">
        <v>24</v>
      </c>
      <c r="H43" s="46">
        <v>12144</v>
      </c>
      <c r="J43">
        <v>506</v>
      </c>
      <c r="K43" s="48">
        <v>52</v>
      </c>
      <c r="L43">
        <v>10</v>
      </c>
      <c r="M43">
        <v>43</v>
      </c>
      <c r="N43" s="42">
        <v>3</v>
      </c>
      <c r="O43">
        <v>778</v>
      </c>
      <c r="P43" s="20">
        <v>15.27</v>
      </c>
      <c r="Q43">
        <v>8</v>
      </c>
      <c r="R43" s="42"/>
      <c r="S43" s="41">
        <v>3.09109311740891E-2</v>
      </c>
      <c r="T43" s="20">
        <v>7564.7000000000007</v>
      </c>
      <c r="U43" s="4">
        <v>15</v>
      </c>
      <c r="V43" s="39">
        <v>1744.8602429149814</v>
      </c>
      <c r="W43" s="39">
        <v>0.14368085004240624</v>
      </c>
      <c r="X43" s="39">
        <v>444.1339776315794</v>
      </c>
      <c r="Y43" s="39">
        <v>3.6572297235801993E-2</v>
      </c>
      <c r="Z43" s="42">
        <v>280.53428152071859</v>
      </c>
      <c r="AA43" s="39">
        <v>2.3100649005329266E-2</v>
      </c>
      <c r="AB43" s="42">
        <v>2469.5285020672795</v>
      </c>
      <c r="AC43" s="42">
        <v>0.2033537962835375</v>
      </c>
      <c r="AD43" s="8"/>
      <c r="AF43" s="39"/>
      <c r="AG43" s="39"/>
      <c r="AH43" s="39"/>
      <c r="AI43" s="39"/>
      <c r="AJ43" s="39"/>
      <c r="AK43" s="39"/>
      <c r="AL43" s="39"/>
      <c r="AM43" s="39"/>
      <c r="AN43" s="39"/>
      <c r="AO43" s="39"/>
      <c r="AP43" s="39"/>
      <c r="AQ43" s="39"/>
      <c r="AR43" s="39"/>
      <c r="AS43" s="39"/>
      <c r="AT43" s="39"/>
      <c r="AU43" s="39"/>
    </row>
    <row r="44" spans="1:47" x14ac:dyDescent="0.35">
      <c r="A44" s="47" t="s">
        <v>246</v>
      </c>
      <c r="B44" t="s">
        <v>277</v>
      </c>
      <c r="C44" s="48">
        <v>1</v>
      </c>
      <c r="D44" s="48">
        <v>1</v>
      </c>
      <c r="E44" s="48">
        <v>51000</v>
      </c>
      <c r="F44" s="48">
        <v>4.63</v>
      </c>
      <c r="G44" s="48">
        <v>84</v>
      </c>
      <c r="H44" s="46">
        <v>84</v>
      </c>
      <c r="J44">
        <v>1</v>
      </c>
      <c r="K44" s="48">
        <v>31</v>
      </c>
      <c r="L44">
        <v>1</v>
      </c>
      <c r="M44">
        <v>1</v>
      </c>
      <c r="N44" s="42">
        <v>1</v>
      </c>
      <c r="O44">
        <v>144</v>
      </c>
      <c r="P44" s="20">
        <v>0.05</v>
      </c>
      <c r="Q44">
        <v>8</v>
      </c>
      <c r="R44" s="42"/>
      <c r="S44" s="41">
        <v>1.01214574898785E-4</v>
      </c>
      <c r="T44" s="20">
        <v>4.63</v>
      </c>
      <c r="U44" s="4">
        <v>15</v>
      </c>
      <c r="V44" s="39">
        <v>5.713360323886616</v>
      </c>
      <c r="W44" s="39">
        <v>6.8016194331983526E-2</v>
      </c>
      <c r="X44" s="39">
        <v>1.4542697368420991</v>
      </c>
      <c r="Y44" s="39">
        <v>1.7312734962405943E-2</v>
      </c>
      <c r="Z44" s="42">
        <v>0.91857983471092708</v>
      </c>
      <c r="AA44" s="39">
        <v>1.0935474222749132E-2</v>
      </c>
      <c r="AB44" s="42">
        <v>8.0862098954396426</v>
      </c>
      <c r="AC44" s="42">
        <v>9.6264403517138608E-2</v>
      </c>
      <c r="AD44" s="8"/>
      <c r="AF44" s="39"/>
      <c r="AG44" s="39"/>
      <c r="AH44" s="39"/>
      <c r="AI44" s="39"/>
      <c r="AJ44" s="39"/>
      <c r="AK44" s="39"/>
      <c r="AL44" s="39"/>
      <c r="AM44" s="39"/>
      <c r="AN44" s="39"/>
      <c r="AO44" s="39"/>
      <c r="AP44" s="39"/>
      <c r="AQ44" s="39"/>
      <c r="AR44" s="39"/>
      <c r="AS44" s="39"/>
      <c r="AT44" s="39"/>
      <c r="AU44" s="39"/>
    </row>
    <row r="45" spans="1:47" x14ac:dyDescent="0.35">
      <c r="A45" s="47" t="s">
        <v>246</v>
      </c>
      <c r="B45" t="s">
        <v>278</v>
      </c>
      <c r="C45" s="48">
        <v>1</v>
      </c>
      <c r="D45" s="48">
        <v>1</v>
      </c>
      <c r="E45" s="48">
        <v>51000</v>
      </c>
      <c r="F45" s="48">
        <v>4.63</v>
      </c>
      <c r="G45" s="48">
        <v>84</v>
      </c>
      <c r="H45" s="46">
        <v>84</v>
      </c>
      <c r="J45">
        <v>1</v>
      </c>
      <c r="K45" s="48">
        <v>31</v>
      </c>
      <c r="L45">
        <v>1</v>
      </c>
      <c r="M45">
        <v>1</v>
      </c>
      <c r="N45" s="42">
        <v>1</v>
      </c>
      <c r="O45">
        <v>144</v>
      </c>
      <c r="P45" s="20">
        <v>0.05</v>
      </c>
      <c r="Q45">
        <v>8</v>
      </c>
      <c r="R45" s="42"/>
      <c r="S45" s="41">
        <v>1.01214574898785E-4</v>
      </c>
      <c r="T45" s="20">
        <v>4.63</v>
      </c>
      <c r="U45" s="4">
        <v>15</v>
      </c>
      <c r="V45" s="39">
        <v>5.713360323886616</v>
      </c>
      <c r="W45" s="39">
        <v>6.8016194331983526E-2</v>
      </c>
      <c r="X45" s="39">
        <v>1.4542697368420991</v>
      </c>
      <c r="Y45" s="39">
        <v>1.7312734962405943E-2</v>
      </c>
      <c r="Z45" s="42">
        <v>0.91857983471092708</v>
      </c>
      <c r="AA45" s="39">
        <v>1.0935474222749132E-2</v>
      </c>
      <c r="AB45" s="42">
        <v>8.0862098954396426</v>
      </c>
      <c r="AC45" s="42">
        <v>9.6264403517138608E-2</v>
      </c>
      <c r="AD45" s="8"/>
      <c r="AF45" s="39"/>
      <c r="AG45" s="39"/>
      <c r="AH45" s="39"/>
      <c r="AI45" s="39"/>
      <c r="AJ45" s="39"/>
      <c r="AK45" s="39"/>
      <c r="AL45" s="39"/>
      <c r="AM45" s="39"/>
      <c r="AN45" s="39"/>
      <c r="AO45" s="39"/>
      <c r="AP45" s="39"/>
      <c r="AQ45" s="39"/>
      <c r="AR45" s="39"/>
      <c r="AS45" s="39"/>
      <c r="AT45" s="39"/>
      <c r="AU45" s="39"/>
    </row>
    <row r="46" spans="1:47" x14ac:dyDescent="0.35">
      <c r="A46" s="47" t="s">
        <v>246</v>
      </c>
      <c r="B46" t="s">
        <v>279</v>
      </c>
      <c r="C46" s="48">
        <v>1</v>
      </c>
      <c r="D46" s="48">
        <v>1</v>
      </c>
      <c r="E46" s="48">
        <v>51000</v>
      </c>
      <c r="F46" s="48">
        <v>4.63</v>
      </c>
      <c r="G46" s="48">
        <v>84</v>
      </c>
      <c r="H46" s="46">
        <v>84</v>
      </c>
      <c r="J46">
        <v>1</v>
      </c>
      <c r="K46" s="48">
        <v>31</v>
      </c>
      <c r="L46">
        <v>1</v>
      </c>
      <c r="M46">
        <v>1</v>
      </c>
      <c r="N46" s="42">
        <v>1</v>
      </c>
      <c r="O46">
        <v>144</v>
      </c>
      <c r="P46" s="20">
        <v>0.05</v>
      </c>
      <c r="Q46">
        <v>8</v>
      </c>
      <c r="R46" s="42"/>
      <c r="S46" s="41">
        <v>1.01214574898785E-4</v>
      </c>
      <c r="T46" s="20">
        <v>4.63</v>
      </c>
      <c r="U46" s="4">
        <v>15</v>
      </c>
      <c r="V46" s="39">
        <v>5.713360323886616</v>
      </c>
      <c r="W46" s="39">
        <v>6.8016194331983526E-2</v>
      </c>
      <c r="X46" s="39">
        <v>1.4542697368420991</v>
      </c>
      <c r="Y46" s="39">
        <v>1.7312734962405943E-2</v>
      </c>
      <c r="Z46" s="42">
        <v>0.91857983471092708</v>
      </c>
      <c r="AA46" s="39">
        <v>1.0935474222749132E-2</v>
      </c>
      <c r="AB46" s="42">
        <v>8.0862098954396426</v>
      </c>
      <c r="AC46" s="42">
        <v>9.6264403517138608E-2</v>
      </c>
      <c r="AD46" s="8"/>
      <c r="AF46" s="39"/>
      <c r="AG46" s="39"/>
      <c r="AH46" s="39"/>
      <c r="AI46" s="39"/>
      <c r="AJ46" s="39"/>
      <c r="AK46" s="39"/>
      <c r="AL46" s="39"/>
      <c r="AM46" s="39"/>
      <c r="AN46" s="39"/>
      <c r="AO46" s="39"/>
      <c r="AP46" s="39"/>
      <c r="AQ46" s="39"/>
      <c r="AR46" s="39"/>
      <c r="AS46" s="39"/>
      <c r="AT46" s="39"/>
      <c r="AU46" s="39"/>
    </row>
    <row r="47" spans="1:47" x14ac:dyDescent="0.35">
      <c r="A47" s="47" t="s">
        <v>246</v>
      </c>
      <c r="B47" t="s">
        <v>280</v>
      </c>
      <c r="C47" s="48">
        <v>1</v>
      </c>
      <c r="D47" s="48">
        <v>1</v>
      </c>
      <c r="E47" s="48">
        <v>51000</v>
      </c>
      <c r="F47" s="48">
        <v>4.63</v>
      </c>
      <c r="G47" s="48">
        <v>84</v>
      </c>
      <c r="H47" s="46">
        <v>84</v>
      </c>
      <c r="J47">
        <v>1</v>
      </c>
      <c r="K47" s="48">
        <v>31</v>
      </c>
      <c r="L47">
        <v>1</v>
      </c>
      <c r="M47">
        <v>1</v>
      </c>
      <c r="N47" s="42">
        <v>1</v>
      </c>
      <c r="O47">
        <v>144</v>
      </c>
      <c r="P47" s="20">
        <v>0.05</v>
      </c>
      <c r="Q47">
        <v>8</v>
      </c>
      <c r="R47" s="42"/>
      <c r="S47" s="41">
        <v>1.01214574898785E-4</v>
      </c>
      <c r="T47" s="20">
        <v>4.63</v>
      </c>
      <c r="U47" s="4">
        <v>15</v>
      </c>
      <c r="V47" s="39">
        <v>5.713360323886616</v>
      </c>
      <c r="W47" s="39">
        <v>6.8016194331983526E-2</v>
      </c>
      <c r="X47" s="39">
        <v>1.4542697368420991</v>
      </c>
      <c r="Y47" s="39">
        <v>1.7312734962405943E-2</v>
      </c>
      <c r="Z47" s="42">
        <v>0.91857983471092708</v>
      </c>
      <c r="AA47" s="39">
        <v>1.0935474222749132E-2</v>
      </c>
      <c r="AB47" s="42">
        <v>8.0862098954396426</v>
      </c>
      <c r="AC47" s="42">
        <v>9.6264403517138608E-2</v>
      </c>
      <c r="AD47" s="8"/>
      <c r="AF47" s="39"/>
      <c r="AG47" s="39"/>
      <c r="AH47" s="39"/>
      <c r="AI47" s="39"/>
      <c r="AJ47" s="39"/>
      <c r="AK47" s="39"/>
      <c r="AL47" s="39"/>
      <c r="AM47" s="39"/>
      <c r="AN47" s="39"/>
      <c r="AO47" s="39"/>
      <c r="AP47" s="39"/>
      <c r="AQ47" s="39"/>
      <c r="AR47" s="39"/>
      <c r="AS47" s="39"/>
      <c r="AT47" s="39"/>
      <c r="AU47" s="39"/>
    </row>
    <row r="48" spans="1:47" x14ac:dyDescent="0.35">
      <c r="A48" s="47" t="s">
        <v>246</v>
      </c>
      <c r="B48" t="s">
        <v>281</v>
      </c>
      <c r="C48" s="48">
        <v>1</v>
      </c>
      <c r="D48" s="48">
        <v>1</v>
      </c>
      <c r="E48" s="48">
        <v>51000</v>
      </c>
      <c r="F48" s="48">
        <v>4.63</v>
      </c>
      <c r="G48" s="48">
        <v>84</v>
      </c>
      <c r="H48" s="46">
        <v>84</v>
      </c>
      <c r="J48">
        <v>1</v>
      </c>
      <c r="K48" s="48">
        <v>31</v>
      </c>
      <c r="L48">
        <v>1</v>
      </c>
      <c r="M48">
        <v>1</v>
      </c>
      <c r="N48" s="42">
        <v>1</v>
      </c>
      <c r="O48">
        <v>144</v>
      </c>
      <c r="P48" s="20">
        <v>0.05</v>
      </c>
      <c r="Q48">
        <v>8</v>
      </c>
      <c r="R48" s="42"/>
      <c r="S48" s="41">
        <v>1.01214574898785E-4</v>
      </c>
      <c r="T48" s="20">
        <v>4.63</v>
      </c>
      <c r="U48" s="4">
        <v>15</v>
      </c>
      <c r="V48" s="39">
        <v>5.713360323886616</v>
      </c>
      <c r="W48" s="39">
        <v>6.8016194331983526E-2</v>
      </c>
      <c r="X48" s="39">
        <v>1.4542697368420991</v>
      </c>
      <c r="Y48" s="39">
        <v>1.7312734962405943E-2</v>
      </c>
      <c r="Z48" s="42">
        <v>0.91857983471092708</v>
      </c>
      <c r="AA48" s="39">
        <v>1.0935474222749132E-2</v>
      </c>
      <c r="AB48" s="42">
        <v>8.0862098954396426</v>
      </c>
      <c r="AC48" s="42">
        <v>9.6264403517138608E-2</v>
      </c>
      <c r="AD48" s="8"/>
      <c r="AF48" s="39"/>
      <c r="AG48" s="39"/>
      <c r="AH48" s="39"/>
      <c r="AI48" s="39"/>
      <c r="AJ48" s="39"/>
      <c r="AK48" s="39"/>
      <c r="AL48" s="39"/>
      <c r="AM48" s="39"/>
      <c r="AN48" s="39"/>
      <c r="AO48" s="39"/>
      <c r="AP48" s="39"/>
      <c r="AQ48" s="39"/>
      <c r="AR48" s="39"/>
      <c r="AS48" s="39"/>
      <c r="AT48" s="39"/>
      <c r="AU48" s="39"/>
    </row>
    <row r="49" spans="1:47" x14ac:dyDescent="0.35">
      <c r="A49" s="47" t="s">
        <v>246</v>
      </c>
      <c r="B49" t="s">
        <v>282</v>
      </c>
      <c r="C49" s="48">
        <v>1</v>
      </c>
      <c r="D49" s="48">
        <v>1</v>
      </c>
      <c r="E49" s="48">
        <v>51000</v>
      </c>
      <c r="F49" s="48">
        <v>4.63</v>
      </c>
      <c r="G49" s="48">
        <v>84</v>
      </c>
      <c r="H49" s="46">
        <v>84</v>
      </c>
      <c r="J49">
        <v>1</v>
      </c>
      <c r="K49" s="48">
        <v>31</v>
      </c>
      <c r="L49">
        <v>1</v>
      </c>
      <c r="M49">
        <v>1</v>
      </c>
      <c r="N49" s="42">
        <v>1</v>
      </c>
      <c r="O49">
        <v>144</v>
      </c>
      <c r="P49" s="20">
        <v>0.05</v>
      </c>
      <c r="Q49">
        <v>8</v>
      </c>
      <c r="R49" s="42"/>
      <c r="S49" s="41">
        <v>1.01214574898785E-4</v>
      </c>
      <c r="T49" s="20">
        <v>4.63</v>
      </c>
      <c r="U49" s="4">
        <v>15</v>
      </c>
      <c r="V49" s="39">
        <v>5.713360323886616</v>
      </c>
      <c r="W49" s="39">
        <v>6.8016194331983526E-2</v>
      </c>
      <c r="X49" s="39">
        <v>1.4542697368420991</v>
      </c>
      <c r="Y49" s="39">
        <v>1.7312734962405943E-2</v>
      </c>
      <c r="Z49" s="42">
        <v>0.91857983471092708</v>
      </c>
      <c r="AA49" s="39">
        <v>1.0935474222749132E-2</v>
      </c>
      <c r="AB49" s="42">
        <v>8.0862098954396426</v>
      </c>
      <c r="AC49" s="42">
        <v>9.6264403517138608E-2</v>
      </c>
      <c r="AD49" s="8"/>
      <c r="AF49" s="39"/>
      <c r="AG49" s="39"/>
      <c r="AH49" s="39"/>
      <c r="AI49" s="39"/>
      <c r="AJ49" s="39"/>
      <c r="AK49" s="39"/>
      <c r="AL49" s="39"/>
      <c r="AM49" s="39"/>
      <c r="AN49" s="39"/>
      <c r="AO49" s="39"/>
      <c r="AP49" s="39"/>
      <c r="AQ49" s="39"/>
      <c r="AR49" s="39"/>
      <c r="AS49" s="39"/>
      <c r="AT49" s="39"/>
      <c r="AU49" s="39"/>
    </row>
    <row r="50" spans="1:47" x14ac:dyDescent="0.35">
      <c r="C50" s="49"/>
      <c r="D50" s="49"/>
      <c r="E50" s="49"/>
      <c r="F50" s="49"/>
      <c r="G50" s="49"/>
      <c r="H50" s="50"/>
      <c r="J50">
        <f>SUM(J2:J49)</f>
        <v>13500</v>
      </c>
      <c r="K50" s="49"/>
      <c r="L50">
        <f>SUM(L2:L49)</f>
        <v>353</v>
      </c>
      <c r="M50">
        <f>SUM(M2:M49)</f>
        <v>1167</v>
      </c>
      <c r="P50" s="20">
        <f>SUM(P2:P49)</f>
        <v>494.00000000000017</v>
      </c>
      <c r="Q50" s="4">
        <f>SUM(Q2:Q49)</f>
        <v>384</v>
      </c>
      <c r="R50" s="39">
        <f>SUM(R2:R49)</f>
        <v>0</v>
      </c>
      <c r="S50" s="45"/>
      <c r="T50" s="20">
        <f>SUM(T2:T49)</f>
        <v>193739.25999999995</v>
      </c>
      <c r="U50" s="4"/>
      <c r="V50" s="39">
        <f>SUM(V2:V49)</f>
        <v>56447.999999999942</v>
      </c>
      <c r="W50" s="39"/>
      <c r="X50" s="39">
        <f>SUM(X2:X49)</f>
        <v>14368.184999999983</v>
      </c>
      <c r="Y50" s="39"/>
      <c r="Z50" s="39">
        <f>SUM(Z2:Z49)</f>
        <v>9075.568766943994</v>
      </c>
      <c r="AA50" s="39"/>
      <c r="AB50" s="39">
        <f>SUM(AB2:AB49)</f>
        <v>79891.753766943919</v>
      </c>
      <c r="AC50" s="39"/>
      <c r="AD50" s="44"/>
      <c r="AF50" s="39"/>
      <c r="AG50" s="39"/>
      <c r="AH50" s="39"/>
      <c r="AI50" s="39"/>
      <c r="AJ50" s="39"/>
      <c r="AK50" s="39"/>
      <c r="AL50" s="39"/>
      <c r="AM50" s="39"/>
      <c r="AN50" s="39"/>
      <c r="AO50" s="39"/>
      <c r="AP50" s="39"/>
      <c r="AQ50" s="39"/>
      <c r="AR50" s="39"/>
      <c r="AS50" s="39"/>
      <c r="AT50" s="39"/>
      <c r="AU50" s="39"/>
    </row>
    <row r="51" spans="1:47" x14ac:dyDescent="0.35">
      <c r="C51" s="49"/>
      <c r="D51" s="49"/>
      <c r="E51" s="49"/>
      <c r="F51" s="49"/>
      <c r="G51" s="49"/>
      <c r="H51" s="46"/>
      <c r="K51" s="49"/>
      <c r="S51" s="20"/>
      <c r="U51" s="53"/>
      <c r="W51" s="20"/>
      <c r="X51" s="20"/>
      <c r="Y51" s="20"/>
      <c r="Z51" s="20"/>
      <c r="AA51" s="20"/>
      <c r="AB51" s="20"/>
      <c r="AC51" s="20"/>
      <c r="AD51" s="20"/>
      <c r="AF51" s="39"/>
      <c r="AG51" s="39"/>
      <c r="AH51" s="39"/>
      <c r="AI51" s="39"/>
      <c r="AJ51" s="39"/>
      <c r="AK51" s="39"/>
      <c r="AL51" s="39"/>
      <c r="AM51" s="39"/>
      <c r="AN51" s="39"/>
      <c r="AO51" s="39"/>
      <c r="AP51" s="39"/>
      <c r="AQ51" s="39"/>
      <c r="AR51" s="39"/>
      <c r="AS51" s="39"/>
      <c r="AT51" s="39"/>
      <c r="AU51" s="39"/>
    </row>
    <row r="52" spans="1:47" x14ac:dyDescent="0.35">
      <c r="C52" s="49"/>
      <c r="D52" s="49"/>
      <c r="E52" s="49"/>
      <c r="F52" s="49"/>
      <c r="G52" s="49"/>
      <c r="H52" s="46"/>
      <c r="K52" s="49"/>
      <c r="S52" s="20"/>
      <c r="U52" s="53"/>
      <c r="W52" s="20"/>
      <c r="X52" s="20"/>
      <c r="Y52" s="20"/>
      <c r="Z52" s="20"/>
      <c r="AA52" s="20"/>
      <c r="AB52" s="20"/>
      <c r="AC52" s="20"/>
      <c r="AD52" s="20"/>
      <c r="AF52" s="39"/>
      <c r="AG52" s="39"/>
      <c r="AH52" s="39"/>
      <c r="AI52" s="39"/>
      <c r="AJ52" s="39"/>
      <c r="AK52" s="39"/>
      <c r="AL52" s="39"/>
      <c r="AM52" s="39"/>
      <c r="AN52" s="39"/>
      <c r="AO52" s="39"/>
      <c r="AP52" s="39"/>
      <c r="AQ52" s="39"/>
      <c r="AR52" s="39"/>
      <c r="AS52" s="39"/>
      <c r="AT52" s="39"/>
      <c r="AU52" s="39"/>
    </row>
    <row r="53" spans="1:47" x14ac:dyDescent="0.35">
      <c r="C53" s="49"/>
      <c r="D53" s="49"/>
      <c r="E53" s="49"/>
      <c r="F53" s="49"/>
      <c r="G53" s="49"/>
      <c r="H53" s="46"/>
      <c r="K53" s="49"/>
      <c r="S53" s="20"/>
      <c r="U53" s="53"/>
      <c r="W53" s="20"/>
      <c r="X53" s="20"/>
      <c r="Y53" s="20"/>
      <c r="Z53" s="20"/>
      <c r="AA53" s="20"/>
      <c r="AB53" s="20"/>
      <c r="AC53" s="20"/>
      <c r="AD53" s="20"/>
      <c r="AF53" s="39"/>
      <c r="AG53" s="39"/>
      <c r="AH53" s="39"/>
      <c r="AI53" s="39"/>
      <c r="AJ53" s="39"/>
      <c r="AK53" s="39"/>
      <c r="AL53" s="39"/>
      <c r="AM53" s="39"/>
      <c r="AN53" s="39"/>
      <c r="AO53" s="39"/>
      <c r="AP53" s="39"/>
      <c r="AQ53" s="39"/>
      <c r="AR53" s="39"/>
      <c r="AS53" s="39"/>
      <c r="AT53" s="39"/>
      <c r="AU53" s="39"/>
    </row>
    <row r="54" spans="1:47" x14ac:dyDescent="0.35">
      <c r="C54" s="49"/>
      <c r="D54" s="49"/>
      <c r="E54" s="49"/>
      <c r="F54" s="49"/>
      <c r="G54" s="49"/>
      <c r="H54" s="46"/>
      <c r="K54" s="49"/>
      <c r="S54" s="20"/>
      <c r="U54" s="53"/>
      <c r="W54" s="20"/>
      <c r="X54" s="20"/>
      <c r="Y54" s="20"/>
      <c r="Z54" s="20"/>
      <c r="AA54" s="20"/>
      <c r="AB54" s="20"/>
      <c r="AC54" s="20"/>
      <c r="AD54" s="20"/>
      <c r="AF54" s="39"/>
      <c r="AG54" s="39"/>
      <c r="AH54" s="39"/>
      <c r="AI54" s="39"/>
      <c r="AJ54" s="39"/>
      <c r="AK54" s="39"/>
      <c r="AL54" s="39"/>
      <c r="AM54" s="39"/>
      <c r="AN54" s="39"/>
      <c r="AO54" s="39"/>
      <c r="AP54" s="39"/>
      <c r="AQ54" s="39"/>
      <c r="AR54" s="39"/>
      <c r="AS54" s="39"/>
      <c r="AT54" s="39"/>
      <c r="AU54" s="39"/>
    </row>
    <row r="55" spans="1:47" x14ac:dyDescent="0.35">
      <c r="C55" s="49"/>
      <c r="D55" s="49"/>
      <c r="E55" s="49"/>
      <c r="F55" s="49"/>
      <c r="G55" s="49"/>
      <c r="H55" s="46"/>
      <c r="K55" s="49"/>
      <c r="S55" s="20"/>
      <c r="U55" s="53"/>
      <c r="W55" s="20"/>
      <c r="X55" s="20"/>
      <c r="Y55" s="20"/>
      <c r="Z55" s="20"/>
      <c r="AA55" s="20"/>
      <c r="AB55" s="20"/>
      <c r="AC55" s="20"/>
      <c r="AD55" s="20"/>
      <c r="AF55" s="39"/>
      <c r="AG55" s="39"/>
      <c r="AH55" s="39"/>
      <c r="AI55" s="39"/>
      <c r="AJ55" s="39"/>
      <c r="AK55" s="39"/>
      <c r="AL55" s="39"/>
      <c r="AM55" s="39"/>
      <c r="AN55" s="39"/>
      <c r="AO55" s="39"/>
      <c r="AP55" s="39"/>
      <c r="AQ55" s="39"/>
      <c r="AR55" s="39"/>
      <c r="AS55" s="39"/>
      <c r="AT55" s="39"/>
      <c r="AU55" s="39"/>
    </row>
    <row r="56" spans="1:47" x14ac:dyDescent="0.35">
      <c r="C56" s="49"/>
      <c r="D56" s="49"/>
      <c r="E56" s="49"/>
      <c r="F56" s="49"/>
      <c r="G56" s="49"/>
      <c r="H56" s="46"/>
      <c r="K56" s="49"/>
      <c r="S56" s="20"/>
      <c r="U56" s="53"/>
      <c r="W56" s="20"/>
      <c r="X56" s="20"/>
      <c r="Y56" s="20"/>
      <c r="Z56" s="20"/>
      <c r="AA56" s="20"/>
      <c r="AB56" s="20"/>
      <c r="AC56" s="20"/>
      <c r="AD56" s="20"/>
      <c r="AF56" s="39"/>
      <c r="AG56" s="39"/>
      <c r="AH56" s="39"/>
      <c r="AI56" s="39"/>
      <c r="AJ56" s="39"/>
      <c r="AK56" s="39"/>
      <c r="AL56" s="39"/>
      <c r="AM56" s="39"/>
      <c r="AN56" s="39"/>
      <c r="AO56" s="39"/>
      <c r="AP56" s="39"/>
      <c r="AQ56" s="39"/>
      <c r="AR56" s="39"/>
      <c r="AS56" s="39"/>
      <c r="AT56" s="39"/>
      <c r="AU56" s="39"/>
    </row>
    <row r="57" spans="1:47" x14ac:dyDescent="0.35">
      <c r="C57" s="49"/>
      <c r="D57" s="49"/>
      <c r="E57" s="49"/>
      <c r="F57" s="49"/>
      <c r="G57" s="49"/>
      <c r="H57" s="46"/>
      <c r="K57" s="49"/>
      <c r="S57" s="20"/>
      <c r="U57" s="53"/>
      <c r="W57" s="20"/>
      <c r="X57" s="20"/>
      <c r="Y57" s="20"/>
      <c r="Z57" s="20"/>
      <c r="AA57" s="20"/>
      <c r="AB57" s="20"/>
      <c r="AC57" s="20"/>
      <c r="AD57" s="20"/>
      <c r="AF57" s="39"/>
      <c r="AG57" s="39"/>
      <c r="AH57" s="39"/>
      <c r="AI57" s="39"/>
      <c r="AJ57" s="39"/>
      <c r="AK57" s="39"/>
      <c r="AL57" s="39"/>
      <c r="AM57" s="39"/>
      <c r="AN57" s="39"/>
      <c r="AO57" s="39"/>
      <c r="AP57" s="39"/>
      <c r="AQ57" s="39"/>
      <c r="AR57" s="39"/>
      <c r="AS57" s="39"/>
      <c r="AT57" s="39"/>
      <c r="AU57" s="39"/>
    </row>
    <row r="58" spans="1:47" x14ac:dyDescent="0.35">
      <c r="C58" s="49"/>
      <c r="D58" s="49"/>
      <c r="E58" s="49"/>
      <c r="F58" s="49"/>
      <c r="G58" s="49"/>
      <c r="H58" s="46"/>
      <c r="K58" s="49"/>
      <c r="S58" s="20"/>
      <c r="U58" s="53"/>
      <c r="W58" s="20"/>
      <c r="X58" s="20"/>
      <c r="Y58" s="20"/>
      <c r="Z58" s="20"/>
      <c r="AA58" s="20"/>
      <c r="AB58" s="20"/>
      <c r="AC58" s="20"/>
      <c r="AD58" s="20"/>
      <c r="AF58" s="39"/>
      <c r="AG58" s="39"/>
      <c r="AH58" s="39"/>
      <c r="AI58" s="39"/>
      <c r="AJ58" s="39"/>
      <c r="AK58" s="39"/>
      <c r="AL58" s="39"/>
      <c r="AM58" s="39"/>
      <c r="AN58" s="39"/>
      <c r="AO58" s="39"/>
      <c r="AP58" s="39"/>
      <c r="AQ58" s="39"/>
      <c r="AR58" s="39"/>
      <c r="AS58" s="39"/>
      <c r="AT58" s="39"/>
      <c r="AU58" s="39"/>
    </row>
    <row r="59" spans="1:47" x14ac:dyDescent="0.35">
      <c r="C59" s="49"/>
      <c r="D59" s="49"/>
      <c r="E59" s="49"/>
      <c r="F59" s="49"/>
      <c r="H59" s="46"/>
      <c r="K59" s="49"/>
      <c r="S59" s="20"/>
      <c r="U59" s="53"/>
      <c r="W59" s="20"/>
      <c r="X59" s="20"/>
      <c r="Y59" s="20"/>
      <c r="Z59" s="20"/>
      <c r="AA59" s="20"/>
      <c r="AB59" s="20"/>
      <c r="AC59" s="20"/>
      <c r="AD59" s="20"/>
      <c r="AF59" s="39"/>
      <c r="AG59" s="39"/>
      <c r="AH59" s="39"/>
      <c r="AI59" s="39"/>
      <c r="AJ59" s="39"/>
      <c r="AK59" s="39"/>
      <c r="AL59" s="39"/>
      <c r="AM59" s="39"/>
      <c r="AN59" s="39"/>
      <c r="AO59" s="39"/>
      <c r="AP59" s="39"/>
      <c r="AQ59" s="39"/>
      <c r="AR59" s="39"/>
      <c r="AS59" s="39"/>
      <c r="AT59" s="39"/>
      <c r="AU59" s="39"/>
    </row>
    <row r="60" spans="1:47" x14ac:dyDescent="0.35">
      <c r="C60" s="49"/>
      <c r="D60" s="49"/>
      <c r="E60" s="49"/>
      <c r="F60" s="49"/>
      <c r="H60" s="46"/>
      <c r="K60" s="49"/>
      <c r="S60" s="20"/>
      <c r="U60" s="53"/>
      <c r="W60" s="20"/>
      <c r="X60" s="20"/>
      <c r="Y60" s="20"/>
      <c r="Z60" s="20"/>
      <c r="AA60" s="20"/>
      <c r="AB60" s="20"/>
      <c r="AC60" s="20"/>
      <c r="AD60" s="20"/>
      <c r="AF60" s="39"/>
      <c r="AG60" s="39"/>
      <c r="AH60" s="39"/>
      <c r="AI60" s="39"/>
      <c r="AJ60" s="39"/>
      <c r="AK60" s="39"/>
      <c r="AL60" s="39"/>
      <c r="AM60" s="39"/>
      <c r="AN60" s="39"/>
      <c r="AO60" s="39"/>
      <c r="AP60" s="39"/>
      <c r="AQ60" s="39"/>
      <c r="AR60" s="39"/>
      <c r="AS60" s="39"/>
      <c r="AT60" s="39"/>
      <c r="AU60" s="39"/>
    </row>
    <row r="61" spans="1:47" x14ac:dyDescent="0.35">
      <c r="C61" s="49"/>
      <c r="D61" s="49"/>
      <c r="E61" s="49"/>
      <c r="F61" s="49"/>
      <c r="H61" s="46"/>
      <c r="K61" s="49"/>
      <c r="S61" s="20"/>
      <c r="U61" s="53"/>
      <c r="W61" s="20"/>
      <c r="X61" s="20"/>
      <c r="Y61" s="20"/>
      <c r="Z61" s="20"/>
      <c r="AA61" s="20"/>
      <c r="AB61" s="20"/>
      <c r="AC61" s="20"/>
      <c r="AD61" s="20"/>
      <c r="AF61" s="39"/>
      <c r="AG61" s="39"/>
      <c r="AH61" s="39"/>
      <c r="AI61" s="39"/>
      <c r="AJ61" s="39"/>
      <c r="AK61" s="39"/>
      <c r="AL61" s="39"/>
      <c r="AM61" s="39"/>
      <c r="AN61" s="39"/>
      <c r="AO61" s="39"/>
      <c r="AP61" s="39"/>
      <c r="AQ61" s="39"/>
      <c r="AR61" s="39"/>
      <c r="AS61" s="39"/>
      <c r="AT61" s="39"/>
      <c r="AU61" s="39"/>
    </row>
    <row r="62" spans="1:47" x14ac:dyDescent="0.35">
      <c r="C62" s="49"/>
      <c r="D62" s="49"/>
      <c r="E62" s="49"/>
      <c r="F62" s="49"/>
      <c r="H62" s="46"/>
      <c r="S62" s="20"/>
      <c r="U62" s="53"/>
      <c r="W62" s="20"/>
      <c r="X62" s="20"/>
      <c r="Y62" s="20"/>
      <c r="Z62" s="20"/>
      <c r="AA62" s="20"/>
      <c r="AB62" s="20"/>
      <c r="AC62" s="20"/>
      <c r="AD62" s="20"/>
      <c r="AF62" s="39"/>
      <c r="AG62" s="39"/>
      <c r="AH62" s="39"/>
      <c r="AI62" s="39"/>
      <c r="AJ62" s="39"/>
      <c r="AK62" s="39"/>
      <c r="AL62" s="39"/>
      <c r="AM62" s="39"/>
      <c r="AN62" s="39"/>
      <c r="AO62" s="39"/>
      <c r="AP62" s="39"/>
      <c r="AQ62" s="39"/>
      <c r="AR62" s="39"/>
      <c r="AS62" s="39"/>
      <c r="AT62" s="39"/>
      <c r="AU62" s="39"/>
    </row>
    <row r="63" spans="1:47" x14ac:dyDescent="0.35">
      <c r="C63" s="49"/>
      <c r="D63" s="49"/>
      <c r="E63" s="49"/>
      <c r="F63" s="49"/>
      <c r="S63" s="20"/>
      <c r="U63" s="53"/>
      <c r="W63" s="20"/>
      <c r="X63" s="20"/>
      <c r="Y63" s="20"/>
      <c r="Z63" s="20"/>
      <c r="AA63" s="20"/>
      <c r="AB63" s="20"/>
      <c r="AC63" s="20"/>
      <c r="AD63" s="20"/>
      <c r="AF63" s="39"/>
      <c r="AG63" s="39"/>
      <c r="AH63" s="39"/>
      <c r="AI63" s="39"/>
      <c r="AJ63" s="39"/>
      <c r="AK63" s="39"/>
      <c r="AL63" s="39"/>
      <c r="AM63" s="39"/>
      <c r="AN63" s="39"/>
      <c r="AO63" s="39"/>
      <c r="AP63" s="39"/>
      <c r="AQ63" s="39"/>
      <c r="AR63" s="39"/>
      <c r="AS63" s="39"/>
      <c r="AT63" s="39"/>
      <c r="AU63" s="39"/>
    </row>
    <row r="64" spans="1:47" x14ac:dyDescent="0.35">
      <c r="S64" s="20"/>
      <c r="U64" s="53"/>
      <c r="W64" s="20"/>
      <c r="X64" s="20"/>
      <c r="Y64" s="20"/>
      <c r="Z64" s="20"/>
      <c r="AA64" s="20"/>
      <c r="AB64" s="20"/>
      <c r="AC64" s="20"/>
      <c r="AD64" s="20"/>
      <c r="AF64" s="39"/>
      <c r="AG64" s="39"/>
      <c r="AH64" s="39"/>
      <c r="AI64" s="39"/>
      <c r="AJ64" s="39"/>
      <c r="AK64" s="39"/>
      <c r="AL64" s="39"/>
      <c r="AM64" s="39"/>
      <c r="AN64" s="39"/>
      <c r="AO64" s="39"/>
      <c r="AP64" s="39"/>
      <c r="AQ64" s="39"/>
      <c r="AR64" s="39"/>
      <c r="AS64" s="39"/>
      <c r="AT64" s="39"/>
      <c r="AU64" s="39"/>
    </row>
    <row r="65" spans="19:47" x14ac:dyDescent="0.35">
      <c r="S65" s="20"/>
      <c r="U65" s="53"/>
      <c r="W65" s="20"/>
      <c r="X65" s="20"/>
      <c r="Y65" s="20"/>
      <c r="Z65" s="20"/>
      <c r="AA65" s="20"/>
      <c r="AB65" s="20"/>
      <c r="AC65" s="20"/>
      <c r="AD65" s="20"/>
      <c r="AF65" s="39"/>
      <c r="AG65" s="39"/>
      <c r="AH65" s="39"/>
      <c r="AI65" s="39"/>
      <c r="AJ65" s="39"/>
      <c r="AK65" s="39"/>
      <c r="AL65" s="39"/>
      <c r="AM65" s="39"/>
      <c r="AN65" s="39"/>
      <c r="AO65" s="39"/>
      <c r="AP65" s="39"/>
      <c r="AQ65" s="39"/>
      <c r="AR65" s="39"/>
      <c r="AS65" s="39"/>
      <c r="AT65" s="39"/>
      <c r="AU65" s="39"/>
    </row>
    <row r="66" spans="19:47" x14ac:dyDescent="0.35">
      <c r="S66" s="20"/>
      <c r="U66" s="53"/>
      <c r="W66" s="20"/>
      <c r="X66" s="20"/>
      <c r="Y66" s="20"/>
      <c r="Z66" s="20"/>
      <c r="AA66" s="20"/>
      <c r="AB66" s="20"/>
      <c r="AC66" s="20"/>
      <c r="AD66" s="20"/>
      <c r="AF66" s="39"/>
      <c r="AG66" s="39"/>
      <c r="AH66" s="39"/>
      <c r="AI66" s="39"/>
      <c r="AJ66" s="39"/>
      <c r="AK66" s="39"/>
      <c r="AL66" s="39"/>
      <c r="AM66" s="39"/>
      <c r="AN66" s="39"/>
      <c r="AO66" s="39"/>
      <c r="AP66" s="39"/>
      <c r="AQ66" s="39"/>
      <c r="AR66" s="39"/>
      <c r="AS66" s="39"/>
      <c r="AT66" s="39"/>
      <c r="AU66" s="39"/>
    </row>
    <row r="67" spans="19:47" x14ac:dyDescent="0.35">
      <c r="S67" s="20"/>
      <c r="U67" s="53"/>
      <c r="W67" s="20"/>
      <c r="X67" s="20"/>
      <c r="Y67" s="20"/>
      <c r="Z67" s="20"/>
      <c r="AA67" s="20"/>
      <c r="AB67" s="20"/>
      <c r="AC67" s="20"/>
      <c r="AD67" s="20"/>
      <c r="AF67" s="39"/>
      <c r="AG67" s="39"/>
      <c r="AH67" s="39"/>
      <c r="AI67" s="39"/>
      <c r="AJ67" s="39"/>
      <c r="AK67" s="39"/>
      <c r="AL67" s="39"/>
      <c r="AM67" s="39"/>
      <c r="AN67" s="39"/>
      <c r="AO67" s="39"/>
      <c r="AP67" s="39"/>
      <c r="AQ67" s="39"/>
      <c r="AR67" s="39"/>
      <c r="AS67" s="39"/>
      <c r="AT67" s="39"/>
      <c r="AU67" s="39"/>
    </row>
    <row r="68" spans="19:47" x14ac:dyDescent="0.35">
      <c r="S68" s="20"/>
      <c r="U68" s="53"/>
      <c r="W68" s="20"/>
      <c r="X68" s="20"/>
      <c r="Y68" s="20"/>
      <c r="Z68" s="20"/>
      <c r="AA68" s="20"/>
      <c r="AB68" s="20"/>
      <c r="AC68" s="20"/>
      <c r="AD68" s="20"/>
      <c r="AF68" s="39"/>
      <c r="AG68" s="39"/>
      <c r="AH68" s="39"/>
      <c r="AI68" s="39"/>
      <c r="AJ68" s="39"/>
      <c r="AK68" s="39"/>
      <c r="AL68" s="39"/>
      <c r="AM68" s="39"/>
      <c r="AN68" s="39"/>
      <c r="AO68" s="39"/>
      <c r="AP68" s="39"/>
      <c r="AQ68" s="39"/>
      <c r="AR68" s="39"/>
      <c r="AS68" s="39"/>
      <c r="AT68" s="39"/>
      <c r="AU68" s="39"/>
    </row>
    <row r="69" spans="19:47" x14ac:dyDescent="0.35">
      <c r="S69" s="20"/>
      <c r="U69" s="53"/>
      <c r="W69" s="20"/>
      <c r="X69" s="20"/>
      <c r="Y69" s="20"/>
      <c r="Z69" s="20"/>
      <c r="AA69" s="20"/>
      <c r="AB69" s="20"/>
      <c r="AC69" s="20"/>
      <c r="AD69" s="20"/>
      <c r="AF69" s="39"/>
      <c r="AG69" s="39"/>
      <c r="AH69" s="39"/>
      <c r="AI69" s="39"/>
      <c r="AJ69" s="39"/>
      <c r="AK69" s="39"/>
      <c r="AL69" s="39"/>
      <c r="AM69" s="39"/>
      <c r="AN69" s="39"/>
      <c r="AO69" s="39"/>
      <c r="AP69" s="39"/>
      <c r="AQ69" s="39"/>
      <c r="AR69" s="39"/>
      <c r="AS69" s="39"/>
      <c r="AT69" s="39"/>
      <c r="AU69" s="39"/>
    </row>
    <row r="70" spans="19:47" x14ac:dyDescent="0.35">
      <c r="S70" s="20"/>
      <c r="U70" s="53"/>
      <c r="W70" s="20"/>
      <c r="X70" s="20"/>
      <c r="Y70" s="20"/>
      <c r="Z70" s="20"/>
      <c r="AA70" s="20"/>
      <c r="AB70" s="20"/>
      <c r="AC70" s="20"/>
      <c r="AD70" s="20"/>
      <c r="AF70" s="39"/>
      <c r="AG70" s="39"/>
      <c r="AH70" s="39"/>
      <c r="AI70" s="39"/>
      <c r="AJ70" s="39"/>
      <c r="AK70" s="39"/>
      <c r="AL70" s="39"/>
      <c r="AM70" s="39"/>
      <c r="AN70" s="39"/>
      <c r="AO70" s="39"/>
      <c r="AP70" s="39"/>
      <c r="AQ70" s="39"/>
      <c r="AR70" s="39"/>
      <c r="AS70" s="39"/>
      <c r="AT70" s="39"/>
      <c r="AU70" s="39"/>
    </row>
    <row r="71" spans="19:47" x14ac:dyDescent="0.35">
      <c r="S71" s="20"/>
      <c r="U71" s="53"/>
      <c r="W71" s="20"/>
      <c r="X71" s="20"/>
      <c r="Y71" s="20"/>
      <c r="Z71" s="20"/>
      <c r="AA71" s="20"/>
      <c r="AB71" s="20"/>
      <c r="AC71" s="20"/>
      <c r="AD71" s="20"/>
      <c r="AF71" s="39"/>
      <c r="AG71" s="39"/>
      <c r="AH71" s="39"/>
      <c r="AI71" s="39"/>
      <c r="AJ71" s="39"/>
      <c r="AK71" s="39"/>
      <c r="AL71" s="39"/>
      <c r="AM71" s="39"/>
      <c r="AN71" s="39"/>
      <c r="AO71" s="39"/>
      <c r="AP71" s="39"/>
      <c r="AQ71" s="39"/>
      <c r="AR71" s="39"/>
      <c r="AS71" s="39"/>
      <c r="AT71" s="39"/>
      <c r="AU71" s="39"/>
    </row>
    <row r="72" spans="19:47" x14ac:dyDescent="0.35">
      <c r="S72" s="20"/>
      <c r="U72" s="53"/>
      <c r="W72" s="20"/>
      <c r="X72" s="20"/>
      <c r="Y72" s="20"/>
      <c r="Z72" s="20"/>
      <c r="AA72" s="20"/>
      <c r="AB72" s="20"/>
      <c r="AC72" s="20"/>
      <c r="AD72" s="20"/>
      <c r="AO72" s="39"/>
      <c r="AP72" s="39"/>
      <c r="AQ72" s="39"/>
      <c r="AR72" s="39"/>
      <c r="AS72" s="39"/>
      <c r="AT72" s="39"/>
      <c r="AU72" s="39"/>
    </row>
    <row r="73" spans="19:47" x14ac:dyDescent="0.35">
      <c r="S73" s="20"/>
      <c r="U73" s="53"/>
      <c r="W73" s="20"/>
      <c r="X73" s="20"/>
      <c r="Y73" s="20"/>
      <c r="Z73" s="20"/>
      <c r="AA73" s="20"/>
      <c r="AB73" s="20"/>
      <c r="AC73" s="20"/>
      <c r="AD73" s="20"/>
      <c r="AO73" s="39"/>
      <c r="AP73" s="39"/>
      <c r="AQ73" s="39"/>
      <c r="AR73" s="39"/>
      <c r="AS73" s="39"/>
      <c r="AT73" s="39"/>
      <c r="AU73" s="39"/>
    </row>
    <row r="74" spans="19:47" x14ac:dyDescent="0.35">
      <c r="S74" s="20"/>
      <c r="U74" s="53"/>
      <c r="W74" s="20"/>
      <c r="X74" s="20"/>
      <c r="Y74" s="20"/>
      <c r="Z74" s="20"/>
      <c r="AA74" s="20"/>
      <c r="AB74" s="20"/>
      <c r="AC74" s="20"/>
      <c r="AD74" s="20"/>
      <c r="AO74" s="39"/>
      <c r="AP74" s="39"/>
      <c r="AQ74" s="39"/>
      <c r="AR74" s="39"/>
      <c r="AS74" s="39"/>
      <c r="AT74" s="39"/>
      <c r="AU74" s="39"/>
    </row>
    <row r="75" spans="19:47" x14ac:dyDescent="0.35">
      <c r="S75" s="20"/>
      <c r="U75" s="53"/>
      <c r="W75" s="20"/>
      <c r="X75" s="20"/>
      <c r="Y75" s="20"/>
      <c r="Z75" s="20"/>
      <c r="AA75" s="20"/>
      <c r="AB75" s="20"/>
      <c r="AC75" s="20"/>
      <c r="AD75" s="20"/>
      <c r="AO75" s="39"/>
      <c r="AP75" s="39"/>
      <c r="AQ75" s="39"/>
      <c r="AR75" s="39"/>
      <c r="AS75" s="39"/>
      <c r="AT75" s="39"/>
      <c r="AU75" s="39"/>
    </row>
    <row r="76" spans="19:47" x14ac:dyDescent="0.35">
      <c r="S76" s="20"/>
      <c r="U76" s="53"/>
      <c r="W76" s="20"/>
      <c r="X76" s="20"/>
      <c r="Y76" s="20"/>
      <c r="Z76" s="20"/>
      <c r="AA76" s="20"/>
      <c r="AB76" s="20"/>
      <c r="AC76" s="20"/>
      <c r="AD76" s="20"/>
      <c r="AO76" s="39"/>
      <c r="AP76" s="39"/>
      <c r="AQ76" s="39"/>
      <c r="AR76" s="39"/>
      <c r="AS76" s="39"/>
      <c r="AT76" s="39"/>
      <c r="AU76" s="39"/>
    </row>
    <row r="77" spans="19:47" x14ac:dyDescent="0.35">
      <c r="S77" s="20"/>
      <c r="U77" s="53"/>
      <c r="W77" s="20"/>
      <c r="X77" s="20"/>
      <c r="Y77" s="20"/>
      <c r="Z77" s="20"/>
      <c r="AA77" s="20"/>
      <c r="AB77" s="20"/>
      <c r="AC77" s="20"/>
      <c r="AD77" s="20"/>
      <c r="AO77" s="39"/>
      <c r="AP77" s="39"/>
      <c r="AQ77" s="39"/>
      <c r="AR77" s="39"/>
      <c r="AS77" s="39"/>
      <c r="AT77" s="39"/>
      <c r="AU77" s="39"/>
    </row>
    <row r="78" spans="19:47" x14ac:dyDescent="0.35">
      <c r="S78" s="20"/>
      <c r="U78" s="53"/>
      <c r="W78" s="20"/>
      <c r="X78" s="20"/>
      <c r="Y78" s="20"/>
      <c r="Z78" s="20"/>
      <c r="AA78" s="20"/>
      <c r="AB78" s="20"/>
      <c r="AC78" s="20"/>
      <c r="AD78" s="20"/>
      <c r="AQ78" s="39"/>
      <c r="AR78" s="39"/>
      <c r="AS78" s="39"/>
      <c r="AT78" s="39"/>
      <c r="AU78" s="39"/>
    </row>
    <row r="79" spans="19:47" x14ac:dyDescent="0.35">
      <c r="S79" s="20"/>
      <c r="U79" s="53"/>
      <c r="W79" s="20"/>
      <c r="X79" s="20"/>
      <c r="Y79" s="20"/>
      <c r="Z79" s="20"/>
      <c r="AA79" s="20"/>
      <c r="AB79" s="20"/>
      <c r="AC79" s="20"/>
      <c r="AD79" s="20"/>
      <c r="AQ79" s="39"/>
      <c r="AR79" s="39"/>
      <c r="AS79" s="39"/>
      <c r="AT79" s="39"/>
      <c r="AU79" s="39"/>
    </row>
    <row r="80" spans="19:47" x14ac:dyDescent="0.35">
      <c r="S80" s="20"/>
      <c r="U80" s="53"/>
      <c r="W80" s="20"/>
      <c r="X80" s="20"/>
      <c r="Y80" s="20"/>
      <c r="Z80" s="20"/>
      <c r="AA80" s="20"/>
      <c r="AB80" s="20"/>
      <c r="AC80" s="20"/>
      <c r="AD80" s="20"/>
      <c r="AQ80" s="39"/>
      <c r="AR80" s="39"/>
      <c r="AS80" s="39"/>
      <c r="AT80" s="39"/>
      <c r="AU80" s="39"/>
    </row>
    <row r="81" spans="19:47" x14ac:dyDescent="0.35">
      <c r="S81" s="20"/>
      <c r="U81" s="53"/>
      <c r="W81" s="20"/>
      <c r="X81" s="20"/>
      <c r="Y81" s="20"/>
      <c r="Z81" s="20"/>
      <c r="AA81" s="20"/>
      <c r="AB81" s="20"/>
      <c r="AC81" s="20"/>
      <c r="AD81" s="20"/>
      <c r="AQ81" s="39"/>
      <c r="AR81" s="39"/>
      <c r="AS81" s="39"/>
      <c r="AT81" s="39"/>
      <c r="AU81" s="39"/>
    </row>
    <row r="82" spans="19:47" x14ac:dyDescent="0.35">
      <c r="S82" s="20"/>
      <c r="U82" s="53"/>
      <c r="W82" s="20"/>
      <c r="X82" s="20"/>
      <c r="Y82" s="20"/>
      <c r="Z82" s="20"/>
      <c r="AA82" s="20"/>
      <c r="AB82" s="20"/>
      <c r="AC82" s="20"/>
      <c r="AD82" s="20"/>
      <c r="AQ82" s="39"/>
      <c r="AR82" s="39"/>
      <c r="AS82" s="39"/>
      <c r="AT82" s="39"/>
      <c r="AU82" s="39"/>
    </row>
    <row r="83" spans="19:47" x14ac:dyDescent="0.35">
      <c r="S83" s="20"/>
      <c r="U83" s="53"/>
      <c r="W83" s="20"/>
      <c r="X83" s="20"/>
      <c r="Y83" s="20"/>
      <c r="Z83" s="20"/>
      <c r="AA83" s="20"/>
      <c r="AB83" s="20"/>
      <c r="AC83" s="20"/>
      <c r="AD83" s="20"/>
      <c r="AQ83" s="39"/>
      <c r="AR83" s="39"/>
      <c r="AS83" s="39"/>
      <c r="AT83" s="39"/>
      <c r="AU83" s="39"/>
    </row>
    <row r="84" spans="19:47" x14ac:dyDescent="0.35">
      <c r="S84" s="20"/>
      <c r="U84" s="53"/>
      <c r="W84" s="20"/>
      <c r="X84" s="20"/>
      <c r="Y84" s="20"/>
      <c r="Z84" s="20"/>
      <c r="AA84" s="20"/>
      <c r="AB84" s="20"/>
      <c r="AC84" s="20"/>
      <c r="AD84" s="20"/>
      <c r="AQ84" s="39"/>
      <c r="AR84" s="39"/>
      <c r="AS84" s="39"/>
      <c r="AT84" s="39"/>
      <c r="AU84" s="39"/>
    </row>
    <row r="85" spans="19:47" x14ac:dyDescent="0.35">
      <c r="S85" s="20"/>
      <c r="U85" s="53"/>
      <c r="W85" s="20"/>
      <c r="X85" s="20"/>
      <c r="Y85" s="20"/>
      <c r="Z85" s="20"/>
      <c r="AA85" s="20"/>
      <c r="AB85" s="20"/>
      <c r="AC85" s="20"/>
      <c r="AD85" s="20"/>
      <c r="AQ85" s="39"/>
      <c r="AR85" s="39"/>
      <c r="AS85" s="39"/>
      <c r="AT85" s="39"/>
      <c r="AU85" s="39"/>
    </row>
    <row r="86" spans="19:47" x14ac:dyDescent="0.35">
      <c r="S86" s="20"/>
      <c r="U86" s="53"/>
      <c r="W86" s="20"/>
      <c r="X86" s="20"/>
      <c r="Y86" s="20"/>
      <c r="Z86" s="20"/>
      <c r="AA86" s="20"/>
      <c r="AB86" s="20"/>
      <c r="AC86" s="20"/>
      <c r="AD86" s="20"/>
      <c r="AQ86" s="39"/>
      <c r="AR86" s="39"/>
      <c r="AS86" s="39"/>
      <c r="AT86" s="39"/>
      <c r="AU86" s="39"/>
    </row>
    <row r="87" spans="19:47" x14ac:dyDescent="0.35">
      <c r="S87" s="20"/>
      <c r="U87" s="53"/>
      <c r="W87" s="20"/>
      <c r="X87" s="20"/>
      <c r="Y87" s="20"/>
      <c r="Z87" s="20"/>
      <c r="AA87" s="20"/>
      <c r="AB87" s="20"/>
      <c r="AC87" s="20"/>
      <c r="AD87" s="20"/>
      <c r="AQ87" s="39"/>
      <c r="AR87" s="39"/>
      <c r="AS87" s="39"/>
      <c r="AT87" s="39"/>
      <c r="AU87" s="39"/>
    </row>
    <row r="88" spans="19:47" x14ac:dyDescent="0.35">
      <c r="S88" s="20"/>
      <c r="U88" s="53"/>
      <c r="W88" s="20"/>
      <c r="X88" s="20"/>
      <c r="Y88" s="20"/>
      <c r="Z88" s="20"/>
      <c r="AA88" s="20"/>
      <c r="AB88" s="20"/>
      <c r="AC88" s="20"/>
      <c r="AD88" s="20"/>
      <c r="AQ88" s="39"/>
      <c r="AR88" s="39"/>
      <c r="AS88" s="39"/>
      <c r="AT88" s="39"/>
      <c r="AU88" s="39"/>
    </row>
    <row r="89" spans="19:47" x14ac:dyDescent="0.35">
      <c r="S89" s="20"/>
      <c r="U89" s="53"/>
      <c r="W89" s="20"/>
      <c r="X89" s="20"/>
      <c r="Y89" s="20"/>
      <c r="Z89" s="20"/>
      <c r="AA89" s="20"/>
      <c r="AB89" s="20"/>
      <c r="AC89" s="20"/>
      <c r="AD89" s="20"/>
      <c r="AQ89" s="39"/>
      <c r="AR89" s="39"/>
      <c r="AS89" s="39"/>
      <c r="AT89" s="39"/>
      <c r="AU89" s="39"/>
    </row>
    <row r="90" spans="19:47" x14ac:dyDescent="0.35">
      <c r="S90" s="20"/>
      <c r="U90" s="53"/>
      <c r="W90" s="20"/>
      <c r="X90" s="20"/>
      <c r="Y90" s="20"/>
      <c r="Z90" s="20"/>
      <c r="AA90" s="20"/>
      <c r="AB90" s="20"/>
      <c r="AC90" s="20"/>
      <c r="AD90" s="20"/>
      <c r="AQ90" s="39"/>
      <c r="AR90" s="39"/>
      <c r="AS90" s="39"/>
      <c r="AT90" s="39"/>
      <c r="AU90" s="39"/>
    </row>
    <row r="91" spans="19:47" x14ac:dyDescent="0.35">
      <c r="S91" s="20"/>
      <c r="U91" s="53"/>
      <c r="W91" s="20"/>
      <c r="X91" s="20"/>
      <c r="Y91" s="20"/>
      <c r="Z91" s="20"/>
      <c r="AA91" s="20"/>
      <c r="AB91" s="20"/>
      <c r="AC91" s="20"/>
      <c r="AD91" s="20"/>
      <c r="AQ91" s="39"/>
      <c r="AR91" s="39"/>
      <c r="AS91" s="39"/>
      <c r="AT91" s="39"/>
      <c r="AU91" s="39"/>
    </row>
    <row r="92" spans="19:47" x14ac:dyDescent="0.35">
      <c r="S92" s="20"/>
      <c r="U92" s="53"/>
      <c r="W92" s="20"/>
      <c r="X92" s="20"/>
      <c r="Y92" s="20"/>
      <c r="Z92" s="20"/>
      <c r="AA92" s="20"/>
      <c r="AB92" s="20"/>
      <c r="AC92" s="20"/>
      <c r="AD92" s="20"/>
      <c r="AQ92" s="39"/>
      <c r="AR92" s="39"/>
      <c r="AS92" s="39"/>
      <c r="AT92" s="39"/>
      <c r="AU92" s="39"/>
    </row>
    <row r="93" spans="19:47" x14ac:dyDescent="0.35">
      <c r="S93" s="20"/>
      <c r="U93" s="53"/>
      <c r="W93" s="20"/>
      <c r="X93" s="20"/>
      <c r="Y93" s="20"/>
      <c r="Z93" s="20"/>
      <c r="AA93" s="20"/>
      <c r="AB93" s="20"/>
      <c r="AC93" s="20"/>
      <c r="AD93" s="20"/>
      <c r="AQ93" s="39"/>
      <c r="AR93" s="39"/>
      <c r="AS93" s="39"/>
      <c r="AT93" s="39"/>
      <c r="AU93" s="39"/>
    </row>
    <row r="94" spans="19:47" x14ac:dyDescent="0.35">
      <c r="S94" s="20"/>
      <c r="U94" s="53"/>
      <c r="W94" s="20"/>
      <c r="X94" s="20"/>
      <c r="Y94" s="20"/>
      <c r="Z94" s="20"/>
      <c r="AA94" s="20"/>
      <c r="AB94" s="20"/>
      <c r="AC94" s="20"/>
      <c r="AD94" s="20"/>
      <c r="AT94" s="40"/>
      <c r="AU94" s="40"/>
    </row>
    <row r="95" spans="19:47" x14ac:dyDescent="0.35">
      <c r="S95" s="20"/>
      <c r="W95" s="20"/>
      <c r="X95" s="20"/>
      <c r="Y95" s="20"/>
      <c r="Z95" s="20"/>
      <c r="AA95" s="20"/>
      <c r="AB95" s="20"/>
      <c r="AC95" s="20"/>
      <c r="AD95" s="20"/>
      <c r="AT95" s="40"/>
      <c r="AU95" s="40"/>
    </row>
    <row r="96" spans="19:47" x14ac:dyDescent="0.35">
      <c r="S96" s="20"/>
      <c r="W96" s="20"/>
      <c r="X96" s="20"/>
      <c r="Y96" s="20"/>
      <c r="Z96" s="20"/>
      <c r="AA96" s="20"/>
      <c r="AB96" s="20"/>
      <c r="AC96" s="20"/>
      <c r="AD96" s="20"/>
      <c r="AT96" s="40"/>
      <c r="AU96" s="40"/>
    </row>
    <row r="97" spans="19:47" x14ac:dyDescent="0.35">
      <c r="S97" s="20"/>
      <c r="W97" s="20"/>
      <c r="X97" s="20"/>
      <c r="Y97" s="20"/>
      <c r="Z97" s="20"/>
      <c r="AA97" s="20"/>
      <c r="AB97" s="20"/>
      <c r="AC97" s="20"/>
      <c r="AD97" s="20"/>
      <c r="AT97" s="40"/>
      <c r="AU97" s="40"/>
    </row>
    <row r="98" spans="19:47" x14ac:dyDescent="0.35">
      <c r="S98" s="20"/>
      <c r="W98" s="20"/>
      <c r="X98" s="20"/>
      <c r="Y98" s="20"/>
      <c r="Z98" s="20"/>
      <c r="AA98" s="20"/>
      <c r="AB98" s="20"/>
      <c r="AC98" s="20"/>
      <c r="AD98" s="20"/>
      <c r="AT98" s="40"/>
      <c r="AU98" s="40"/>
    </row>
    <row r="99" spans="19:47" x14ac:dyDescent="0.35">
      <c r="S99" s="20"/>
      <c r="W99" s="20"/>
      <c r="X99" s="20"/>
      <c r="Y99" s="20"/>
      <c r="Z99" s="20"/>
      <c r="AA99" s="20"/>
      <c r="AB99" s="20"/>
      <c r="AC99" s="20"/>
      <c r="AD99" s="20"/>
      <c r="AT99" s="40"/>
      <c r="AU99" s="40"/>
    </row>
    <row r="100" spans="19:47" x14ac:dyDescent="0.35">
      <c r="S100" s="20"/>
      <c r="W100" s="20"/>
      <c r="X100" s="20"/>
      <c r="Y100" s="20"/>
      <c r="Z100" s="20"/>
      <c r="AA100" s="20"/>
      <c r="AB100" s="20"/>
      <c r="AC100" s="20"/>
      <c r="AD100" s="20"/>
      <c r="AT100" s="40"/>
      <c r="AU100" s="40"/>
    </row>
    <row r="101" spans="19:47" x14ac:dyDescent="0.35">
      <c r="S101" s="20"/>
      <c r="W101" s="20"/>
      <c r="X101" s="20"/>
      <c r="Y101" s="20"/>
      <c r="Z101" s="20"/>
      <c r="AA101" s="20"/>
      <c r="AB101" s="20"/>
      <c r="AC101" s="20"/>
      <c r="AD101" s="20"/>
      <c r="AT101" s="40"/>
      <c r="AU101" s="40"/>
    </row>
    <row r="102" spans="19:47" x14ac:dyDescent="0.35">
      <c r="S102" s="20"/>
      <c r="W102" s="20"/>
      <c r="X102" s="20"/>
      <c r="Y102" s="20"/>
      <c r="Z102" s="20"/>
      <c r="AA102" s="20"/>
      <c r="AB102" s="20"/>
      <c r="AC102" s="20"/>
      <c r="AD102" s="20"/>
      <c r="AT102" s="40"/>
      <c r="AU102" s="40"/>
    </row>
    <row r="103" spans="19:47" x14ac:dyDescent="0.35">
      <c r="S103" s="20"/>
      <c r="W103" s="20"/>
      <c r="X103" s="20"/>
      <c r="Y103" s="20"/>
      <c r="Z103" s="20"/>
      <c r="AA103" s="20"/>
      <c r="AB103" s="20"/>
      <c r="AC103" s="20"/>
      <c r="AD103" s="20"/>
      <c r="AT103" s="40"/>
      <c r="AU103" s="40"/>
    </row>
    <row r="104" spans="19:47" x14ac:dyDescent="0.35">
      <c r="S104" s="20"/>
      <c r="W104" s="20"/>
      <c r="X104" s="20"/>
      <c r="Y104" s="20"/>
      <c r="Z104" s="20"/>
      <c r="AA104" s="20"/>
      <c r="AB104" s="20"/>
      <c r="AC104" s="20"/>
      <c r="AD104" s="20"/>
      <c r="AT104" s="40"/>
      <c r="AU104" s="40"/>
    </row>
    <row r="105" spans="19:47" x14ac:dyDescent="0.35">
      <c r="S105" s="20"/>
      <c r="W105" s="20"/>
      <c r="X105" s="20"/>
      <c r="Y105" s="20"/>
      <c r="Z105" s="20"/>
      <c r="AA105" s="20"/>
      <c r="AB105" s="20"/>
      <c r="AC105" s="20"/>
      <c r="AD105" s="20"/>
      <c r="AT105" s="40"/>
      <c r="AU105" s="40"/>
    </row>
    <row r="106" spans="19:47" x14ac:dyDescent="0.35">
      <c r="S106" s="20"/>
      <c r="W106" s="20"/>
      <c r="X106" s="20"/>
      <c r="Y106" s="20"/>
      <c r="Z106" s="20"/>
      <c r="AA106" s="20"/>
      <c r="AB106" s="20"/>
      <c r="AC106" s="20"/>
      <c r="AD106" s="20"/>
      <c r="AT106" s="40"/>
      <c r="AU106" s="40"/>
    </row>
    <row r="107" spans="19:47" x14ac:dyDescent="0.35">
      <c r="S107" s="20"/>
      <c r="W107" s="20"/>
      <c r="X107" s="20"/>
      <c r="Y107" s="20"/>
      <c r="Z107" s="20"/>
      <c r="AA107" s="20"/>
      <c r="AB107" s="20"/>
      <c r="AC107" s="20"/>
      <c r="AD107" s="20"/>
      <c r="AT107" s="40"/>
      <c r="AU107" s="40"/>
    </row>
    <row r="108" spans="19:47" x14ac:dyDescent="0.35">
      <c r="S108" s="20"/>
      <c r="W108" s="20"/>
      <c r="X108" s="20"/>
      <c r="Y108" s="20"/>
      <c r="Z108" s="20"/>
      <c r="AA108" s="20"/>
      <c r="AB108" s="20"/>
      <c r="AC108" s="20"/>
      <c r="AD108" s="20"/>
      <c r="AT108" s="40"/>
      <c r="AU108" s="40"/>
    </row>
    <row r="109" spans="19:47" x14ac:dyDescent="0.35">
      <c r="S109" s="20"/>
      <c r="W109" s="20"/>
      <c r="X109" s="20"/>
      <c r="Y109" s="20"/>
      <c r="Z109" s="20"/>
      <c r="AA109" s="20"/>
      <c r="AB109" s="20"/>
      <c r="AC109" s="20"/>
      <c r="AD109" s="20"/>
      <c r="AT109" s="40"/>
      <c r="AU109" s="40"/>
    </row>
    <row r="110" spans="19:47" x14ac:dyDescent="0.35">
      <c r="S110" s="20"/>
      <c r="W110" s="20"/>
      <c r="X110" s="20"/>
      <c r="Y110" s="20"/>
      <c r="Z110" s="20"/>
      <c r="AA110" s="20"/>
      <c r="AB110" s="20"/>
      <c r="AC110" s="20"/>
      <c r="AD110" s="20"/>
      <c r="AT110" s="40"/>
      <c r="AU110" s="40"/>
    </row>
    <row r="111" spans="19:47" x14ac:dyDescent="0.35">
      <c r="S111" s="20"/>
      <c r="W111" s="20"/>
      <c r="X111" s="20"/>
      <c r="Y111" s="20"/>
      <c r="Z111" s="20"/>
      <c r="AA111" s="20"/>
      <c r="AB111" s="20"/>
      <c r="AC111" s="20"/>
      <c r="AD111" s="20"/>
      <c r="AT111" s="40"/>
      <c r="AU111" s="40"/>
    </row>
    <row r="112" spans="19:47" x14ac:dyDescent="0.35">
      <c r="S112" s="20"/>
      <c r="W112" s="20"/>
      <c r="X112" s="20"/>
      <c r="Y112" s="20"/>
      <c r="Z112" s="20"/>
      <c r="AA112" s="20"/>
      <c r="AB112" s="20"/>
      <c r="AC112" s="20"/>
      <c r="AD112" s="20"/>
      <c r="AT112" s="40"/>
      <c r="AU112" s="40"/>
    </row>
    <row r="113" spans="19:47" x14ac:dyDescent="0.35">
      <c r="S113" s="20"/>
      <c r="W113" s="20"/>
      <c r="X113" s="20"/>
      <c r="Y113" s="20"/>
      <c r="Z113" s="20"/>
      <c r="AA113" s="20"/>
      <c r="AB113" s="20"/>
      <c r="AC113" s="20"/>
      <c r="AD113" s="20"/>
      <c r="AT113" s="40"/>
      <c r="AU113" s="40"/>
    </row>
    <row r="114" spans="19:47" x14ac:dyDescent="0.35">
      <c r="S114" s="20"/>
      <c r="W114" s="20"/>
      <c r="X114" s="20"/>
      <c r="Y114" s="20"/>
      <c r="Z114" s="20"/>
      <c r="AA114" s="20"/>
      <c r="AB114" s="20"/>
      <c r="AC114" s="20"/>
      <c r="AD114" s="20"/>
      <c r="AT114" s="40"/>
      <c r="AU114" s="40"/>
    </row>
    <row r="115" spans="19:47" x14ac:dyDescent="0.35">
      <c r="S115" s="20"/>
      <c r="W115" s="20"/>
      <c r="X115" s="20"/>
      <c r="Y115" s="20"/>
      <c r="Z115" s="20"/>
      <c r="AA115" s="20"/>
      <c r="AB115" s="20"/>
      <c r="AC115" s="20"/>
      <c r="AD115" s="20"/>
      <c r="AT115" s="40"/>
      <c r="AU115" s="40"/>
    </row>
    <row r="116" spans="19:47" x14ac:dyDescent="0.35">
      <c r="S116" s="20"/>
      <c r="W116" s="20"/>
      <c r="X116" s="20"/>
      <c r="Y116" s="20"/>
      <c r="Z116" s="20"/>
      <c r="AA116" s="20"/>
      <c r="AB116" s="20"/>
      <c r="AC116" s="20"/>
      <c r="AD116" s="20"/>
      <c r="AT116" s="40"/>
      <c r="AU116" s="40"/>
    </row>
    <row r="117" spans="19:47" x14ac:dyDescent="0.35">
      <c r="S117" s="20"/>
      <c r="W117" s="20"/>
      <c r="X117" s="20"/>
      <c r="Y117" s="20"/>
      <c r="Z117" s="20"/>
      <c r="AA117" s="20"/>
      <c r="AB117" s="20"/>
      <c r="AC117" s="20"/>
      <c r="AD117" s="20"/>
      <c r="AT117" s="40"/>
      <c r="AU117" s="40"/>
    </row>
    <row r="118" spans="19:47" x14ac:dyDescent="0.35">
      <c r="S118" s="20">
        <f>SUM(S49:S117)</f>
        <v>1.01214574898785E-4</v>
      </c>
      <c r="W118" s="20"/>
      <c r="X118" s="20"/>
      <c r="Y118" s="20"/>
      <c r="Z118" s="20"/>
      <c r="AA118" s="20"/>
      <c r="AB118" s="20"/>
      <c r="AC118" s="20"/>
      <c r="AD118" s="20"/>
      <c r="AT118" s="40"/>
      <c r="AU118" s="40"/>
    </row>
    <row r="119" spans="19:47" x14ac:dyDescent="0.35">
      <c r="W119" s="20"/>
      <c r="X119" s="20"/>
      <c r="Y119" s="20"/>
      <c r="Z119" s="20"/>
      <c r="AA119" s="20"/>
      <c r="AB119" s="20"/>
      <c r="AC119" s="20"/>
      <c r="AD119" s="20"/>
      <c r="AT119" s="40"/>
      <c r="AU119" s="40"/>
    </row>
    <row r="120" spans="19:47" x14ac:dyDescent="0.35">
      <c r="W120" s="20"/>
      <c r="X120" s="20"/>
      <c r="Y120" s="20"/>
      <c r="Z120" s="20"/>
      <c r="AA120" s="20"/>
      <c r="AB120" s="20"/>
      <c r="AC120" s="20"/>
      <c r="AD120" s="20"/>
      <c r="AT120" s="40"/>
      <c r="AU120" s="40"/>
    </row>
    <row r="121" spans="19:47" x14ac:dyDescent="0.35">
      <c r="W121" s="20"/>
      <c r="X121" s="20"/>
      <c r="Y121" s="20"/>
      <c r="Z121" s="20"/>
      <c r="AA121" s="20"/>
      <c r="AB121" s="20"/>
      <c r="AC121" s="20"/>
      <c r="AD121" s="20"/>
      <c r="AT121" s="40"/>
      <c r="AU121" s="40"/>
    </row>
    <row r="122" spans="19:47" x14ac:dyDescent="0.35">
      <c r="W122" s="20"/>
      <c r="X122" s="20"/>
      <c r="Y122" s="20"/>
      <c r="Z122" s="20"/>
      <c r="AA122" s="20"/>
      <c r="AB122" s="20"/>
      <c r="AC122" s="20"/>
      <c r="AD122" s="20"/>
      <c r="AT122" s="40"/>
      <c r="AU122" s="40"/>
    </row>
    <row r="123" spans="19:47" x14ac:dyDescent="0.35">
      <c r="W123" s="20"/>
      <c r="X123" s="20"/>
      <c r="Y123" s="20"/>
      <c r="Z123" s="20"/>
      <c r="AA123" s="20"/>
      <c r="AB123" s="20"/>
      <c r="AC123" s="20"/>
      <c r="AD123" s="20"/>
      <c r="AT123" s="40"/>
      <c r="AU123" s="40"/>
    </row>
    <row r="124" spans="19:47" x14ac:dyDescent="0.35">
      <c r="W124" s="20"/>
      <c r="X124" s="20"/>
      <c r="Y124" s="20"/>
      <c r="Z124" s="20"/>
      <c r="AA124" s="20"/>
      <c r="AB124" s="20"/>
      <c r="AC124" s="20"/>
      <c r="AD124" s="20"/>
      <c r="AT124" s="40"/>
      <c r="AU124" s="40"/>
    </row>
    <row r="125" spans="19:47" x14ac:dyDescent="0.35">
      <c r="W125" s="20"/>
      <c r="X125" s="20"/>
      <c r="Y125" s="20"/>
      <c r="Z125" s="20"/>
      <c r="AA125" s="20"/>
      <c r="AB125" s="20"/>
      <c r="AC125" s="20"/>
      <c r="AD125" s="20"/>
      <c r="AT125" s="40"/>
      <c r="AU125" s="40"/>
    </row>
    <row r="126" spans="19:47" x14ac:dyDescent="0.35">
      <c r="W126" s="20"/>
      <c r="X126" s="20"/>
      <c r="Y126" s="20"/>
      <c r="Z126" s="20"/>
      <c r="AA126" s="20"/>
      <c r="AB126" s="20"/>
      <c r="AC126" s="20"/>
      <c r="AD126" s="20"/>
      <c r="AT126" s="40"/>
      <c r="AU126" s="40"/>
    </row>
    <row r="127" spans="19:47" x14ac:dyDescent="0.35">
      <c r="W127" s="20"/>
      <c r="X127" s="20"/>
      <c r="Y127" s="20"/>
      <c r="Z127" s="20"/>
      <c r="AA127" s="20"/>
      <c r="AB127" s="20"/>
      <c r="AC127" s="20"/>
      <c r="AD127" s="20"/>
      <c r="AT127" s="40"/>
      <c r="AU127" s="40"/>
    </row>
    <row r="128" spans="19:47" x14ac:dyDescent="0.35">
      <c r="W128" s="20"/>
      <c r="X128" s="20"/>
      <c r="Y128" s="20"/>
      <c r="Z128" s="20"/>
      <c r="AA128" s="20"/>
      <c r="AB128" s="20"/>
      <c r="AC128" s="20"/>
      <c r="AD128" s="20"/>
      <c r="AT128" s="40"/>
      <c r="AU128" s="40"/>
    </row>
    <row r="129" spans="23:47" x14ac:dyDescent="0.35">
      <c r="W129" s="20"/>
      <c r="X129" s="20"/>
      <c r="Y129" s="20"/>
      <c r="Z129" s="20"/>
      <c r="AA129" s="20"/>
      <c r="AB129" s="20"/>
      <c r="AC129" s="20"/>
      <c r="AD129" s="20"/>
      <c r="AT129" s="40"/>
      <c r="AU129" s="40"/>
    </row>
    <row r="130" spans="23:47" x14ac:dyDescent="0.35">
      <c r="W130" s="20"/>
      <c r="X130" s="20"/>
      <c r="Y130" s="20"/>
      <c r="Z130" s="20"/>
      <c r="AA130" s="20"/>
      <c r="AB130" s="20"/>
      <c r="AC130" s="20"/>
      <c r="AD130" s="20"/>
      <c r="AT130" s="40"/>
      <c r="AU130" s="40"/>
    </row>
    <row r="131" spans="23:47" x14ac:dyDescent="0.35">
      <c r="AT131" s="40"/>
      <c r="AU131" s="40"/>
    </row>
    <row r="132" spans="23:47" x14ac:dyDescent="0.35">
      <c r="AT132" s="40"/>
      <c r="AU132" s="40"/>
    </row>
    <row r="133" spans="23:47" x14ac:dyDescent="0.35">
      <c r="AT133" s="40"/>
      <c r="AU133" s="40"/>
    </row>
    <row r="134" spans="23:47" x14ac:dyDescent="0.35">
      <c r="AT134" s="40"/>
      <c r="AU134" s="40"/>
    </row>
    <row r="135" spans="23:47" x14ac:dyDescent="0.35">
      <c r="AT135" s="40"/>
      <c r="AU135" s="40"/>
    </row>
    <row r="136" spans="23:47" x14ac:dyDescent="0.35">
      <c r="AT136" s="40"/>
      <c r="AU136" s="40"/>
    </row>
    <row r="137" spans="23:47" x14ac:dyDescent="0.35">
      <c r="AT137" s="40"/>
      <c r="AU137" s="40"/>
    </row>
    <row r="138" spans="23:47" x14ac:dyDescent="0.35">
      <c r="AT138" s="40"/>
      <c r="AU138" s="40"/>
    </row>
    <row r="139" spans="23:47" x14ac:dyDescent="0.35">
      <c r="AT139" s="40"/>
      <c r="AU139" s="40"/>
    </row>
    <row r="140" spans="23:47" x14ac:dyDescent="0.35">
      <c r="AT140" s="40"/>
      <c r="AU140" s="40"/>
    </row>
    <row r="141" spans="23:47" x14ac:dyDescent="0.35">
      <c r="AT141" s="40"/>
      <c r="AU141" s="40"/>
    </row>
    <row r="142" spans="23:47" x14ac:dyDescent="0.35">
      <c r="AT142" s="40"/>
      <c r="AU142" s="40"/>
    </row>
    <row r="143" spans="23:47" x14ac:dyDescent="0.35">
      <c r="AT143" s="40"/>
      <c r="AU143" s="40"/>
    </row>
    <row r="144" spans="23:47" x14ac:dyDescent="0.35">
      <c r="AT144" s="40"/>
      <c r="AU144" s="40"/>
    </row>
    <row r="145" spans="46:47" x14ac:dyDescent="0.35">
      <c r="AT145" s="40"/>
      <c r="AU145" s="40"/>
    </row>
    <row r="146" spans="46:47" x14ac:dyDescent="0.35">
      <c r="AT146" s="40"/>
      <c r="AU146" s="40"/>
    </row>
    <row r="147" spans="46:47" x14ac:dyDescent="0.35">
      <c r="AT147" s="40"/>
      <c r="AU147" s="40"/>
    </row>
    <row r="148" spans="46:47" x14ac:dyDescent="0.35">
      <c r="AT148" s="40"/>
      <c r="AU148" s="40"/>
    </row>
    <row r="149" spans="46:47" x14ac:dyDescent="0.35">
      <c r="AT149" s="40"/>
      <c r="AU149" s="40"/>
    </row>
    <row r="150" spans="46:47" x14ac:dyDescent="0.35">
      <c r="AT150" s="40"/>
      <c r="AU150" s="40"/>
    </row>
    <row r="151" spans="46:47" x14ac:dyDescent="0.35">
      <c r="AT151" s="40"/>
      <c r="AU151" s="40"/>
    </row>
    <row r="152" spans="46:47" x14ac:dyDescent="0.35">
      <c r="AT152" s="40"/>
      <c r="AU152" s="40"/>
    </row>
    <row r="153" spans="46:47" x14ac:dyDescent="0.35">
      <c r="AT153" s="40"/>
      <c r="AU153" s="40"/>
    </row>
    <row r="154" spans="46:47" x14ac:dyDescent="0.35">
      <c r="AT154" s="40"/>
      <c r="AU154" s="40"/>
    </row>
    <row r="155" spans="46:47" x14ac:dyDescent="0.35">
      <c r="AT155" s="40"/>
      <c r="AU155" s="40"/>
    </row>
    <row r="156" spans="46:47" x14ac:dyDescent="0.35">
      <c r="AT156" s="40"/>
      <c r="AU156" s="40"/>
    </row>
    <row r="157" spans="46:47" x14ac:dyDescent="0.35">
      <c r="AT157" s="40"/>
      <c r="AU157" s="40"/>
    </row>
    <row r="158" spans="46:47" x14ac:dyDescent="0.35">
      <c r="AT158" s="40"/>
      <c r="AU158" s="40"/>
    </row>
    <row r="159" spans="46:47" x14ac:dyDescent="0.35">
      <c r="AT159" s="40"/>
      <c r="AU159" s="40"/>
    </row>
    <row r="160" spans="46:47" x14ac:dyDescent="0.35">
      <c r="AT160" s="40"/>
      <c r="AU160" s="40"/>
    </row>
    <row r="161" spans="46:47" x14ac:dyDescent="0.35">
      <c r="AT161" s="40"/>
      <c r="AU161" s="40"/>
    </row>
    <row r="162" spans="46:47" x14ac:dyDescent="0.35">
      <c r="AT162" s="40"/>
      <c r="AU162" s="40"/>
    </row>
    <row r="163" spans="46:47" x14ac:dyDescent="0.35">
      <c r="AT163" s="40"/>
      <c r="AU163" s="40"/>
    </row>
    <row r="164" spans="46:47" x14ac:dyDescent="0.35">
      <c r="AT164" s="40"/>
      <c r="AU164" s="40"/>
    </row>
    <row r="165" spans="46:47" x14ac:dyDescent="0.35">
      <c r="AT165" s="40"/>
      <c r="AU165" s="40"/>
    </row>
    <row r="166" spans="46:47" x14ac:dyDescent="0.35">
      <c r="AT166" s="40"/>
      <c r="AU166" s="40"/>
    </row>
    <row r="167" spans="46:47" x14ac:dyDescent="0.35">
      <c r="AT167" s="40"/>
      <c r="AU167" s="40"/>
    </row>
    <row r="168" spans="46:47" x14ac:dyDescent="0.35">
      <c r="AT168" s="40"/>
      <c r="AU168" s="40"/>
    </row>
    <row r="169" spans="46:47" x14ac:dyDescent="0.35">
      <c r="AT169" s="40"/>
      <c r="AU169" s="40"/>
    </row>
    <row r="170" spans="46:47" x14ac:dyDescent="0.35">
      <c r="AT170" s="40"/>
      <c r="AU170" s="40"/>
    </row>
    <row r="171" spans="46:47" x14ac:dyDescent="0.35">
      <c r="AT171" s="40"/>
      <c r="AU171" s="40"/>
    </row>
    <row r="172" spans="46:47" x14ac:dyDescent="0.35">
      <c r="AT172" s="40"/>
      <c r="AU172" s="40"/>
    </row>
    <row r="173" spans="46:47" x14ac:dyDescent="0.35">
      <c r="AT173" s="40"/>
      <c r="AU173" s="40"/>
    </row>
    <row r="174" spans="46:47" x14ac:dyDescent="0.35">
      <c r="AT174" s="40"/>
      <c r="AU174" s="40"/>
    </row>
    <row r="175" spans="46:47" x14ac:dyDescent="0.35">
      <c r="AT175" s="40"/>
      <c r="AU175" s="40"/>
    </row>
    <row r="176" spans="46:47" x14ac:dyDescent="0.35">
      <c r="AT176" s="40"/>
      <c r="AU176" s="40"/>
    </row>
    <row r="177" spans="46:47" x14ac:dyDescent="0.35">
      <c r="AT177" s="40"/>
      <c r="AU177" s="40"/>
    </row>
    <row r="178" spans="46:47" x14ac:dyDescent="0.35">
      <c r="AT178" s="40"/>
      <c r="AU178" s="40"/>
    </row>
    <row r="179" spans="46:47" x14ac:dyDescent="0.35">
      <c r="AT179" s="40"/>
      <c r="AU179" s="40"/>
    </row>
    <row r="180" spans="46:47" x14ac:dyDescent="0.35">
      <c r="AT180" s="40"/>
      <c r="AU180" s="40"/>
    </row>
    <row r="181" spans="46:47" x14ac:dyDescent="0.35">
      <c r="AT181" s="40"/>
      <c r="AU181" s="40"/>
    </row>
    <row r="182" spans="46:47" x14ac:dyDescent="0.35">
      <c r="AT182" s="40"/>
      <c r="AU182" s="40"/>
    </row>
    <row r="183" spans="46:47" x14ac:dyDescent="0.35">
      <c r="AT183" s="40"/>
      <c r="AU183" s="40"/>
    </row>
    <row r="184" spans="46:47" x14ac:dyDescent="0.35">
      <c r="AT184" s="40"/>
      <c r="AU184" s="40"/>
    </row>
    <row r="185" spans="46:47" x14ac:dyDescent="0.35">
      <c r="AT185" s="40"/>
      <c r="AU185" s="40"/>
    </row>
    <row r="186" spans="46:47" x14ac:dyDescent="0.35">
      <c r="AT186" s="40"/>
      <c r="AU186" s="40"/>
    </row>
    <row r="187" spans="46:47" x14ac:dyDescent="0.35">
      <c r="AT187" s="40"/>
      <c r="AU187" s="40"/>
    </row>
    <row r="188" spans="46:47" x14ac:dyDescent="0.35">
      <c r="AT188" s="40"/>
      <c r="AU188" s="40"/>
    </row>
    <row r="189" spans="46:47" x14ac:dyDescent="0.35">
      <c r="AT189" s="40"/>
      <c r="AU189" s="40"/>
    </row>
    <row r="190" spans="46:47" x14ac:dyDescent="0.35">
      <c r="AT190" s="40"/>
      <c r="AU190" s="40"/>
    </row>
    <row r="191" spans="46:47" x14ac:dyDescent="0.35">
      <c r="AT191" s="40"/>
      <c r="AU191" s="40"/>
    </row>
    <row r="192" spans="46:47" x14ac:dyDescent="0.35">
      <c r="AT192" s="40"/>
      <c r="AU192" s="40"/>
    </row>
    <row r="193" spans="46:47" x14ac:dyDescent="0.35">
      <c r="AT193" s="40"/>
      <c r="AU193" s="40"/>
    </row>
    <row r="194" spans="46:47" x14ac:dyDescent="0.35">
      <c r="AT194" s="40"/>
      <c r="AU194" s="40"/>
    </row>
    <row r="195" spans="46:47" x14ac:dyDescent="0.35">
      <c r="AT195" s="40"/>
      <c r="AU195" s="40"/>
    </row>
    <row r="196" spans="46:47" x14ac:dyDescent="0.35">
      <c r="AT196" s="40"/>
      <c r="AU196" s="40"/>
    </row>
    <row r="197" spans="46:47" x14ac:dyDescent="0.35">
      <c r="AU197" s="40"/>
    </row>
    <row r="198" spans="46:47" x14ac:dyDescent="0.35">
      <c r="AU198" s="40"/>
    </row>
  </sheetData>
  <phoneticPr fontId="1" type="noConversion"/>
  <conditionalFormatting sqref="W2:W89">
    <cfRule type="colorScale" priority="106">
      <colorScale>
        <cfvo type="min"/>
        <cfvo type="max"/>
        <color theme="0"/>
        <color rgb="FFC00000"/>
      </colorScale>
    </cfRule>
  </conditionalFormatting>
  <conditionalFormatting sqref="AA2:AA83">
    <cfRule type="colorScale" priority="108">
      <colorScale>
        <cfvo type="min"/>
        <cfvo type="max"/>
        <color theme="0"/>
        <color rgb="FFC00000"/>
      </colorScale>
    </cfRule>
  </conditionalFormatting>
  <conditionalFormatting sqref="Y2:Y82">
    <cfRule type="colorScale" priority="110">
      <colorScale>
        <cfvo type="min"/>
        <cfvo type="max"/>
        <color theme="0"/>
        <color rgb="FFC00000"/>
      </colorScale>
    </cfRule>
  </conditionalFormatting>
  <conditionalFormatting sqref="AC2:AC79">
    <cfRule type="colorScale" priority="112">
      <colorScale>
        <cfvo type="min"/>
        <cfvo type="max"/>
        <color theme="0"/>
        <color rgb="FFC00000"/>
      </colorScale>
    </cfRule>
  </conditionalFormatting>
  <conditionalFormatting sqref="AD2:AD85">
    <cfRule type="colorScale" priority="114">
      <colorScale>
        <cfvo type="min"/>
        <cfvo type="max"/>
        <color theme="0"/>
        <color rgb="FFC00000"/>
      </colorScale>
    </cfRule>
  </conditionalFormatting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80EEAE-461F-41DE-BA00-9C03B41F7C38}">
  <sheetPr codeName="Sheet7"/>
  <dimension ref="A1:C263"/>
  <sheetViews>
    <sheetView workbookViewId="0">
      <selection activeCell="F29" sqref="F29"/>
    </sheetView>
    <sheetView workbookViewId="1"/>
  </sheetViews>
  <sheetFormatPr defaultRowHeight="14.5" x14ac:dyDescent="0.35"/>
  <cols>
    <col min="1" max="1" width="30.36328125" bestFit="1" customWidth="1"/>
    <col min="2" max="2" width="12.90625" bestFit="1" customWidth="1"/>
    <col min="3" max="3" width="13.1796875" bestFit="1" customWidth="1"/>
    <col min="4" max="4" width="12.90625" bestFit="1" customWidth="1"/>
    <col min="5" max="5" width="10.6328125" bestFit="1" customWidth="1"/>
    <col min="6" max="6" width="12.54296875" bestFit="1" customWidth="1"/>
    <col min="7" max="7" width="13.453125" bestFit="1" customWidth="1"/>
    <col min="8" max="8" width="14.453125" bestFit="1" customWidth="1"/>
    <col min="9" max="9" width="15.54296875" bestFit="1" customWidth="1"/>
    <col min="10" max="10" width="11.81640625" bestFit="1" customWidth="1"/>
  </cols>
  <sheetData>
    <row r="1" spans="1:3" x14ac:dyDescent="0.35">
      <c r="A1" t="s">
        <v>25</v>
      </c>
      <c r="B1" t="s">
        <v>26</v>
      </c>
      <c r="C1" t="s">
        <v>567</v>
      </c>
    </row>
    <row r="2" spans="1:3" x14ac:dyDescent="0.35">
      <c r="A2" t="s">
        <v>365</v>
      </c>
      <c r="B2">
        <v>68</v>
      </c>
      <c r="C2">
        <v>560.63800000000003</v>
      </c>
    </row>
    <row r="3" spans="1:3" x14ac:dyDescent="0.35">
      <c r="A3" t="s">
        <v>366</v>
      </c>
      <c r="B3">
        <v>68</v>
      </c>
      <c r="C3">
        <v>559.36400000000003</v>
      </c>
    </row>
    <row r="4" spans="1:3" x14ac:dyDescent="0.35">
      <c r="A4" t="s">
        <v>367</v>
      </c>
      <c r="B4">
        <v>68</v>
      </c>
      <c r="C4">
        <v>276.36700000000002</v>
      </c>
    </row>
    <row r="5" spans="1:3" x14ac:dyDescent="0.35">
      <c r="A5" t="s">
        <v>368</v>
      </c>
      <c r="B5">
        <v>50</v>
      </c>
      <c r="C5">
        <v>129.67391666666668</v>
      </c>
    </row>
    <row r="6" spans="1:3" x14ac:dyDescent="0.35">
      <c r="A6" t="s">
        <v>369</v>
      </c>
      <c r="B6">
        <v>52</v>
      </c>
      <c r="C6">
        <v>351.18200000000002</v>
      </c>
    </row>
    <row r="7" spans="1:3" x14ac:dyDescent="0.35">
      <c r="A7" t="s">
        <v>370</v>
      </c>
      <c r="B7">
        <v>68</v>
      </c>
      <c r="C7">
        <v>494.52</v>
      </c>
    </row>
    <row r="8" spans="1:3" x14ac:dyDescent="0.35">
      <c r="A8" t="s">
        <v>371</v>
      </c>
      <c r="B8">
        <v>52</v>
      </c>
      <c r="C8">
        <v>307.03399999999999</v>
      </c>
    </row>
    <row r="9" spans="1:3" x14ac:dyDescent="0.35">
      <c r="A9" t="s">
        <v>372</v>
      </c>
      <c r="B9">
        <v>68</v>
      </c>
      <c r="C9">
        <v>389.5796666666667</v>
      </c>
    </row>
    <row r="10" spans="1:3" x14ac:dyDescent="0.35">
      <c r="A10" t="s">
        <v>373</v>
      </c>
      <c r="B10">
        <v>52</v>
      </c>
      <c r="C10">
        <v>209.066</v>
      </c>
    </row>
    <row r="11" spans="1:3" x14ac:dyDescent="0.35">
      <c r="A11" t="s">
        <v>374</v>
      </c>
      <c r="B11">
        <v>52</v>
      </c>
      <c r="C11">
        <v>268.48900000000003</v>
      </c>
    </row>
    <row r="12" spans="1:3" x14ac:dyDescent="0.35">
      <c r="A12" t="s">
        <v>375</v>
      </c>
      <c r="B12">
        <v>52</v>
      </c>
      <c r="C12">
        <v>214.94200000000001</v>
      </c>
    </row>
    <row r="13" spans="1:3" x14ac:dyDescent="0.35">
      <c r="A13" t="s">
        <v>376</v>
      </c>
      <c r="B13">
        <v>52</v>
      </c>
      <c r="C13">
        <v>146.75700000000001</v>
      </c>
    </row>
    <row r="14" spans="1:3" x14ac:dyDescent="0.35">
      <c r="A14" t="s">
        <v>377</v>
      </c>
      <c r="B14">
        <v>52</v>
      </c>
      <c r="C14">
        <v>347.06100000000004</v>
      </c>
    </row>
    <row r="15" spans="1:3" x14ac:dyDescent="0.35">
      <c r="A15" t="s">
        <v>378</v>
      </c>
      <c r="B15">
        <v>68</v>
      </c>
      <c r="C15">
        <v>497.83499999999998</v>
      </c>
    </row>
    <row r="16" spans="1:3" x14ac:dyDescent="0.35">
      <c r="A16" t="s">
        <v>379</v>
      </c>
      <c r="B16">
        <v>68</v>
      </c>
      <c r="C16">
        <v>374.75842857142857</v>
      </c>
    </row>
    <row r="17" spans="1:3" x14ac:dyDescent="0.35">
      <c r="A17" t="s">
        <v>380</v>
      </c>
      <c r="B17">
        <v>52</v>
      </c>
      <c r="C17">
        <v>209.066</v>
      </c>
    </row>
    <row r="18" spans="1:3" x14ac:dyDescent="0.35">
      <c r="A18" t="s">
        <v>381</v>
      </c>
      <c r="B18">
        <v>52</v>
      </c>
      <c r="C18">
        <v>194.33700000000002</v>
      </c>
    </row>
    <row r="19" spans="1:3" x14ac:dyDescent="0.35">
      <c r="A19" t="s">
        <v>382</v>
      </c>
      <c r="B19">
        <v>68</v>
      </c>
      <c r="C19">
        <v>581.15200000000004</v>
      </c>
    </row>
    <row r="20" spans="1:3" x14ac:dyDescent="0.35">
      <c r="A20" t="s">
        <v>383</v>
      </c>
      <c r="B20">
        <v>52</v>
      </c>
      <c r="C20">
        <v>109.447</v>
      </c>
    </row>
    <row r="21" spans="1:3" x14ac:dyDescent="0.35">
      <c r="A21" t="s">
        <v>384</v>
      </c>
      <c r="B21">
        <v>52</v>
      </c>
      <c r="C21">
        <v>229.203</v>
      </c>
    </row>
    <row r="22" spans="1:3" x14ac:dyDescent="0.35">
      <c r="A22" t="s">
        <v>385</v>
      </c>
      <c r="B22">
        <v>68</v>
      </c>
      <c r="C22">
        <v>547.17650000000003</v>
      </c>
    </row>
    <row r="23" spans="1:3" x14ac:dyDescent="0.35">
      <c r="A23" t="s">
        <v>386</v>
      </c>
      <c r="B23">
        <v>52</v>
      </c>
      <c r="C23">
        <v>209.066</v>
      </c>
    </row>
    <row r="24" spans="1:3" x14ac:dyDescent="0.35">
      <c r="A24" t="s">
        <v>387</v>
      </c>
      <c r="B24">
        <v>52</v>
      </c>
      <c r="C24">
        <v>309.47800000000001</v>
      </c>
    </row>
    <row r="25" spans="1:3" x14ac:dyDescent="0.35">
      <c r="A25" t="s">
        <v>388</v>
      </c>
      <c r="B25">
        <v>52</v>
      </c>
      <c r="C25">
        <v>306.91700000000003</v>
      </c>
    </row>
    <row r="26" spans="1:3" x14ac:dyDescent="0.35">
      <c r="A26" t="s">
        <v>389</v>
      </c>
      <c r="B26">
        <v>68</v>
      </c>
      <c r="C26">
        <v>448.52860000000004</v>
      </c>
    </row>
    <row r="27" spans="1:3" x14ac:dyDescent="0.35">
      <c r="A27" t="s">
        <v>390</v>
      </c>
      <c r="B27">
        <v>52</v>
      </c>
      <c r="C27">
        <v>211.19800000000001</v>
      </c>
    </row>
    <row r="28" spans="1:3" x14ac:dyDescent="0.35">
      <c r="A28" t="s">
        <v>391</v>
      </c>
      <c r="B28">
        <v>52</v>
      </c>
      <c r="C28">
        <v>323.99900000000002</v>
      </c>
    </row>
    <row r="29" spans="1:3" x14ac:dyDescent="0.35">
      <c r="A29" t="s">
        <v>392</v>
      </c>
      <c r="B29">
        <v>52</v>
      </c>
      <c r="C29">
        <v>244.19200000000001</v>
      </c>
    </row>
    <row r="30" spans="1:3" x14ac:dyDescent="0.35">
      <c r="A30" t="s">
        <v>393</v>
      </c>
      <c r="B30">
        <v>68</v>
      </c>
      <c r="C30">
        <v>455.65000000000003</v>
      </c>
    </row>
    <row r="31" spans="1:3" x14ac:dyDescent="0.35">
      <c r="A31" t="s">
        <v>394</v>
      </c>
      <c r="B31">
        <v>52</v>
      </c>
      <c r="C31">
        <v>293.11099999999999</v>
      </c>
    </row>
    <row r="32" spans="1:3" x14ac:dyDescent="0.35">
      <c r="A32" t="s">
        <v>395</v>
      </c>
      <c r="B32">
        <v>52</v>
      </c>
      <c r="C32">
        <v>268.48900000000003</v>
      </c>
    </row>
    <row r="33" spans="1:3" x14ac:dyDescent="0.35">
      <c r="A33" t="s">
        <v>396</v>
      </c>
      <c r="B33">
        <v>52</v>
      </c>
      <c r="C33">
        <v>273.46800000000002</v>
      </c>
    </row>
    <row r="34" spans="1:3" x14ac:dyDescent="0.35">
      <c r="A34" t="s">
        <v>397</v>
      </c>
      <c r="B34">
        <v>68</v>
      </c>
      <c r="C34">
        <v>455.65000000000003</v>
      </c>
    </row>
    <row r="35" spans="1:3" x14ac:dyDescent="0.35">
      <c r="A35" t="s">
        <v>398</v>
      </c>
      <c r="B35">
        <v>53</v>
      </c>
      <c r="C35">
        <v>434.59649999999999</v>
      </c>
    </row>
    <row r="36" spans="1:3" x14ac:dyDescent="0.35">
      <c r="A36" t="s">
        <v>399</v>
      </c>
      <c r="B36">
        <v>52</v>
      </c>
      <c r="C36">
        <v>209.066</v>
      </c>
    </row>
    <row r="37" spans="1:3" x14ac:dyDescent="0.35">
      <c r="A37" t="s">
        <v>400</v>
      </c>
      <c r="B37">
        <v>68</v>
      </c>
      <c r="C37">
        <v>567.65800000000002</v>
      </c>
    </row>
    <row r="38" spans="1:3" x14ac:dyDescent="0.35">
      <c r="A38" t="s">
        <v>401</v>
      </c>
      <c r="B38">
        <v>68</v>
      </c>
      <c r="C38">
        <v>473.99300000000005</v>
      </c>
    </row>
    <row r="39" spans="1:3" x14ac:dyDescent="0.35">
      <c r="A39" t="s">
        <v>402</v>
      </c>
      <c r="B39">
        <v>52</v>
      </c>
      <c r="C39">
        <v>326.32600000000002</v>
      </c>
    </row>
    <row r="40" spans="1:3" x14ac:dyDescent="0.35">
      <c r="A40" t="s">
        <v>27</v>
      </c>
      <c r="B40">
        <v>52</v>
      </c>
      <c r="C40">
        <v>187.11333333333334</v>
      </c>
    </row>
    <row r="41" spans="1:3" x14ac:dyDescent="0.35">
      <c r="A41" t="s">
        <v>403</v>
      </c>
      <c r="B41">
        <v>68</v>
      </c>
      <c r="C41">
        <v>516.65899999999999</v>
      </c>
    </row>
    <row r="42" spans="1:3" x14ac:dyDescent="0.35">
      <c r="A42" t="s">
        <v>404</v>
      </c>
      <c r="B42">
        <v>52</v>
      </c>
      <c r="C42">
        <v>185.83499999999998</v>
      </c>
    </row>
    <row r="43" spans="1:3" x14ac:dyDescent="0.35">
      <c r="A43" t="s">
        <v>405</v>
      </c>
      <c r="B43">
        <v>52</v>
      </c>
      <c r="C43">
        <v>195.988</v>
      </c>
    </row>
    <row r="44" spans="1:3" x14ac:dyDescent="0.35">
      <c r="A44" t="s">
        <v>406</v>
      </c>
      <c r="B44">
        <v>52</v>
      </c>
      <c r="C44">
        <v>360.81500000000005</v>
      </c>
    </row>
    <row r="45" spans="1:3" x14ac:dyDescent="0.35">
      <c r="A45" t="s">
        <v>407</v>
      </c>
      <c r="B45">
        <v>52</v>
      </c>
      <c r="C45">
        <v>209.066</v>
      </c>
    </row>
    <row r="46" spans="1:3" x14ac:dyDescent="0.35">
      <c r="A46" t="s">
        <v>408</v>
      </c>
      <c r="B46">
        <v>52</v>
      </c>
      <c r="C46">
        <v>173.03</v>
      </c>
    </row>
    <row r="47" spans="1:3" x14ac:dyDescent="0.35">
      <c r="A47" t="s">
        <v>409</v>
      </c>
      <c r="B47">
        <v>52</v>
      </c>
      <c r="C47">
        <v>97.200999999999993</v>
      </c>
    </row>
    <row r="48" spans="1:3" x14ac:dyDescent="0.35">
      <c r="A48" t="s">
        <v>410</v>
      </c>
      <c r="B48">
        <v>68</v>
      </c>
      <c r="C48">
        <v>497.13300000000004</v>
      </c>
    </row>
    <row r="49" spans="1:3" x14ac:dyDescent="0.35">
      <c r="A49" t="s">
        <v>411</v>
      </c>
      <c r="B49">
        <v>52</v>
      </c>
      <c r="C49">
        <v>97.200999999999993</v>
      </c>
    </row>
    <row r="50" spans="1:3" x14ac:dyDescent="0.35">
      <c r="A50" t="s">
        <v>412</v>
      </c>
      <c r="B50">
        <v>52</v>
      </c>
      <c r="C50">
        <v>293.21500000000003</v>
      </c>
    </row>
    <row r="51" spans="1:3" x14ac:dyDescent="0.35">
      <c r="A51" t="s">
        <v>413</v>
      </c>
      <c r="B51">
        <v>52</v>
      </c>
      <c r="C51">
        <v>146.75700000000001</v>
      </c>
    </row>
    <row r="52" spans="1:3" x14ac:dyDescent="0.35">
      <c r="A52" t="s">
        <v>414</v>
      </c>
      <c r="B52">
        <v>52</v>
      </c>
      <c r="C52">
        <v>360.63300000000004</v>
      </c>
    </row>
    <row r="53" spans="1:3" x14ac:dyDescent="0.35">
      <c r="A53" t="s">
        <v>415</v>
      </c>
      <c r="B53">
        <v>68</v>
      </c>
      <c r="C53">
        <v>1716.95875</v>
      </c>
    </row>
    <row r="54" spans="1:3" x14ac:dyDescent="0.35">
      <c r="A54" t="s">
        <v>416</v>
      </c>
      <c r="B54">
        <v>52</v>
      </c>
      <c r="C54">
        <v>332.423</v>
      </c>
    </row>
    <row r="55" spans="1:3" x14ac:dyDescent="0.35">
      <c r="A55" t="s">
        <v>417</v>
      </c>
      <c r="B55">
        <v>68</v>
      </c>
      <c r="C55">
        <v>385.30700000000002</v>
      </c>
    </row>
    <row r="56" spans="1:3" x14ac:dyDescent="0.35">
      <c r="A56" t="s">
        <v>418</v>
      </c>
      <c r="B56">
        <v>52</v>
      </c>
      <c r="C56">
        <v>306.91700000000003</v>
      </c>
    </row>
    <row r="57" spans="1:3" x14ac:dyDescent="0.35">
      <c r="A57" t="s">
        <v>419</v>
      </c>
      <c r="B57">
        <v>68</v>
      </c>
      <c r="C57">
        <v>479.81700000000001</v>
      </c>
    </row>
    <row r="58" spans="1:3" x14ac:dyDescent="0.35">
      <c r="A58" t="s">
        <v>420</v>
      </c>
      <c r="B58">
        <v>56</v>
      </c>
      <c r="C58">
        <v>484.72233333333338</v>
      </c>
    </row>
    <row r="59" spans="1:3" x14ac:dyDescent="0.35">
      <c r="A59" t="s">
        <v>421</v>
      </c>
      <c r="B59">
        <v>52</v>
      </c>
      <c r="C59">
        <v>332.423</v>
      </c>
    </row>
    <row r="60" spans="1:3" x14ac:dyDescent="0.35">
      <c r="A60" t="s">
        <v>422</v>
      </c>
      <c r="B60">
        <v>52</v>
      </c>
      <c r="C60">
        <v>173.57600000000002</v>
      </c>
    </row>
    <row r="61" spans="1:3" x14ac:dyDescent="0.35">
      <c r="A61" t="s">
        <v>423</v>
      </c>
      <c r="B61">
        <v>52</v>
      </c>
      <c r="C61">
        <v>360.81500000000005</v>
      </c>
    </row>
    <row r="62" spans="1:3" x14ac:dyDescent="0.35">
      <c r="A62" t="s">
        <v>424</v>
      </c>
      <c r="B62">
        <v>52</v>
      </c>
      <c r="C62">
        <v>360.81500000000005</v>
      </c>
    </row>
    <row r="63" spans="1:3" x14ac:dyDescent="0.35">
      <c r="A63" t="s">
        <v>425</v>
      </c>
      <c r="B63">
        <v>52</v>
      </c>
      <c r="C63">
        <v>209.066</v>
      </c>
    </row>
    <row r="64" spans="1:3" x14ac:dyDescent="0.35">
      <c r="A64" t="s">
        <v>426</v>
      </c>
      <c r="B64">
        <v>52</v>
      </c>
      <c r="C64">
        <v>209.066</v>
      </c>
    </row>
    <row r="65" spans="1:3" x14ac:dyDescent="0.35">
      <c r="A65" t="s">
        <v>427</v>
      </c>
      <c r="B65">
        <v>52</v>
      </c>
      <c r="C65">
        <v>246.571</v>
      </c>
    </row>
    <row r="66" spans="1:3" x14ac:dyDescent="0.35">
      <c r="A66" t="s">
        <v>428</v>
      </c>
      <c r="B66">
        <v>52</v>
      </c>
      <c r="C66">
        <v>211.19800000000001</v>
      </c>
    </row>
    <row r="67" spans="1:3" x14ac:dyDescent="0.35">
      <c r="A67" t="s">
        <v>429</v>
      </c>
      <c r="B67">
        <v>52</v>
      </c>
      <c r="C67">
        <v>306.91700000000003</v>
      </c>
    </row>
    <row r="68" spans="1:3" x14ac:dyDescent="0.35">
      <c r="A68" t="s">
        <v>430</v>
      </c>
      <c r="B68">
        <v>52</v>
      </c>
      <c r="C68">
        <v>146.75700000000001</v>
      </c>
    </row>
    <row r="69" spans="1:3" x14ac:dyDescent="0.35">
      <c r="A69" t="s">
        <v>431</v>
      </c>
      <c r="B69">
        <v>52</v>
      </c>
      <c r="C69">
        <v>231.959</v>
      </c>
    </row>
    <row r="70" spans="1:3" x14ac:dyDescent="0.35">
      <c r="A70" t="s">
        <v>432</v>
      </c>
      <c r="B70">
        <v>52</v>
      </c>
      <c r="C70">
        <v>97.200999999999993</v>
      </c>
    </row>
    <row r="71" spans="1:3" x14ac:dyDescent="0.35">
      <c r="A71" t="s">
        <v>433</v>
      </c>
      <c r="B71">
        <v>68</v>
      </c>
      <c r="C71">
        <v>385.15100000000001</v>
      </c>
    </row>
    <row r="72" spans="1:3" x14ac:dyDescent="0.35">
      <c r="A72" t="s">
        <v>434</v>
      </c>
      <c r="B72">
        <v>52</v>
      </c>
      <c r="C72">
        <v>340.41800000000001</v>
      </c>
    </row>
    <row r="73" spans="1:3" x14ac:dyDescent="0.35">
      <c r="A73" t="s">
        <v>435</v>
      </c>
      <c r="B73">
        <v>52</v>
      </c>
      <c r="C73">
        <v>233.90900000000002</v>
      </c>
    </row>
    <row r="74" spans="1:3" x14ac:dyDescent="0.35">
      <c r="A74" t="s">
        <v>436</v>
      </c>
      <c r="B74">
        <v>52</v>
      </c>
      <c r="C74">
        <v>214.95500000000001</v>
      </c>
    </row>
    <row r="75" spans="1:3" x14ac:dyDescent="0.35">
      <c r="A75" t="s">
        <v>437</v>
      </c>
      <c r="B75">
        <v>52</v>
      </c>
      <c r="C75">
        <v>360.81500000000005</v>
      </c>
    </row>
    <row r="76" spans="1:3" x14ac:dyDescent="0.35">
      <c r="A76" t="s">
        <v>438</v>
      </c>
      <c r="B76">
        <v>52</v>
      </c>
      <c r="C76">
        <v>178.49</v>
      </c>
    </row>
    <row r="77" spans="1:3" x14ac:dyDescent="0.35">
      <c r="A77" t="s">
        <v>439</v>
      </c>
      <c r="B77">
        <v>52</v>
      </c>
      <c r="C77">
        <v>283.452</v>
      </c>
    </row>
    <row r="78" spans="1:3" x14ac:dyDescent="0.35">
      <c r="A78" t="s">
        <v>440</v>
      </c>
      <c r="B78">
        <v>52</v>
      </c>
      <c r="C78">
        <v>332.423</v>
      </c>
    </row>
    <row r="79" spans="1:3" x14ac:dyDescent="0.35">
      <c r="A79" t="s">
        <v>441</v>
      </c>
      <c r="B79">
        <v>52</v>
      </c>
      <c r="C79">
        <v>332.423</v>
      </c>
    </row>
    <row r="80" spans="1:3" x14ac:dyDescent="0.35">
      <c r="A80" t="s">
        <v>442</v>
      </c>
      <c r="B80">
        <v>52</v>
      </c>
      <c r="C80">
        <v>209.066</v>
      </c>
    </row>
    <row r="81" spans="1:3" x14ac:dyDescent="0.35">
      <c r="A81" t="s">
        <v>443</v>
      </c>
      <c r="B81">
        <v>52</v>
      </c>
      <c r="C81">
        <v>97.200999999999993</v>
      </c>
    </row>
    <row r="82" spans="1:3" x14ac:dyDescent="0.35">
      <c r="A82" t="s">
        <v>444</v>
      </c>
      <c r="B82">
        <v>52</v>
      </c>
      <c r="C82">
        <v>257.85500000000002</v>
      </c>
    </row>
    <row r="83" spans="1:3" x14ac:dyDescent="0.35">
      <c r="A83" t="s">
        <v>445</v>
      </c>
      <c r="B83">
        <v>52</v>
      </c>
      <c r="C83">
        <v>347.06100000000004</v>
      </c>
    </row>
    <row r="84" spans="1:3" x14ac:dyDescent="0.35">
      <c r="A84" t="s">
        <v>446</v>
      </c>
      <c r="B84">
        <v>52</v>
      </c>
      <c r="C84">
        <v>323.596</v>
      </c>
    </row>
    <row r="85" spans="1:3" x14ac:dyDescent="0.35">
      <c r="A85" t="s">
        <v>447</v>
      </c>
      <c r="B85">
        <v>52</v>
      </c>
      <c r="C85">
        <v>97.200999999999993</v>
      </c>
    </row>
    <row r="86" spans="1:3" x14ac:dyDescent="0.35">
      <c r="A86" t="s">
        <v>448</v>
      </c>
      <c r="B86">
        <v>52</v>
      </c>
      <c r="C86">
        <v>306.87799999999999</v>
      </c>
    </row>
    <row r="87" spans="1:3" x14ac:dyDescent="0.35">
      <c r="A87" t="s">
        <v>449</v>
      </c>
      <c r="B87">
        <v>52</v>
      </c>
      <c r="C87">
        <v>155.25900000000001</v>
      </c>
    </row>
    <row r="88" spans="1:3" x14ac:dyDescent="0.35">
      <c r="A88" t="s">
        <v>450</v>
      </c>
      <c r="B88">
        <v>52</v>
      </c>
      <c r="C88">
        <v>332.423</v>
      </c>
    </row>
    <row r="89" spans="1:3" x14ac:dyDescent="0.35">
      <c r="A89" t="s">
        <v>451</v>
      </c>
      <c r="B89">
        <v>68</v>
      </c>
      <c r="C89">
        <v>372.00800000000004</v>
      </c>
    </row>
    <row r="90" spans="1:3" x14ac:dyDescent="0.35">
      <c r="A90" t="s">
        <v>452</v>
      </c>
      <c r="B90">
        <v>68</v>
      </c>
      <c r="C90">
        <v>510.80900000000003</v>
      </c>
    </row>
    <row r="91" spans="1:3" x14ac:dyDescent="0.35">
      <c r="A91" t="s">
        <v>453</v>
      </c>
      <c r="B91">
        <v>52</v>
      </c>
      <c r="C91">
        <v>248.65100000000001</v>
      </c>
    </row>
    <row r="92" spans="1:3" x14ac:dyDescent="0.35">
      <c r="A92" t="s">
        <v>454</v>
      </c>
      <c r="B92">
        <v>52</v>
      </c>
      <c r="C92">
        <v>146.75700000000001</v>
      </c>
    </row>
    <row r="93" spans="1:3" x14ac:dyDescent="0.35">
      <c r="A93" t="s">
        <v>455</v>
      </c>
      <c r="B93">
        <v>68</v>
      </c>
      <c r="C93">
        <v>446.43300000000005</v>
      </c>
    </row>
    <row r="94" spans="1:3" x14ac:dyDescent="0.35">
      <c r="A94" t="s">
        <v>456</v>
      </c>
      <c r="B94">
        <v>68</v>
      </c>
      <c r="C94">
        <v>472.49799999999999</v>
      </c>
    </row>
    <row r="95" spans="1:3" x14ac:dyDescent="0.35">
      <c r="A95" t="s">
        <v>457</v>
      </c>
      <c r="B95">
        <v>52</v>
      </c>
      <c r="C95">
        <v>180.19300000000001</v>
      </c>
    </row>
    <row r="96" spans="1:3" x14ac:dyDescent="0.35">
      <c r="A96" t="s">
        <v>458</v>
      </c>
      <c r="B96">
        <v>52</v>
      </c>
      <c r="C96">
        <v>492.71300000000002</v>
      </c>
    </row>
    <row r="97" spans="1:3" x14ac:dyDescent="0.35">
      <c r="A97" t="s">
        <v>459</v>
      </c>
      <c r="B97">
        <v>52</v>
      </c>
      <c r="C97">
        <v>197.95533333333333</v>
      </c>
    </row>
    <row r="98" spans="1:3" x14ac:dyDescent="0.35">
      <c r="A98" t="s">
        <v>460</v>
      </c>
      <c r="B98">
        <v>52</v>
      </c>
      <c r="C98">
        <v>492.71300000000002</v>
      </c>
    </row>
    <row r="99" spans="1:3" x14ac:dyDescent="0.35">
      <c r="A99" t="s">
        <v>461</v>
      </c>
      <c r="B99">
        <v>68</v>
      </c>
      <c r="C99">
        <v>479.71950000000004</v>
      </c>
    </row>
    <row r="100" spans="1:3" x14ac:dyDescent="0.35">
      <c r="A100" t="s">
        <v>462</v>
      </c>
      <c r="B100">
        <v>52</v>
      </c>
      <c r="C100">
        <v>186.88800000000003</v>
      </c>
    </row>
    <row r="101" spans="1:3" x14ac:dyDescent="0.35">
      <c r="A101" t="s">
        <v>463</v>
      </c>
      <c r="B101">
        <v>52</v>
      </c>
      <c r="C101">
        <v>161.03100000000001</v>
      </c>
    </row>
    <row r="102" spans="1:3" x14ac:dyDescent="0.35">
      <c r="A102" t="s">
        <v>464</v>
      </c>
      <c r="B102">
        <v>52</v>
      </c>
      <c r="C102">
        <v>148.68100000000001</v>
      </c>
    </row>
    <row r="103" spans="1:3" x14ac:dyDescent="0.35">
      <c r="A103" t="s">
        <v>465</v>
      </c>
      <c r="B103">
        <v>52</v>
      </c>
      <c r="C103">
        <v>320.91800000000001</v>
      </c>
    </row>
    <row r="104" spans="1:3" x14ac:dyDescent="0.35">
      <c r="A104" t="s">
        <v>466</v>
      </c>
      <c r="B104">
        <v>52</v>
      </c>
      <c r="C104">
        <v>360.63300000000004</v>
      </c>
    </row>
    <row r="105" spans="1:3" x14ac:dyDescent="0.35">
      <c r="A105" t="s">
        <v>467</v>
      </c>
      <c r="B105">
        <v>68</v>
      </c>
      <c r="C105">
        <v>512.35599999999999</v>
      </c>
    </row>
    <row r="106" spans="1:3" x14ac:dyDescent="0.35">
      <c r="A106" t="s">
        <v>468</v>
      </c>
      <c r="B106">
        <v>52</v>
      </c>
      <c r="C106">
        <v>268.48900000000003</v>
      </c>
    </row>
    <row r="107" spans="1:3" x14ac:dyDescent="0.35">
      <c r="A107" t="s">
        <v>469</v>
      </c>
      <c r="B107">
        <v>52</v>
      </c>
      <c r="C107">
        <v>496.86</v>
      </c>
    </row>
    <row r="108" spans="1:3" x14ac:dyDescent="0.35">
      <c r="A108" t="s">
        <v>470</v>
      </c>
      <c r="B108">
        <v>52</v>
      </c>
      <c r="C108">
        <v>233.90900000000002</v>
      </c>
    </row>
    <row r="109" spans="1:3" x14ac:dyDescent="0.35">
      <c r="A109" t="s">
        <v>471</v>
      </c>
      <c r="B109">
        <v>52</v>
      </c>
      <c r="C109">
        <v>231.959</v>
      </c>
    </row>
    <row r="110" spans="1:3" x14ac:dyDescent="0.35">
      <c r="A110" t="s">
        <v>472</v>
      </c>
      <c r="B110">
        <v>52</v>
      </c>
      <c r="C110">
        <v>253.422</v>
      </c>
    </row>
    <row r="111" spans="1:3" x14ac:dyDescent="0.35">
      <c r="A111" t="s">
        <v>473</v>
      </c>
      <c r="B111">
        <v>52</v>
      </c>
      <c r="C111">
        <v>306.91700000000003</v>
      </c>
    </row>
    <row r="112" spans="1:3" x14ac:dyDescent="0.35">
      <c r="A112" t="s">
        <v>474</v>
      </c>
      <c r="B112">
        <v>52</v>
      </c>
      <c r="C112">
        <v>360.81500000000005</v>
      </c>
    </row>
    <row r="113" spans="1:3" x14ac:dyDescent="0.35">
      <c r="A113" t="s">
        <v>475</v>
      </c>
      <c r="B113">
        <v>52</v>
      </c>
      <c r="C113">
        <v>210.821</v>
      </c>
    </row>
    <row r="114" spans="1:3" x14ac:dyDescent="0.35">
      <c r="A114" t="s">
        <v>476</v>
      </c>
      <c r="B114">
        <v>52</v>
      </c>
      <c r="C114">
        <v>292.16200000000003</v>
      </c>
    </row>
    <row r="115" spans="1:3" x14ac:dyDescent="0.35">
      <c r="A115" t="s">
        <v>477</v>
      </c>
      <c r="B115">
        <v>52</v>
      </c>
      <c r="C115">
        <v>155.25900000000001</v>
      </c>
    </row>
    <row r="116" spans="1:3" x14ac:dyDescent="0.35">
      <c r="A116" t="s">
        <v>478</v>
      </c>
      <c r="B116">
        <v>52</v>
      </c>
      <c r="C116">
        <v>271.88200000000001</v>
      </c>
    </row>
    <row r="117" spans="1:3" x14ac:dyDescent="0.35">
      <c r="A117" t="s">
        <v>479</v>
      </c>
      <c r="B117">
        <v>52</v>
      </c>
      <c r="C117">
        <v>148.68100000000001</v>
      </c>
    </row>
    <row r="118" spans="1:3" x14ac:dyDescent="0.35">
      <c r="A118" t="s">
        <v>480</v>
      </c>
      <c r="B118">
        <v>52</v>
      </c>
      <c r="C118">
        <v>323.99900000000002</v>
      </c>
    </row>
    <row r="119" spans="1:3" x14ac:dyDescent="0.35">
      <c r="A119" t="s">
        <v>481</v>
      </c>
      <c r="B119">
        <v>52</v>
      </c>
      <c r="C119">
        <v>306.91700000000003</v>
      </c>
    </row>
    <row r="120" spans="1:3" x14ac:dyDescent="0.35">
      <c r="A120" t="s">
        <v>482</v>
      </c>
      <c r="B120">
        <v>52</v>
      </c>
      <c r="C120">
        <v>214.95500000000001</v>
      </c>
    </row>
    <row r="121" spans="1:3" x14ac:dyDescent="0.35">
      <c r="A121" t="s">
        <v>483</v>
      </c>
      <c r="B121">
        <v>52</v>
      </c>
      <c r="C121">
        <v>195.221</v>
      </c>
    </row>
    <row r="122" spans="1:3" x14ac:dyDescent="0.35">
      <c r="A122" t="s">
        <v>484</v>
      </c>
      <c r="B122">
        <v>52</v>
      </c>
      <c r="C122">
        <v>307.03399999999999</v>
      </c>
    </row>
    <row r="123" spans="1:3" x14ac:dyDescent="0.35">
      <c r="A123" t="s">
        <v>485</v>
      </c>
      <c r="B123">
        <v>52</v>
      </c>
      <c r="C123">
        <v>209.066</v>
      </c>
    </row>
    <row r="124" spans="1:3" x14ac:dyDescent="0.35">
      <c r="A124" t="s">
        <v>486</v>
      </c>
      <c r="B124">
        <v>52</v>
      </c>
      <c r="C124">
        <v>269.62</v>
      </c>
    </row>
    <row r="125" spans="1:3" x14ac:dyDescent="0.35">
      <c r="A125" t="s">
        <v>487</v>
      </c>
      <c r="B125">
        <v>52</v>
      </c>
      <c r="C125">
        <v>341.25</v>
      </c>
    </row>
    <row r="126" spans="1:3" x14ac:dyDescent="0.35">
      <c r="A126" t="s">
        <v>488</v>
      </c>
      <c r="B126">
        <v>52</v>
      </c>
      <c r="C126">
        <v>148.68100000000001</v>
      </c>
    </row>
    <row r="127" spans="1:3" x14ac:dyDescent="0.35">
      <c r="A127" t="s">
        <v>489</v>
      </c>
      <c r="B127">
        <v>68</v>
      </c>
      <c r="C127">
        <v>463.21600000000001</v>
      </c>
    </row>
    <row r="128" spans="1:3" x14ac:dyDescent="0.35">
      <c r="A128" t="s">
        <v>490</v>
      </c>
      <c r="B128">
        <v>52</v>
      </c>
      <c r="C128">
        <v>260.97500000000002</v>
      </c>
    </row>
    <row r="129" spans="1:3" x14ac:dyDescent="0.35">
      <c r="A129" t="s">
        <v>491</v>
      </c>
      <c r="B129">
        <v>52</v>
      </c>
      <c r="C129">
        <v>148.68100000000001</v>
      </c>
    </row>
    <row r="130" spans="1:3" x14ac:dyDescent="0.35">
      <c r="A130" t="s">
        <v>492</v>
      </c>
      <c r="B130">
        <v>52</v>
      </c>
      <c r="C130">
        <v>209.066</v>
      </c>
    </row>
    <row r="131" spans="1:3" x14ac:dyDescent="0.35">
      <c r="A131" t="s">
        <v>493</v>
      </c>
      <c r="B131">
        <v>52</v>
      </c>
      <c r="C131">
        <v>162.357</v>
      </c>
    </row>
    <row r="132" spans="1:3" x14ac:dyDescent="0.35">
      <c r="A132" t="s">
        <v>494</v>
      </c>
      <c r="B132">
        <v>68</v>
      </c>
      <c r="C132">
        <v>559.36400000000003</v>
      </c>
    </row>
    <row r="133" spans="1:3" x14ac:dyDescent="0.35">
      <c r="A133" t="s">
        <v>495</v>
      </c>
      <c r="B133">
        <v>52</v>
      </c>
      <c r="C133">
        <v>496.86</v>
      </c>
    </row>
    <row r="134" spans="1:3" x14ac:dyDescent="0.35">
      <c r="A134" t="s">
        <v>496</v>
      </c>
      <c r="B134">
        <v>52</v>
      </c>
      <c r="C134">
        <v>161.03100000000001</v>
      </c>
    </row>
    <row r="135" spans="1:3" x14ac:dyDescent="0.35">
      <c r="A135" t="s">
        <v>497</v>
      </c>
      <c r="B135">
        <v>68</v>
      </c>
      <c r="C135">
        <v>479.83000000000004</v>
      </c>
    </row>
    <row r="136" spans="1:3" x14ac:dyDescent="0.35">
      <c r="A136" t="s">
        <v>498</v>
      </c>
      <c r="B136">
        <v>68</v>
      </c>
      <c r="C136">
        <v>540.89099999999996</v>
      </c>
    </row>
    <row r="137" spans="1:3" x14ac:dyDescent="0.35">
      <c r="A137" t="s">
        <v>499</v>
      </c>
      <c r="B137">
        <v>68</v>
      </c>
      <c r="C137">
        <v>385.30700000000002</v>
      </c>
    </row>
    <row r="138" spans="1:3" x14ac:dyDescent="0.35">
      <c r="A138" t="s">
        <v>500</v>
      </c>
      <c r="B138">
        <v>52</v>
      </c>
      <c r="C138">
        <v>269.62</v>
      </c>
    </row>
    <row r="139" spans="1:3" x14ac:dyDescent="0.35">
      <c r="A139" t="s">
        <v>501</v>
      </c>
      <c r="B139">
        <v>52</v>
      </c>
      <c r="C139">
        <v>209.066</v>
      </c>
    </row>
    <row r="140" spans="1:3" x14ac:dyDescent="0.35">
      <c r="A140" t="s">
        <v>502</v>
      </c>
      <c r="B140">
        <v>68</v>
      </c>
      <c r="C140">
        <v>512.53800000000001</v>
      </c>
    </row>
    <row r="141" spans="1:3" x14ac:dyDescent="0.35">
      <c r="A141" t="s">
        <v>503</v>
      </c>
      <c r="B141">
        <v>52</v>
      </c>
      <c r="C141">
        <v>211.19800000000001</v>
      </c>
    </row>
    <row r="142" spans="1:3" x14ac:dyDescent="0.35">
      <c r="A142" t="s">
        <v>504</v>
      </c>
      <c r="B142">
        <v>52</v>
      </c>
      <c r="C142">
        <v>116.18100000000001</v>
      </c>
    </row>
    <row r="143" spans="1:3" x14ac:dyDescent="0.35">
      <c r="A143" t="s">
        <v>505</v>
      </c>
      <c r="B143">
        <v>68</v>
      </c>
      <c r="C143">
        <v>537.77100000000007</v>
      </c>
    </row>
    <row r="144" spans="1:3" x14ac:dyDescent="0.35">
      <c r="A144" t="s">
        <v>506</v>
      </c>
      <c r="B144">
        <v>68</v>
      </c>
      <c r="C144">
        <v>334.62</v>
      </c>
    </row>
    <row r="145" spans="1:3" x14ac:dyDescent="0.35">
      <c r="A145" t="s">
        <v>507</v>
      </c>
      <c r="B145">
        <v>52</v>
      </c>
      <c r="C145">
        <v>268.48900000000003</v>
      </c>
    </row>
    <row r="146" spans="1:3" x14ac:dyDescent="0.35">
      <c r="A146" t="s">
        <v>508</v>
      </c>
      <c r="B146">
        <v>52</v>
      </c>
      <c r="C146">
        <v>168.09000000000003</v>
      </c>
    </row>
    <row r="147" spans="1:3" x14ac:dyDescent="0.35">
      <c r="A147" t="s">
        <v>509</v>
      </c>
      <c r="B147">
        <v>52</v>
      </c>
      <c r="C147">
        <v>306.91700000000003</v>
      </c>
    </row>
    <row r="148" spans="1:3" x14ac:dyDescent="0.35">
      <c r="A148" t="s">
        <v>510</v>
      </c>
      <c r="B148">
        <v>52</v>
      </c>
      <c r="C148">
        <v>332.423</v>
      </c>
    </row>
    <row r="149" spans="1:3" x14ac:dyDescent="0.35">
      <c r="A149" t="s">
        <v>511</v>
      </c>
      <c r="B149">
        <v>52</v>
      </c>
      <c r="C149">
        <v>344.89000000000004</v>
      </c>
    </row>
    <row r="150" spans="1:3" x14ac:dyDescent="0.35">
      <c r="A150" t="s">
        <v>512</v>
      </c>
      <c r="B150">
        <v>52</v>
      </c>
      <c r="C150">
        <v>273.46800000000002</v>
      </c>
    </row>
    <row r="151" spans="1:3" x14ac:dyDescent="0.35">
      <c r="A151" t="s">
        <v>513</v>
      </c>
      <c r="B151">
        <v>52</v>
      </c>
      <c r="C151">
        <v>209.066</v>
      </c>
    </row>
    <row r="152" spans="1:3" x14ac:dyDescent="0.35">
      <c r="A152" t="s">
        <v>514</v>
      </c>
      <c r="B152">
        <v>52</v>
      </c>
      <c r="C152">
        <v>148.68100000000001</v>
      </c>
    </row>
    <row r="153" spans="1:3" x14ac:dyDescent="0.35">
      <c r="A153" t="s">
        <v>515</v>
      </c>
      <c r="B153">
        <v>52</v>
      </c>
      <c r="C153">
        <v>244.19200000000001</v>
      </c>
    </row>
    <row r="154" spans="1:3" x14ac:dyDescent="0.35">
      <c r="A154" t="s">
        <v>516</v>
      </c>
      <c r="B154">
        <v>52</v>
      </c>
      <c r="C154">
        <v>293.21500000000003</v>
      </c>
    </row>
    <row r="155" spans="1:3" x14ac:dyDescent="0.35">
      <c r="A155" t="s">
        <v>517</v>
      </c>
      <c r="B155">
        <v>52</v>
      </c>
      <c r="C155">
        <v>332.423</v>
      </c>
    </row>
    <row r="156" spans="1:3" x14ac:dyDescent="0.35">
      <c r="A156" t="s">
        <v>518</v>
      </c>
      <c r="B156">
        <v>52</v>
      </c>
      <c r="C156">
        <v>369.01800000000003</v>
      </c>
    </row>
    <row r="157" spans="1:3" x14ac:dyDescent="0.35">
      <c r="A157" t="s">
        <v>519</v>
      </c>
      <c r="B157">
        <v>52</v>
      </c>
      <c r="C157">
        <v>178.49</v>
      </c>
    </row>
    <row r="158" spans="1:3" x14ac:dyDescent="0.35">
      <c r="A158" t="s">
        <v>520</v>
      </c>
      <c r="B158">
        <v>52</v>
      </c>
      <c r="C158">
        <v>161.03100000000001</v>
      </c>
    </row>
    <row r="159" spans="1:3" x14ac:dyDescent="0.35">
      <c r="A159" t="s">
        <v>521</v>
      </c>
      <c r="B159">
        <v>52</v>
      </c>
      <c r="C159">
        <v>182.71500000000003</v>
      </c>
    </row>
    <row r="160" spans="1:3" x14ac:dyDescent="0.35">
      <c r="A160" t="s">
        <v>522</v>
      </c>
      <c r="B160">
        <v>52</v>
      </c>
      <c r="C160">
        <v>180.19300000000001</v>
      </c>
    </row>
    <row r="161" spans="1:3" x14ac:dyDescent="0.35">
      <c r="A161" t="s">
        <v>523</v>
      </c>
      <c r="B161">
        <v>52</v>
      </c>
      <c r="C161">
        <v>187.239</v>
      </c>
    </row>
    <row r="162" spans="1:3" x14ac:dyDescent="0.35">
      <c r="A162" t="s">
        <v>524</v>
      </c>
      <c r="B162">
        <v>68</v>
      </c>
      <c r="C162">
        <v>629.69399999999996</v>
      </c>
    </row>
    <row r="163" spans="1:3" x14ac:dyDescent="0.35">
      <c r="A163" t="s">
        <v>525</v>
      </c>
      <c r="B163">
        <v>52</v>
      </c>
      <c r="C163">
        <v>393.36699999999996</v>
      </c>
    </row>
    <row r="164" spans="1:3" x14ac:dyDescent="0.35">
      <c r="A164" t="s">
        <v>526</v>
      </c>
      <c r="B164">
        <v>52</v>
      </c>
      <c r="C164">
        <v>162.357</v>
      </c>
    </row>
    <row r="165" spans="1:3" x14ac:dyDescent="0.35">
      <c r="A165" t="s">
        <v>527</v>
      </c>
      <c r="B165">
        <v>52</v>
      </c>
      <c r="C165">
        <v>146.75700000000001</v>
      </c>
    </row>
    <row r="166" spans="1:3" x14ac:dyDescent="0.35">
      <c r="A166" t="s">
        <v>528</v>
      </c>
      <c r="B166">
        <v>52</v>
      </c>
      <c r="C166">
        <v>148.68100000000001</v>
      </c>
    </row>
    <row r="167" spans="1:3" x14ac:dyDescent="0.35">
      <c r="A167" t="s">
        <v>529</v>
      </c>
      <c r="B167">
        <v>52</v>
      </c>
      <c r="C167">
        <v>162.357</v>
      </c>
    </row>
    <row r="168" spans="1:3" x14ac:dyDescent="0.35">
      <c r="A168" t="s">
        <v>530</v>
      </c>
      <c r="B168">
        <v>52</v>
      </c>
      <c r="C168">
        <v>195.221</v>
      </c>
    </row>
    <row r="169" spans="1:3" x14ac:dyDescent="0.35">
      <c r="A169" t="s">
        <v>531</v>
      </c>
      <c r="B169">
        <v>52</v>
      </c>
      <c r="C169">
        <v>107.79600000000001</v>
      </c>
    </row>
    <row r="170" spans="1:3" x14ac:dyDescent="0.35">
      <c r="A170" t="s">
        <v>532</v>
      </c>
      <c r="B170">
        <v>68</v>
      </c>
      <c r="C170">
        <v>455.65000000000003</v>
      </c>
    </row>
    <row r="171" spans="1:3" x14ac:dyDescent="0.35">
      <c r="A171" t="s">
        <v>533</v>
      </c>
      <c r="B171">
        <v>52</v>
      </c>
      <c r="C171">
        <v>257.85500000000002</v>
      </c>
    </row>
    <row r="172" spans="1:3" x14ac:dyDescent="0.35">
      <c r="A172" t="s">
        <v>534</v>
      </c>
      <c r="B172">
        <v>68</v>
      </c>
      <c r="C172">
        <v>473.65500000000003</v>
      </c>
    </row>
    <row r="173" spans="1:3" x14ac:dyDescent="0.35">
      <c r="A173" t="s">
        <v>535</v>
      </c>
      <c r="B173">
        <v>52</v>
      </c>
      <c r="C173">
        <v>162.357</v>
      </c>
    </row>
    <row r="174" spans="1:3" x14ac:dyDescent="0.35">
      <c r="A174" t="s">
        <v>536</v>
      </c>
      <c r="B174">
        <v>52</v>
      </c>
      <c r="C174">
        <v>162.357</v>
      </c>
    </row>
    <row r="175" spans="1:3" x14ac:dyDescent="0.35">
      <c r="A175" t="s">
        <v>537</v>
      </c>
      <c r="B175">
        <v>52</v>
      </c>
      <c r="C175">
        <v>209.066</v>
      </c>
    </row>
    <row r="176" spans="1:3" x14ac:dyDescent="0.35">
      <c r="A176" t="s">
        <v>538</v>
      </c>
      <c r="B176">
        <v>52</v>
      </c>
      <c r="C176">
        <v>264.83600000000001</v>
      </c>
    </row>
    <row r="177" spans="1:3" x14ac:dyDescent="0.35">
      <c r="A177" t="s">
        <v>539</v>
      </c>
      <c r="B177">
        <v>52</v>
      </c>
      <c r="C177">
        <v>231.959</v>
      </c>
    </row>
    <row r="178" spans="1:3" x14ac:dyDescent="0.35">
      <c r="A178" t="s">
        <v>540</v>
      </c>
      <c r="B178">
        <v>52</v>
      </c>
      <c r="C178">
        <v>332.423</v>
      </c>
    </row>
    <row r="179" spans="1:3" x14ac:dyDescent="0.35">
      <c r="A179" t="s">
        <v>541</v>
      </c>
      <c r="B179">
        <v>52</v>
      </c>
      <c r="C179">
        <v>229.203</v>
      </c>
    </row>
    <row r="180" spans="1:3" x14ac:dyDescent="0.35">
      <c r="A180" t="s">
        <v>542</v>
      </c>
      <c r="B180">
        <v>52</v>
      </c>
      <c r="C180">
        <v>279.46100000000001</v>
      </c>
    </row>
    <row r="181" spans="1:3" x14ac:dyDescent="0.35">
      <c r="A181" t="s">
        <v>543</v>
      </c>
      <c r="B181">
        <v>68</v>
      </c>
      <c r="C181">
        <v>512.35599999999999</v>
      </c>
    </row>
    <row r="182" spans="1:3" x14ac:dyDescent="0.35">
      <c r="A182" t="s">
        <v>544</v>
      </c>
      <c r="B182">
        <v>52</v>
      </c>
      <c r="C182">
        <v>306.91700000000003</v>
      </c>
    </row>
    <row r="183" spans="1:3" x14ac:dyDescent="0.35">
      <c r="A183" t="s">
        <v>545</v>
      </c>
      <c r="B183">
        <v>52</v>
      </c>
      <c r="C183">
        <v>263.84800000000001</v>
      </c>
    </row>
    <row r="184" spans="1:3" x14ac:dyDescent="0.35">
      <c r="A184" t="s">
        <v>546</v>
      </c>
      <c r="B184">
        <v>52</v>
      </c>
      <c r="C184">
        <v>306.91700000000003</v>
      </c>
    </row>
    <row r="185" spans="1:3" x14ac:dyDescent="0.35">
      <c r="A185" t="s">
        <v>547</v>
      </c>
      <c r="B185">
        <v>52</v>
      </c>
      <c r="C185">
        <v>352.89799999999997</v>
      </c>
    </row>
    <row r="186" spans="1:3" x14ac:dyDescent="0.35">
      <c r="A186" t="s">
        <v>548</v>
      </c>
      <c r="B186">
        <v>52</v>
      </c>
      <c r="C186">
        <v>438.12599999999998</v>
      </c>
    </row>
    <row r="187" spans="1:3" x14ac:dyDescent="0.35">
      <c r="A187" t="s">
        <v>549</v>
      </c>
      <c r="B187">
        <v>52</v>
      </c>
      <c r="C187">
        <v>360.63300000000004</v>
      </c>
    </row>
    <row r="188" spans="1:3" x14ac:dyDescent="0.35">
      <c r="A188" t="s">
        <v>550</v>
      </c>
      <c r="B188">
        <v>52</v>
      </c>
      <c r="C188">
        <v>162.357</v>
      </c>
    </row>
    <row r="189" spans="1:3" x14ac:dyDescent="0.35">
      <c r="A189" t="s">
        <v>551</v>
      </c>
      <c r="B189">
        <v>52</v>
      </c>
      <c r="C189">
        <v>209.066</v>
      </c>
    </row>
    <row r="190" spans="1:3" x14ac:dyDescent="0.35">
      <c r="A190" t="s">
        <v>552</v>
      </c>
      <c r="B190">
        <v>68</v>
      </c>
      <c r="C190">
        <v>559.36400000000003</v>
      </c>
    </row>
    <row r="191" spans="1:3" x14ac:dyDescent="0.35">
      <c r="A191" t="s">
        <v>553</v>
      </c>
      <c r="B191">
        <v>52</v>
      </c>
      <c r="C191">
        <v>306.94300000000004</v>
      </c>
    </row>
    <row r="192" spans="1:3" x14ac:dyDescent="0.35">
      <c r="A192" t="s">
        <v>554</v>
      </c>
      <c r="B192">
        <v>52</v>
      </c>
      <c r="C192">
        <v>209.066</v>
      </c>
    </row>
    <row r="193" spans="1:3" x14ac:dyDescent="0.35">
      <c r="A193" t="s">
        <v>555</v>
      </c>
      <c r="B193">
        <v>68</v>
      </c>
      <c r="C193">
        <v>455.65000000000003</v>
      </c>
    </row>
    <row r="194" spans="1:3" x14ac:dyDescent="0.35">
      <c r="A194" t="s">
        <v>556</v>
      </c>
      <c r="B194">
        <v>52</v>
      </c>
      <c r="C194">
        <v>341.25</v>
      </c>
    </row>
    <row r="195" spans="1:3" x14ac:dyDescent="0.35">
      <c r="A195" t="s">
        <v>72</v>
      </c>
      <c r="B195">
        <v>52</v>
      </c>
      <c r="C195">
        <v>263.71800000000002</v>
      </c>
    </row>
    <row r="196" spans="1:3" x14ac:dyDescent="0.35">
      <c r="A196" t="s">
        <v>557</v>
      </c>
      <c r="B196">
        <v>42</v>
      </c>
      <c r="C196">
        <v>209.066</v>
      </c>
    </row>
    <row r="197" spans="1:3" x14ac:dyDescent="0.35">
      <c r="A197" t="s">
        <v>558</v>
      </c>
      <c r="B197">
        <v>68</v>
      </c>
      <c r="C197">
        <v>489.39799999999997</v>
      </c>
    </row>
    <row r="198" spans="1:3" x14ac:dyDescent="0.35">
      <c r="A198" t="s">
        <v>559</v>
      </c>
      <c r="B198">
        <v>52</v>
      </c>
      <c r="C198">
        <v>231.959</v>
      </c>
    </row>
    <row r="199" spans="1:3" x14ac:dyDescent="0.35">
      <c r="A199" t="s">
        <v>560</v>
      </c>
      <c r="B199">
        <v>52</v>
      </c>
      <c r="C199">
        <v>332.423</v>
      </c>
    </row>
    <row r="200" spans="1:3" x14ac:dyDescent="0.35">
      <c r="A200" t="s">
        <v>561</v>
      </c>
      <c r="B200">
        <v>56</v>
      </c>
      <c r="C200">
        <v>295.78033333333332</v>
      </c>
    </row>
    <row r="201" spans="1:3" x14ac:dyDescent="0.35">
      <c r="A201" t="s">
        <v>562</v>
      </c>
      <c r="B201">
        <v>52</v>
      </c>
      <c r="C201">
        <v>97.200999999999993</v>
      </c>
    </row>
    <row r="202" spans="1:3" x14ac:dyDescent="0.35">
      <c r="A202" t="s">
        <v>563</v>
      </c>
      <c r="B202">
        <v>52</v>
      </c>
      <c r="C202">
        <v>332.423</v>
      </c>
    </row>
    <row r="203" spans="1:3" x14ac:dyDescent="0.35">
      <c r="A203" t="s">
        <v>564</v>
      </c>
      <c r="B203">
        <v>68</v>
      </c>
      <c r="C203">
        <v>537.77100000000007</v>
      </c>
    </row>
    <row r="204" spans="1:3" x14ac:dyDescent="0.35">
      <c r="A204" t="s">
        <v>565</v>
      </c>
      <c r="B204">
        <v>52</v>
      </c>
      <c r="C204">
        <v>268.48900000000003</v>
      </c>
    </row>
    <row r="205" spans="1:3" x14ac:dyDescent="0.35">
      <c r="A205" t="s">
        <v>566</v>
      </c>
      <c r="B205">
        <v>52</v>
      </c>
      <c r="C205">
        <v>211.78300000000002</v>
      </c>
    </row>
    <row r="206" spans="1:3" x14ac:dyDescent="0.35">
      <c r="A206" t="s">
        <v>28</v>
      </c>
      <c r="B206">
        <v>90</v>
      </c>
      <c r="C206">
        <v>0.95479999999999998</v>
      </c>
    </row>
    <row r="207" spans="1:3" x14ac:dyDescent="0.35">
      <c r="A207" t="s">
        <v>29</v>
      </c>
      <c r="B207">
        <v>90</v>
      </c>
      <c r="C207">
        <v>0.86650000000000005</v>
      </c>
    </row>
    <row r="208" spans="1:3" x14ac:dyDescent="0.35">
      <c r="A208" t="s">
        <v>30</v>
      </c>
      <c r="B208">
        <v>90</v>
      </c>
      <c r="C208">
        <v>1.1256999999999999</v>
      </c>
    </row>
    <row r="209" spans="1:3" x14ac:dyDescent="0.35">
      <c r="A209" t="s">
        <v>31</v>
      </c>
      <c r="B209">
        <v>90</v>
      </c>
      <c r="C209">
        <v>1.6088</v>
      </c>
    </row>
    <row r="210" spans="1:3" x14ac:dyDescent="0.35">
      <c r="A210" t="s">
        <v>32</v>
      </c>
      <c r="B210">
        <v>90</v>
      </c>
      <c r="C210">
        <v>1.1781999999999999</v>
      </c>
    </row>
    <row r="211" spans="1:3" x14ac:dyDescent="0.35">
      <c r="A211" t="s">
        <v>33</v>
      </c>
      <c r="B211">
        <v>90</v>
      </c>
      <c r="C211">
        <v>2.1429</v>
      </c>
    </row>
    <row r="212" spans="1:3" x14ac:dyDescent="0.35">
      <c r="A212" t="s">
        <v>34</v>
      </c>
      <c r="B212">
        <v>90</v>
      </c>
      <c r="C212">
        <v>0.97219999999999995</v>
      </c>
    </row>
    <row r="213" spans="1:3" x14ac:dyDescent="0.35">
      <c r="A213" t="s">
        <v>35</v>
      </c>
      <c r="B213">
        <v>90</v>
      </c>
      <c r="C213">
        <v>1.4804999999999999</v>
      </c>
    </row>
    <row r="214" spans="1:3" x14ac:dyDescent="0.35">
      <c r="A214" t="s">
        <v>36</v>
      </c>
      <c r="B214">
        <v>90</v>
      </c>
      <c r="C214">
        <v>0.86650000000000005</v>
      </c>
    </row>
    <row r="215" spans="1:3" x14ac:dyDescent="0.35">
      <c r="A215" t="s">
        <v>37</v>
      </c>
      <c r="B215">
        <v>90</v>
      </c>
      <c r="C215">
        <v>1.5678000000000001</v>
      </c>
    </row>
    <row r="216" spans="1:3" x14ac:dyDescent="0.35">
      <c r="A216" t="s">
        <v>38</v>
      </c>
      <c r="B216">
        <v>90</v>
      </c>
      <c r="C216">
        <v>1.4577</v>
      </c>
    </row>
    <row r="217" spans="1:3" x14ac:dyDescent="0.35">
      <c r="A217" t="s">
        <v>39</v>
      </c>
      <c r="B217">
        <v>75</v>
      </c>
      <c r="C217">
        <v>0.49959999999999999</v>
      </c>
    </row>
    <row r="218" spans="1:3" x14ac:dyDescent="0.35">
      <c r="A218" t="s">
        <v>40</v>
      </c>
      <c r="B218">
        <v>90</v>
      </c>
      <c r="C218">
        <v>2.0905999999999998</v>
      </c>
    </row>
    <row r="219" spans="1:3" x14ac:dyDescent="0.35">
      <c r="A219" t="s">
        <v>41</v>
      </c>
      <c r="B219">
        <v>90</v>
      </c>
      <c r="C219">
        <v>4.0566000000000004</v>
      </c>
    </row>
    <row r="220" spans="1:3" x14ac:dyDescent="0.35">
      <c r="A220" t="s">
        <v>42</v>
      </c>
      <c r="B220">
        <v>90</v>
      </c>
      <c r="C220">
        <v>1.5636000000000001</v>
      </c>
    </row>
    <row r="221" spans="1:3" x14ac:dyDescent="0.35">
      <c r="A221" t="s">
        <v>43</v>
      </c>
      <c r="B221">
        <v>90</v>
      </c>
      <c r="C221">
        <v>0.91790000000000005</v>
      </c>
    </row>
    <row r="222" spans="1:3" x14ac:dyDescent="0.35">
      <c r="A222" t="s">
        <v>44</v>
      </c>
      <c r="B222">
        <v>90</v>
      </c>
      <c r="C222">
        <v>1.8608</v>
      </c>
    </row>
    <row r="223" spans="1:3" x14ac:dyDescent="0.35">
      <c r="A223" t="s">
        <v>45</v>
      </c>
      <c r="B223">
        <v>75</v>
      </c>
      <c r="C223">
        <v>1.0451999999999999</v>
      </c>
    </row>
    <row r="224" spans="1:3" x14ac:dyDescent="0.35">
      <c r="A224" t="s">
        <v>20</v>
      </c>
      <c r="B224">
        <v>75</v>
      </c>
      <c r="C224">
        <v>0.61140000000000005</v>
      </c>
    </row>
    <row r="225" spans="1:3" x14ac:dyDescent="0.35">
      <c r="A225" t="s">
        <v>46</v>
      </c>
      <c r="B225">
        <v>90</v>
      </c>
      <c r="C225">
        <v>1.0738000000000001</v>
      </c>
    </row>
    <row r="226" spans="1:3" x14ac:dyDescent="0.35">
      <c r="A226" t="s">
        <v>47</v>
      </c>
      <c r="B226">
        <v>75</v>
      </c>
      <c r="C226">
        <v>0.76680000000000004</v>
      </c>
    </row>
    <row r="227" spans="1:3" x14ac:dyDescent="0.35">
      <c r="A227" t="s">
        <v>48</v>
      </c>
      <c r="B227">
        <v>90</v>
      </c>
      <c r="C227">
        <v>1.8299000000000001</v>
      </c>
    </row>
    <row r="228" spans="1:3" x14ac:dyDescent="0.35">
      <c r="A228" t="s">
        <v>49</v>
      </c>
      <c r="B228">
        <v>90</v>
      </c>
      <c r="C228">
        <v>0.93269999999999997</v>
      </c>
    </row>
    <row r="229" spans="1:3" x14ac:dyDescent="0.35">
      <c r="A229" t="s">
        <v>50</v>
      </c>
      <c r="B229">
        <v>90</v>
      </c>
      <c r="C229">
        <v>2.2896000000000001</v>
      </c>
    </row>
    <row r="230" spans="1:3" x14ac:dyDescent="0.35">
      <c r="A230" t="s">
        <v>51</v>
      </c>
      <c r="B230">
        <v>90</v>
      </c>
      <c r="C230">
        <v>1.8540000000000001</v>
      </c>
    </row>
    <row r="231" spans="1:3" x14ac:dyDescent="0.35">
      <c r="A231" t="s">
        <v>52</v>
      </c>
      <c r="B231">
        <v>90</v>
      </c>
      <c r="C231">
        <v>3.4491000000000001</v>
      </c>
    </row>
    <row r="232" spans="1:3" x14ac:dyDescent="0.35">
      <c r="A232" t="s">
        <v>53</v>
      </c>
      <c r="B232">
        <v>90</v>
      </c>
      <c r="C232">
        <v>1.4947999999999999</v>
      </c>
    </row>
    <row r="233" spans="1:3" x14ac:dyDescent="0.35">
      <c r="A233" t="s">
        <v>54</v>
      </c>
      <c r="B233">
        <v>90</v>
      </c>
      <c r="C233">
        <v>4.2454999999999998</v>
      </c>
    </row>
    <row r="234" spans="1:3" x14ac:dyDescent="0.35">
      <c r="A234" t="s">
        <v>55</v>
      </c>
      <c r="B234">
        <v>90</v>
      </c>
      <c r="C234">
        <v>2.6448999999999998</v>
      </c>
    </row>
    <row r="235" spans="1:3" x14ac:dyDescent="0.35">
      <c r="A235" t="s">
        <v>56</v>
      </c>
      <c r="B235">
        <v>75</v>
      </c>
      <c r="C235">
        <v>0.99580000000000002</v>
      </c>
    </row>
    <row r="236" spans="1:3" x14ac:dyDescent="0.35">
      <c r="A236" t="s">
        <v>57</v>
      </c>
      <c r="B236">
        <v>75</v>
      </c>
      <c r="C236">
        <v>1.1900999999999999</v>
      </c>
    </row>
    <row r="237" spans="1:3" x14ac:dyDescent="0.35">
      <c r="A237" t="s">
        <v>58</v>
      </c>
      <c r="B237">
        <v>75</v>
      </c>
      <c r="C237">
        <v>0.83950000000000002</v>
      </c>
    </row>
    <row r="238" spans="1:3" x14ac:dyDescent="0.35">
      <c r="A238" t="s">
        <v>59</v>
      </c>
      <c r="B238">
        <v>90</v>
      </c>
      <c r="C238">
        <v>2.0642</v>
      </c>
    </row>
    <row r="239" spans="1:3" x14ac:dyDescent="0.35">
      <c r="A239" t="s">
        <v>60</v>
      </c>
      <c r="B239">
        <v>90</v>
      </c>
      <c r="C239">
        <v>1.9542999999999999</v>
      </c>
    </row>
    <row r="240" spans="1:3" x14ac:dyDescent="0.35">
      <c r="A240" t="s">
        <v>61</v>
      </c>
      <c r="B240">
        <v>90</v>
      </c>
      <c r="C240">
        <v>1.0738000000000001</v>
      </c>
    </row>
    <row r="241" spans="1:3" x14ac:dyDescent="0.35">
      <c r="A241" t="s">
        <v>62</v>
      </c>
      <c r="B241">
        <v>90</v>
      </c>
      <c r="C241">
        <v>0.97789999999999999</v>
      </c>
    </row>
    <row r="242" spans="1:3" x14ac:dyDescent="0.35">
      <c r="A242" t="s">
        <v>63</v>
      </c>
      <c r="B242">
        <v>90</v>
      </c>
      <c r="C242">
        <v>1.3537999999999999</v>
      </c>
    </row>
    <row r="243" spans="1:3" x14ac:dyDescent="0.35">
      <c r="A243" t="s">
        <v>64</v>
      </c>
      <c r="B243">
        <v>90</v>
      </c>
      <c r="C243">
        <v>1.1339999999999999</v>
      </c>
    </row>
    <row r="244" spans="1:3" x14ac:dyDescent="0.35">
      <c r="A244" t="s">
        <v>65</v>
      </c>
      <c r="B244">
        <v>90</v>
      </c>
      <c r="C244">
        <v>2.8054999999999999</v>
      </c>
    </row>
    <row r="245" spans="1:3" x14ac:dyDescent="0.35">
      <c r="A245" t="s">
        <v>66</v>
      </c>
      <c r="B245">
        <v>90</v>
      </c>
      <c r="C245">
        <v>1.1339999999999999</v>
      </c>
    </row>
    <row r="246" spans="1:3" x14ac:dyDescent="0.35">
      <c r="A246" t="s">
        <v>67</v>
      </c>
      <c r="B246">
        <v>90</v>
      </c>
      <c r="C246">
        <v>1.0717000000000001</v>
      </c>
    </row>
    <row r="247" spans="1:3" x14ac:dyDescent="0.35">
      <c r="A247" t="s">
        <v>68</v>
      </c>
      <c r="B247">
        <v>90</v>
      </c>
      <c r="C247">
        <v>1.2008000000000001</v>
      </c>
    </row>
    <row r="248" spans="1:3" x14ac:dyDescent="0.35">
      <c r="A248" t="s">
        <v>69</v>
      </c>
      <c r="B248">
        <v>90</v>
      </c>
      <c r="C248">
        <v>1.2948</v>
      </c>
    </row>
    <row r="249" spans="1:3" x14ac:dyDescent="0.35">
      <c r="A249" t="s">
        <v>70</v>
      </c>
      <c r="B249">
        <v>90</v>
      </c>
      <c r="C249">
        <v>1.2609999999999999</v>
      </c>
    </row>
    <row r="250" spans="1:3" x14ac:dyDescent="0.35">
      <c r="A250" t="s">
        <v>71</v>
      </c>
      <c r="B250">
        <v>90</v>
      </c>
      <c r="C250">
        <v>4.1348000000000003</v>
      </c>
    </row>
    <row r="251" spans="1:3" x14ac:dyDescent="0.35">
      <c r="A251" t="s">
        <v>72</v>
      </c>
      <c r="B251">
        <v>90</v>
      </c>
      <c r="C251">
        <v>1.0815999999999999</v>
      </c>
    </row>
    <row r="252" spans="1:3" x14ac:dyDescent="0.35">
      <c r="A252" t="s">
        <v>73</v>
      </c>
      <c r="B252">
        <v>90</v>
      </c>
      <c r="C252">
        <v>0.97219999999999995</v>
      </c>
    </row>
    <row r="253" spans="1:3" x14ac:dyDescent="0.35">
      <c r="A253" t="s">
        <v>74</v>
      </c>
      <c r="B253">
        <v>90</v>
      </c>
      <c r="C253">
        <v>1.7434000000000001</v>
      </c>
    </row>
    <row r="254" spans="1:3" x14ac:dyDescent="0.35">
      <c r="A254" t="s">
        <v>75</v>
      </c>
      <c r="B254">
        <v>75</v>
      </c>
      <c r="C254">
        <v>0.67900000000000005</v>
      </c>
    </row>
    <row r="255" spans="1:3" x14ac:dyDescent="0.35">
      <c r="A255" t="s">
        <v>76</v>
      </c>
      <c r="B255">
        <v>90</v>
      </c>
      <c r="C255">
        <v>1.1857</v>
      </c>
    </row>
    <row r="256" spans="1:3" x14ac:dyDescent="0.35">
      <c r="A256" t="s">
        <v>77</v>
      </c>
      <c r="B256">
        <v>90</v>
      </c>
      <c r="C256">
        <v>1.0317000000000001</v>
      </c>
    </row>
    <row r="257" spans="1:3" x14ac:dyDescent="0.35">
      <c r="A257" t="s">
        <v>78</v>
      </c>
      <c r="B257">
        <v>90</v>
      </c>
      <c r="C257">
        <v>2.7875000000000001</v>
      </c>
    </row>
    <row r="258" spans="1:3" x14ac:dyDescent="0.35">
      <c r="A258" t="s">
        <v>79</v>
      </c>
      <c r="B258">
        <v>90</v>
      </c>
      <c r="C258">
        <v>0.86650000000000005</v>
      </c>
    </row>
    <row r="259" spans="1:3" x14ac:dyDescent="0.35">
      <c r="A259" t="s">
        <v>80</v>
      </c>
      <c r="B259">
        <v>90</v>
      </c>
      <c r="C259">
        <v>1.0501</v>
      </c>
    </row>
    <row r="260" spans="1:3" x14ac:dyDescent="0.35">
      <c r="A260" t="s">
        <v>81</v>
      </c>
      <c r="B260">
        <v>90</v>
      </c>
      <c r="C260">
        <v>2.1029</v>
      </c>
    </row>
    <row r="261" spans="1:3" x14ac:dyDescent="0.35">
      <c r="A261" t="s">
        <v>82</v>
      </c>
      <c r="B261">
        <v>90</v>
      </c>
      <c r="C261">
        <v>1.1339999999999999</v>
      </c>
    </row>
    <row r="262" spans="1:3" x14ac:dyDescent="0.35">
      <c r="A262" t="s">
        <v>83</v>
      </c>
      <c r="B262">
        <v>90</v>
      </c>
      <c r="C262">
        <v>1.7335</v>
      </c>
    </row>
    <row r="263" spans="1:3" x14ac:dyDescent="0.35">
      <c r="A263" t="s">
        <v>84</v>
      </c>
      <c r="B263">
        <v>90</v>
      </c>
      <c r="C263">
        <v>1.2109000000000001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F592C67-E860-4CDB-A515-36820049BE0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Input</vt:lpstr>
      <vt:lpstr>WHrate</vt:lpstr>
      <vt:lpstr>Price per stage</vt:lpstr>
      <vt:lpstr>Delivery per Unit</vt:lpstr>
      <vt:lpstr>WH</vt:lpstr>
      <vt:lpstr>TRrate</vt:lpstr>
      <vt:lpstr>seafreight forecast</vt:lpstr>
      <vt:lpstr>Summary</vt:lpstr>
      <vt:lpstr>TransportRate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Vlad Plyusnin - Product and Operations</dc:creator>
  <cp:lastModifiedBy>Vlad Plyusnin - Logistics</cp:lastModifiedBy>
  <dcterms:created xsi:type="dcterms:W3CDTF">2024-10-16T20:32:17Z</dcterms:created>
  <dcterms:modified xsi:type="dcterms:W3CDTF">2025-09-26T03:31:37Z</dcterms:modified>
</cp:coreProperties>
</file>