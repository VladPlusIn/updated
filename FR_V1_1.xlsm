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D3A1911E-3048-47C6-8128-0F4B42807C43}" xr6:coauthVersionLast="47" xr6:coauthVersionMax="47" xr10:uidLastSave="{00000000-0000-0000-0000-000000000000}"/>
  <bookViews>
    <workbookView xWindow="28845" yWindow="-16410" windowWidth="29040" windowHeight="15720" activeTab="3" xr2:uid="{6D661927-D981-4489-A577-2CEA04A8FBA5}"/>
    <workbookView xWindow="-9555" yWindow="-21720" windowWidth="38640" windowHeight="21120" activeTab="7" xr2:uid="{1FB0B4F4-F193-4A8D-9695-EAAEB3C77902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state="hidden" r:id="rId5"/>
    <sheet name="TRrate" sheetId="35" state="hidden" r:id="rId6"/>
    <sheet name="seafreight forecast" sheetId="38" r:id="rId7"/>
    <sheet name="Summary" sheetId="32" r:id="rId8"/>
    <sheet name="TransportRate" sheetId="41" state="hidden" r:id="rId9"/>
  </sheets>
  <definedNames>
    <definedName name="_xleta.AVERAGE" hidden="1" xlm="1">#NAME?</definedName>
    <definedName name="_xleta.SUM" hidden="1" xlm="1">#NAME?</definedName>
    <definedName name="ExternalData_1" localSheetId="2" hidden="1">'Price per stage'!$A$1:$F$16</definedName>
    <definedName name="ExternalData_1" localSheetId="8" hidden="1">TransportRate!$A$1:$AH$250</definedName>
    <definedName name="ExternalData_1" localSheetId="5" hidden="1">TRrate!$A$1:$C$251</definedName>
    <definedName name="ExternalData_2" localSheetId="3" hidden="1">'Delivery per Unit'!$A$1:$F$49</definedName>
    <definedName name="ExternalData_2" localSheetId="7" hidden="1">Summary!$A$1:$AD$49</definedName>
    <definedName name="ExternalData_6" localSheetId="2" hidden="1">'Price per stage'!$A$1:$G$14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" i="32" l="1"/>
  <c r="L50" i="32"/>
  <c r="M50" i="32"/>
  <c r="P50" i="32"/>
  <c r="Q50" i="32"/>
  <c r="R50" i="32"/>
  <c r="T50" i="32"/>
  <c r="V50" i="32"/>
  <c r="X50" i="32"/>
  <c r="Z50" i="32"/>
  <c r="AB50" i="32"/>
  <c r="E17" i="28"/>
  <c r="D18" i="10"/>
  <c r="D16" i="10"/>
  <c r="D14" i="10"/>
  <c r="D12" i="10"/>
  <c r="D10" i="10"/>
  <c r="D9" i="10"/>
  <c r="D2" i="10"/>
  <c r="D4" i="10" l="1"/>
  <c r="D20" i="10"/>
  <c r="D13" i="10"/>
  <c r="D19" i="10"/>
  <c r="S118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9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0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1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2" xr16:uid="{F6C30BEA-123F-444B-AF28-BEE5F159A046}" keepAlive="1" name="Query - WHrate" description="Connection to the 'WHrate' query in the workbook." type="5" refreshedVersion="0" background="1" saveData="1">
    <dbPr connection="Provider=Microsoft.Mashup.OleDb.1;Data Source=$Workbook$;Location=WHrate;Extended Properties=&quot;&quot;" command="SELECT * FROM [WHrate]"/>
  </connection>
  <connection id="13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<sst xmlns="http://schemas.openxmlformats.org/spreadsheetml/2006/main" count="1498" uniqueCount="741">
  <si>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</si>
  <si>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</si>
  <si>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</si>
  <si>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</si>
  <si>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</si>
  <si>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</si>
  <si>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</si>
  <si>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</si>
  <si>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</si>
  <si>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</si>
  <si>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</si>
  <si>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</si>
  <si>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</si>
  <si>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</si>
  <si>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</si>
  <si>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</si>
  <si>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</si>
  <si>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</si>
  <si>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USD</t>
  </si>
  <si>
    <t>EUR</t>
  </si>
  <si>
    <t>Semi</t>
  </si>
  <si>
    <t>B - Double</t>
  </si>
  <si>
    <t>CA</t>
  </si>
  <si>
    <t>US</t>
  </si>
  <si>
    <t>To(Location)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</si>
  <si>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</si>
  <si>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</si>
  <si>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</si>
  <si>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</si>
  <si>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</si>
  <si>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</si>
  <si>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</si>
  <si>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</si>
  <si>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</si>
  <si>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</si>
  <si>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</si>
  <si>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</si>
  <si>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</si>
  <si>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</si>
  <si>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</si>
  <si>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</si>
  <si>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</si>
  <si>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</si>
  <si>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</si>
  <si>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</si>
  <si>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</si>
  <si>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</si>
  <si>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</si>
  <si>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</si>
  <si>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</si>
  <si>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</si>
  <si>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</si>
  <si>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</si>
  <si>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</si>
  <si>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</si>
  <si>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</si>
  <si>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</si>
  <si>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Rate UoM</t>
  </si>
  <si>
    <t>Inbound</t>
  </si>
  <si>
    <t>Currency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</si>
  <si>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</si>
  <si>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</si>
  <si>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</si>
  <si>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</si>
  <si>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</si>
  <si>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</si>
  <si>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</si>
  <si>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</si>
  <si>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</si>
  <si>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</si>
  <si>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</si>
  <si>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</si>
  <si>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</si>
  <si>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</si>
  <si>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</si>
  <si>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</si>
  <si>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</si>
  <si>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</si>
  <si>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</si>
  <si>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</si>
  <si>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</si>
  <si>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</si>
  <si>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</si>
  <si>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</si>
  <si>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</si>
  <si>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</si>
  <si>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</si>
  <si>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</si>
  <si>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</si>
  <si>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</si>
  <si>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</si>
  <si>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</si>
  <si>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</si>
  <si>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</si>
  <si>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</si>
  <si>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</si>
  <si>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</si>
  <si>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</si>
  <si>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</si>
  <si>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</si>
  <si>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</si>
  <si>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</si>
  <si>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</si>
  <si>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</si>
  <si>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</si>
  <si>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</si>
  <si>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</si>
  <si>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</si>
  <si>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</si>
  <si>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</si>
  <si>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</si>
  <si>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</si>
  <si>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</si>
  <si>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</si>
  <si>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</si>
  <si>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</si>
  <si>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</si>
  <si>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</si>
  <si>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</si>
  <si>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</si>
  <si>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</si>
  <si>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</si>
  <si>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</si>
  <si>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</si>
  <si>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</si>
  <si>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</si>
  <si>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</si>
  <si>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</si>
  <si>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</si>
  <si>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</si>
  <si>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</si>
  <si>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</si>
  <si>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</si>
  <si>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</si>
  <si>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</si>
  <si>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</si>
  <si>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</si>
  <si>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</si>
  <si>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</si>
  <si>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</si>
  <si>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</si>
  <si>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</si>
  <si>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</si>
  <si>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</si>
  <si>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</si>
  <si>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</si>
  <si>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</si>
  <si>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</si>
  <si>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</si>
  <si>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</si>
  <si>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</si>
  <si>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</si>
  <si>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</si>
  <si>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</si>
  <si>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</si>
  <si>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</si>
  <si>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</si>
  <si>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</si>
  <si>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</si>
  <si>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</si>
  <si>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</si>
  <si>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</si>
  <si>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</si>
  <si>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</si>
  <si>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</si>
  <si>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</si>
  <si>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</si>
  <si>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</si>
  <si>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</si>
  <si>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BEING</t>
  </si>
  <si>
    <t>BEING-SHAMPOO,NOURISH + SHINE,354ML</t>
  </si>
  <si>
    <t>BEING-SHAMPOO,BIG HAIR,354ML</t>
  </si>
  <si>
    <t>BEING-SHAMPOO,BIG HAIR,354ML</t>
  </si>
  <si>
    <t>BEING-SHAMPOO,BYE BYE FRIZZ,354ML</t>
  </si>
  <si>
    <t>BEING-SHAMPOO,CURL POWER,354ML</t>
  </si>
  <si>
    <t>BEING-SHAMPOO,MAX MOISTURE,354ML</t>
  </si>
  <si>
    <t>BEING-CONDITIONER,NOURISH + SHINE,354ML</t>
  </si>
  <si>
    <t>BEING-CONDITIONER,BIG HAIR,354ML</t>
  </si>
  <si>
    <t>BEING-CONDITIONER,BYE BYE FRIZZ,354ML</t>
  </si>
  <si>
    <t>BEING-CONDITIONER,BYE BYE FRIZZ,354ML</t>
  </si>
  <si>
    <t>BEING-CONDITIONER,CURL POWER,354ML</t>
  </si>
  <si>
    <t>BEING-CONDITIONER,MAX MOISTURE,354ML</t>
  </si>
  <si>
    <t>DAISE</t>
  </si>
  <si>
    <t>DAISE-FRAGRANCE BODY MIST,ROSE &amp; SANDALW</t>
  </si>
  <si>
    <t>DAISE-FRAGRANCE BODY MIST,RASPBERRY &amp; MI</t>
  </si>
  <si>
    <t>DAISE-FRAGRANCE BODY MIST,BERRY &amp; MANDAR</t>
  </si>
  <si>
    <t>DAISE-FRAGRANCE BODY MIST,PEAR &amp; PATCHOU</t>
  </si>
  <si>
    <t>DAISE-FRAGRANCE BODY MIST,VANILLA &amp; COCO</t>
  </si>
  <si>
    <t>DAISE-FRAGRANCE BODY MIST,GRAPE &amp; AMBER,</t>
  </si>
  <si>
    <t>DAISE-ALL BODY SPRAY &amp; DEODORANT,HELLO,1</t>
  </si>
  <si>
    <t>DAISE-ALL BODY SPRAY &amp; DEODORANT,PEACHY,</t>
  </si>
  <si>
    <t>DAISE-ALL BODY SPRAY &amp; DEODORANT,OH SO,1</t>
  </si>
  <si>
    <t>DAISE-ALL BODY SPRAY &amp; DEODORANT,SUNNY,1</t>
  </si>
  <si>
    <t>DAISE-ALL BODY SPRAY &amp; DEODORANT,HAPPY,1</t>
  </si>
  <si>
    <t>DAISE-ALL BODY SPRAY &amp; DEODORANT,LOWKEY,</t>
  </si>
  <si>
    <t>DAISE-BATH BOMB,LOVE ME,3OZ</t>
  </si>
  <si>
    <t>DAISE-BATH BOMB,DISCO,3OZ</t>
  </si>
  <si>
    <t>DAISE-BATH BOMB,CANDY DREAM,3OZ</t>
  </si>
  <si>
    <t>DAISE-BATH BOMB,SOFT SERVE,3OZ</t>
  </si>
  <si>
    <t>DAISE-BATH BOMB,FIZZED UP,3OZ</t>
  </si>
  <si>
    <t>DAISE-BATH BOMB,BRB,3OZ</t>
  </si>
  <si>
    <t>DAISE-FOAMING BODY WASH,VANILLA,265ML</t>
  </si>
  <si>
    <t>DAISE-FOAMING BODY WASH,CHERRY,265ML</t>
  </si>
  <si>
    <t>DAISE-FOAMING BODY WASH,MELON,265ML</t>
  </si>
  <si>
    <t>DAISE-FOAMING BODY WASH,COCONUT,265ML</t>
  </si>
  <si>
    <t>DAISE-FOAMING BODY WASH,POMEGRANATE,265M</t>
  </si>
  <si>
    <t>DAISE-FOAMING BODY WASH,PINEAPPLE,265ML</t>
  </si>
  <si>
    <t>DAISE-BODY SCRUB,COCONUT,510G</t>
  </si>
  <si>
    <t>DAISE-BODY SCRUB,CHERRY,510G</t>
  </si>
  <si>
    <t>DAISE-BODY SCRUB,MELON,510G</t>
  </si>
  <si>
    <t>DAISE-BODY SCRUB,VANILLA,510G</t>
  </si>
  <si>
    <t>DAISE-BODY SCRUB,POMEGRANATE,510G</t>
  </si>
  <si>
    <t>DAISE-BODY SCRUB,PINEAPPLE,510G</t>
  </si>
  <si>
    <t>DAISE-LIP BALM,VERY VANILLA,7G</t>
  </si>
  <si>
    <t>DAISE-LIP BALM,STRAWBERRY KISS,7G</t>
  </si>
  <si>
    <t>DAISE-LIP BALM,WATERMELON CRUSH,7G</t>
  </si>
  <si>
    <t>DAISE-LIP BALM,COCONUT BREEZE,7G</t>
  </si>
  <si>
    <t>DAISE-LIP BALM,JUICY POMEGRANATE,7G</t>
  </si>
  <si>
    <t>DAISE-LIP BALM,PEPPY PEPPERMINT,7G</t>
  </si>
  <si>
    <t>Fixed rate for aera and storage for 90% of 1838 places</t>
  </si>
  <si>
    <t>Additionnal pallet location according to the monthly peak</t>
  </si>
  <si>
    <t>Fixed rate for management : overhead and administrative staff</t>
  </si>
  <si>
    <t>Fixed rate for IT : IT network and support</t>
  </si>
  <si>
    <t>Fixed rate for IT : transport management system</t>
  </si>
  <si>
    <t>Fixed rate for miscellaneous (insurance)</t>
  </si>
  <si>
    <t>Inbound container : number of carton</t>
  </si>
  <si>
    <t>Picking and outbound complet pallet : number of complete pallet</t>
  </si>
  <si>
    <t>Mixed pallet picking : number of mixed pallet</t>
  </si>
  <si>
    <t>Mixed pallet picking : number of order line</t>
  </si>
  <si>
    <t>Mixed pallet picking : number of pick carton</t>
  </si>
  <si>
    <t>Inventory : number of pallet racking system</t>
  </si>
  <si>
    <t>Manual creation of a new article</t>
  </si>
  <si>
    <t>Hour of control</t>
  </si>
  <si>
    <t>Pallets (cost + fee 12%) : see details attached to the invoice</t>
  </si>
  <si>
    <t>Consumable supplies (cost + fee 12%) : see details attached to the invoice</t>
  </si>
  <si>
    <t>Labelling</t>
  </si>
  <si>
    <t>Handling for warranty strip and hat</t>
  </si>
  <si>
    <t>Sampling order - warehousing service</t>
  </si>
  <si>
    <t>Zuru coordinator</t>
  </si>
  <si>
    <t>FRANCE</t>
  </si>
  <si>
    <t>Fixed rate for aera and storage for 10% of 1838 places</t>
  </si>
  <si>
    <t>El Cortes : number of order</t>
  </si>
  <si>
    <t>El Cortes : number of labelling</t>
  </si>
  <si>
    <t>El Cortes : number of RFID labelling for the sku with “easy labelling” (*)</t>
  </si>
  <si>
    <t>El Cortes : number of carton</t>
  </si>
  <si>
    <t>SPAIN</t>
  </si>
  <si>
    <t>Fixed rate for aera and storage for DG area for 300 pallets</t>
  </si>
  <si>
    <t>FRANCE:Fixed rate for aera and storage for 90% of 1838 places</t>
  </si>
  <si>
    <t>FRANCE:Additionnal pallet location according to the monthly peak</t>
  </si>
  <si>
    <t>FRANCE:Fixed rate for management : overhead and administrative staff</t>
  </si>
  <si>
    <t>FRANCE:Fixed rate for IT : IT network and support</t>
  </si>
  <si>
    <t>FRANCE:Fixed rate for IT : transport management system</t>
  </si>
  <si>
    <t>FRANCE:Fixed rate for miscellaneous (insurance)</t>
  </si>
  <si>
    <t>FRANCE:Inbound container : number of carton</t>
  </si>
  <si>
    <t>FRANCE:Picking and outbound complet pallet : number of complete pallet</t>
  </si>
  <si>
    <t>FRANCE:Mixed pallet picking : number of mixed pallet</t>
  </si>
  <si>
    <t>FRANCE:Mixed pallet picking : number of order line</t>
  </si>
  <si>
    <t>FRANCE:Mixed pallet picking : number of pick carton</t>
  </si>
  <si>
    <t>FRANCE:Inventory : number of pallet racking system</t>
  </si>
  <si>
    <t>FRANCE:Manual creation of a new article</t>
  </si>
  <si>
    <t>FRANCE:Hour of control</t>
  </si>
  <si>
    <t>FRANCE:Pallets (cost + fee 12%) : see details attached to the invoice</t>
  </si>
  <si>
    <t>FRANCE:Consumable supplies (cost + fee 12%) : see details attached to the invoice</t>
  </si>
  <si>
    <t>FRANCE:Labelling</t>
  </si>
  <si>
    <t>FRANCE:Handling for warranty strip and hat</t>
  </si>
  <si>
    <t>FRANCE:Sampling order - warehousing service</t>
  </si>
  <si>
    <t>FRANCE:Zuru coordinator</t>
  </si>
  <si>
    <t>SPAIN:Fixed rate for aera and storage for 10% of 1838 places</t>
  </si>
  <si>
    <t>SPAIN:Additionnal pallet location according to the monthly peak</t>
  </si>
  <si>
    <t>SPAIN:Fixed rate for management : overhead and administrative staff</t>
  </si>
  <si>
    <t>SPAIN:Fixed rate for IT : IT network and support</t>
  </si>
  <si>
    <t>SPAIN:Fixed rate for IT : transport management system</t>
  </si>
  <si>
    <t>SPAIN:Fixed rate for miscellaneous (insurance)</t>
  </si>
  <si>
    <t>SPAIN:Inbound container : number of carton</t>
  </si>
  <si>
    <t>SPAIN:Picking and outbound complet pallet : number of complete pallet</t>
  </si>
  <si>
    <t>SPAIN:Mixed pallet picking : number of mixed pallet</t>
  </si>
  <si>
    <t>SPAIN:Mixed pallet picking : number of order line</t>
  </si>
  <si>
    <t>SPAIN:Mixed pallet picking : number of pick carton</t>
  </si>
  <si>
    <t>SPAIN:Inventory : number of pallet racking system</t>
  </si>
  <si>
    <t>SPAIN:Manual creation of a new article</t>
  </si>
  <si>
    <t>SPAIN:Hour of control</t>
  </si>
  <si>
    <t>SPAIN:Pallets (cost + fee 12%) : see details attached to the invoice</t>
  </si>
  <si>
    <t>SPAIN:Consumable supplies (cost + fee 12%) : see details attached to the invoice</t>
  </si>
  <si>
    <t>SPAIN:Labelling</t>
  </si>
  <si>
    <t>SPAIN:Handling for warranty strip and hat</t>
  </si>
  <si>
    <t>SPAIN:Sampling order - warehousing service</t>
  </si>
  <si>
    <t>SPAIN:Zuru coordinator</t>
  </si>
  <si>
    <t>SPAIN:El Cortes : number of order</t>
  </si>
  <si>
    <t>SPAIN:El Cortes : number of labelling</t>
  </si>
  <si>
    <t>SPAIN:El Cortes : number of RFID labelling for the sku with “easy labelling” (*)</t>
  </si>
  <si>
    <t>SPAIN:El Cortes : number of carton</t>
  </si>
  <si>
    <t>FRANCE:Fixed rate for aera and storage for DG area for 300 pallets</t>
  </si>
  <si>
    <t>Department</t>
  </si>
  <si>
    <t>0.4m</t>
  </si>
  <si>
    <t>0.8m</t>
  </si>
  <si>
    <t>1.2m</t>
  </si>
  <si>
    <t>1.6m</t>
  </si>
  <si>
    <t>2m</t>
  </si>
  <si>
    <t>2.4m</t>
  </si>
  <si>
    <t>2.8m</t>
  </si>
  <si>
    <t>3.2m</t>
  </si>
  <si>
    <t>3.6m</t>
  </si>
  <si>
    <t>4m</t>
  </si>
  <si>
    <t>4.4m</t>
  </si>
  <si>
    <t>4.8m</t>
  </si>
  <si>
    <t>5.2m</t>
  </si>
  <si>
    <t>5.6m</t>
  </si>
  <si>
    <t>6m</t>
  </si>
  <si>
    <t>6.4m</t>
  </si>
  <si>
    <t>6.8m</t>
  </si>
  <si>
    <t>7.2m</t>
  </si>
  <si>
    <t>7.6m</t>
  </si>
  <si>
    <t>8m</t>
  </si>
  <si>
    <t>8.4m</t>
  </si>
  <si>
    <t>8.8m</t>
  </si>
  <si>
    <t>9.2m</t>
  </si>
  <si>
    <t>9.6m</t>
  </si>
  <si>
    <t>10m</t>
  </si>
  <si>
    <t>10.4m</t>
  </si>
  <si>
    <t>10.8m</t>
  </si>
  <si>
    <t>11.2m</t>
  </si>
  <si>
    <t>11.6m</t>
  </si>
  <si>
    <t>12m</t>
  </si>
  <si>
    <t>12.4m</t>
  </si>
  <si>
    <t>12.8m</t>
  </si>
  <si>
    <t>13.2m</t>
  </si>
  <si>
    <t>AIN</t>
  </si>
  <si>
    <t>AISNE</t>
  </si>
  <si>
    <t>ALLIER</t>
  </si>
  <si>
    <t>ALPES DE HAUTE PROVENCE</t>
  </si>
  <si>
    <t>HAUTES ALPES</t>
  </si>
  <si>
    <t>ALPES MARITIME</t>
  </si>
  <si>
    <t>ARDECHE</t>
  </si>
  <si>
    <t>ARDENNES</t>
  </si>
  <si>
    <t>ARIEGE</t>
  </si>
  <si>
    <t>AUBE</t>
  </si>
  <si>
    <t>AUDE</t>
  </si>
  <si>
    <t>AVEYRON</t>
  </si>
  <si>
    <t>BOUCHES DU RHONE</t>
  </si>
  <si>
    <t>CALVADOS</t>
  </si>
  <si>
    <t>CANTAL</t>
  </si>
  <si>
    <t>CHARENTE</t>
  </si>
  <si>
    <t>CHARENTE MARITIME</t>
  </si>
  <si>
    <t>CHER</t>
  </si>
  <si>
    <t>CORREZE</t>
  </si>
  <si>
    <t>COTE D'OR</t>
  </si>
  <si>
    <t>COTES D'ARMOR</t>
  </si>
  <si>
    <t>CREUSE</t>
  </si>
  <si>
    <t>DORDOGNE</t>
  </si>
  <si>
    <t>DOUBS</t>
  </si>
  <si>
    <t>DROME</t>
  </si>
  <si>
    <t>EURE</t>
  </si>
  <si>
    <t>EURE ET LOIR</t>
  </si>
  <si>
    <t>FINISTERE</t>
  </si>
  <si>
    <t>GARD</t>
  </si>
  <si>
    <t>HAUTE GARONNE</t>
  </si>
  <si>
    <t>GERS</t>
  </si>
  <si>
    <t>GIRONDE</t>
  </si>
  <si>
    <t>HERAULT</t>
  </si>
  <si>
    <t>ILLE ET VILAINE</t>
  </si>
  <si>
    <t>INDRE</t>
  </si>
  <si>
    <t>INDRE ET LOIRE</t>
  </si>
  <si>
    <t>ISERE</t>
  </si>
  <si>
    <t>JURA</t>
  </si>
  <si>
    <t>LANDES</t>
  </si>
  <si>
    <t>LOIR ET CHER</t>
  </si>
  <si>
    <t>LOIRE</t>
  </si>
  <si>
    <t>HAUTE LOIRE</t>
  </si>
  <si>
    <t>LOIRE ATLANTIQUE</t>
  </si>
  <si>
    <t>LOIRET</t>
  </si>
  <si>
    <t>LOT</t>
  </si>
  <si>
    <t>LOT ET GARONNE</t>
  </si>
  <si>
    <t>LOZERE</t>
  </si>
  <si>
    <t>MAINE ET LOIRE</t>
  </si>
  <si>
    <t>MANCHE</t>
  </si>
  <si>
    <t>MARNE</t>
  </si>
  <si>
    <t>HAUTE MARNE</t>
  </si>
  <si>
    <t>MAYENNE</t>
  </si>
  <si>
    <t>MEURTHE ET MOSELLE</t>
  </si>
  <si>
    <t>MEUSE</t>
  </si>
  <si>
    <t>MORBIHAN</t>
  </si>
  <si>
    <t>MOSELLE</t>
  </si>
  <si>
    <t>NIEVRE</t>
  </si>
  <si>
    <t>NORD</t>
  </si>
  <si>
    <t>OISE</t>
  </si>
  <si>
    <t>ORNE</t>
  </si>
  <si>
    <t>PAS DE CALAIS</t>
  </si>
  <si>
    <t>PUY DE DOME</t>
  </si>
  <si>
    <t>PYRÉNÉES ATLANTIQUES</t>
  </si>
  <si>
    <t>HAUTES PYRENNEES</t>
  </si>
  <si>
    <t>PYRÉNÉES ORIENTALES</t>
  </si>
  <si>
    <t>BAS RHIN</t>
  </si>
  <si>
    <t>HAUT RHIN</t>
  </si>
  <si>
    <t>RHONE</t>
  </si>
  <si>
    <t>HAUTE SAONE</t>
  </si>
  <si>
    <t>SAONE ET LOIRE</t>
  </si>
  <si>
    <t>SARTHE</t>
  </si>
  <si>
    <t>SAVOIE</t>
  </si>
  <si>
    <t>HAUTE SAVOIE</t>
  </si>
  <si>
    <t>PARIS</t>
  </si>
  <si>
    <t>SEINE MARITIME</t>
  </si>
  <si>
    <t>SEINE ET MARNE</t>
  </si>
  <si>
    <t>YVELINES</t>
  </si>
  <si>
    <t>DEUX SEVRES</t>
  </si>
  <si>
    <t>SOMME</t>
  </si>
  <si>
    <t>TARN</t>
  </si>
  <si>
    <t>TARN ET GARONNE</t>
  </si>
  <si>
    <t>VAR</t>
  </si>
  <si>
    <t>VAUCLUSE</t>
  </si>
  <si>
    <t>VENDEE</t>
  </si>
  <si>
    <t>VIENNE</t>
  </si>
  <si>
    <t>HAUTE VIENNE</t>
  </si>
  <si>
    <t>VOSGES</t>
  </si>
  <si>
    <t>YONNE</t>
  </si>
  <si>
    <t>TERR.BELFORT</t>
  </si>
  <si>
    <t>ESSONNE</t>
  </si>
  <si>
    <t>HAUTS DE SEINE</t>
  </si>
  <si>
    <t>SEINE ST DENIS</t>
  </si>
  <si>
    <t>VAL DE MARNE</t>
  </si>
  <si>
    <t>VAL D'OISE</t>
  </si>
  <si>
    <t>Column1</t>
  </si>
  <si>
    <t>CITY</t>
  </si>
  <si>
    <t>ZONE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</si>
  <si>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</si>
  <si>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</si>
  <si>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</si>
  <si>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</si>
  <si>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</si>
  <si>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</si>
  <si>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</si>
  <si>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</si>
  <si>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</si>
  <si>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</si>
  <si>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</si>
  <si>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</si>
  <si>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</si>
  <si>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</si>
  <si>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</si>
  <si>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</si>
  <si>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</si>
  <si>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</si>
  <si>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</si>
  <si>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</si>
  <si>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</si>
  <si>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</si>
  <si>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</si>
  <si>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</si>
  <si>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</si>
  <si>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</si>
  <si>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</si>
  <si>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</si>
  <si>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</si>
  <si>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</si>
  <si>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</si>
  <si>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</si>
  <si>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</si>
  <si>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</si>
  <si>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</si>
  <si>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</si>
  <si>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</si>
  <si>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</si>
  <si>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</si>
  <si>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</si>
  <si>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</si>
  <si>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</si>
  <si>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</si>
  <si>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</si>
  <si>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</si>
  <si>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</si>
  <si>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</si>
  <si>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</si>
  <si>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</si>
  <si>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</si>
  <si>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BELGIUM</t>
  </si>
  <si>
    <t>LUXEMBOURG</t>
  </si>
  <si>
    <t>PORTUGAL</t>
  </si>
  <si>
    <t>DEUTCHLAND</t>
  </si>
  <si>
    <t>ITALY</t>
  </si>
  <si>
    <t>CH</t>
  </si>
  <si>
    <t>1300 - 1399</t>
  </si>
  <si>
    <t>1800 - 1999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</si>
  <si>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</si>
  <si>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</si>
  <si>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</si>
  <si>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</si>
  <si>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</si>
  <si>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</si>
  <si>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</si>
  <si>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</si>
  <si>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</si>
  <si>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AIN ZONE: 1</t>
  </si>
  <si>
    <t>AISNE ZONE: 2</t>
  </si>
  <si>
    <t>ALLIER ZONE: 3</t>
  </si>
  <si>
    <t>ALPES DE HAUTE PROVENCE ZONE: 4</t>
  </si>
  <si>
    <t>HAUTES ALPES ZONE: 5</t>
  </si>
  <si>
    <t>ALPES MARITIME ZONE: 6</t>
  </si>
  <si>
    <t>ARDECHE ZONE: 7</t>
  </si>
  <si>
    <t>ARDENNES ZONE: 8</t>
  </si>
  <si>
    <t>ARIEGE ZONE: 9</t>
  </si>
  <si>
    <t>AUBE ZONE: 10</t>
  </si>
  <si>
    <t>AUDE ZONE: 11</t>
  </si>
  <si>
    <t>AVEYRON ZONE: 12</t>
  </si>
  <si>
    <t>BOUCHES DU RHONE ZONE: 13</t>
  </si>
  <si>
    <t>CALVADOS ZONE: 14</t>
  </si>
  <si>
    <t>CANTAL ZONE: 15</t>
  </si>
  <si>
    <t>CHARENTE ZONE: 16</t>
  </si>
  <si>
    <t>CHARENTE MARITIME ZONE: 17</t>
  </si>
  <si>
    <t>CHER ZONE: 18</t>
  </si>
  <si>
    <t>CORREZE ZONE: 19</t>
  </si>
  <si>
    <t>COTE D'OR ZONE: 21</t>
  </si>
  <si>
    <t>COTES D'ARMOR ZONE: 22</t>
  </si>
  <si>
    <t>CREUSE ZONE: 23</t>
  </si>
  <si>
    <t>DORDOGNE ZONE: 24</t>
  </si>
  <si>
    <t>DOUBS ZONE: 25</t>
  </si>
  <si>
    <t>DROME ZONE: 26</t>
  </si>
  <si>
    <t>EURE ZONE: 27</t>
  </si>
  <si>
    <t>EURE ET LOIR ZONE: 28</t>
  </si>
  <si>
    <t>FINISTERE ZONE: 29</t>
  </si>
  <si>
    <t>GARD ZONE: 30</t>
  </si>
  <si>
    <t>HAUTE GARONNE ZONE: 31</t>
  </si>
  <si>
    <t>GERS ZONE: 32</t>
  </si>
  <si>
    <t>GIRONDE ZONE: 33</t>
  </si>
  <si>
    <t>HERAULT ZONE: 34</t>
  </si>
  <si>
    <t>ILLE ET VILAINE ZONE: 35</t>
  </si>
  <si>
    <t>INDRE ZONE: 36</t>
  </si>
  <si>
    <t>INDRE ET LOIRE ZONE: 37</t>
  </si>
  <si>
    <t>ISERE ZONE: 38</t>
  </si>
  <si>
    <t>JURA ZONE: 39</t>
  </si>
  <si>
    <t>LANDES ZONE: 40</t>
  </si>
  <si>
    <t>LOIR ET CHER ZONE: 41</t>
  </si>
  <si>
    <t>LOIRE ZONE: 42</t>
  </si>
  <si>
    <t>HAUTE LOIRE ZONE: 43</t>
  </si>
  <si>
    <t>LOIRE ATLANTIQUE ZONE: 44</t>
  </si>
  <si>
    <t>LOIRET ZONE: 45</t>
  </si>
  <si>
    <t>LOT ZONE: 46</t>
  </si>
  <si>
    <t>LOT ET GARONNE ZONE: 47</t>
  </si>
  <si>
    <t>LOZERE ZONE: 48</t>
  </si>
  <si>
    <t>MAINE ET LOIRE ZONE: 49</t>
  </si>
  <si>
    <t>MANCHE ZONE: 50</t>
  </si>
  <si>
    <t>MARNE ZONE: 51</t>
  </si>
  <si>
    <t>HAUTE MARNE ZONE: 52</t>
  </si>
  <si>
    <t>MAYENNE ZONE: 53</t>
  </si>
  <si>
    <t>MEURTHE ET MOSELLE ZONE: 54</t>
  </si>
  <si>
    <t>MEUSE ZONE: 55</t>
  </si>
  <si>
    <t>MORBIHAN ZONE: 56</t>
  </si>
  <si>
    <t>MOSELLE ZONE: 57</t>
  </si>
  <si>
    <t>NIEVRE ZONE: 58</t>
  </si>
  <si>
    <t>NORD ZONE: 59</t>
  </si>
  <si>
    <t>OISE ZONE: 60</t>
  </si>
  <si>
    <t>ORNE ZONE: 61</t>
  </si>
  <si>
    <t>PAS DE CALAIS ZONE: 62</t>
  </si>
  <si>
    <t>PUY DE DOME ZONE: 63</t>
  </si>
  <si>
    <t>PYRÉNÉES ATLANTIQUES ZONE: 64</t>
  </si>
  <si>
    <t>HAUTES PYRENNEES ZONE: 65</t>
  </si>
  <si>
    <t>PYRÉNÉES ORIENTALES ZONE: 66</t>
  </si>
  <si>
    <t>BAS RHIN ZONE: 67</t>
  </si>
  <si>
    <t>HAUT RHIN ZONE: 68</t>
  </si>
  <si>
    <t>RHONE ZONE: 69</t>
  </si>
  <si>
    <t>HAUTE SAONE ZONE: 70</t>
  </si>
  <si>
    <t>SAONE ET LOIRE ZONE: 71</t>
  </si>
  <si>
    <t>SARTHE ZONE: 72</t>
  </si>
  <si>
    <t>SAVOIE ZONE: 73</t>
  </si>
  <si>
    <t>HAUTE SAVOIE ZONE: 74</t>
  </si>
  <si>
    <t>PARIS ZONE: 75</t>
  </si>
  <si>
    <t>SEINE MARITIME ZONE: 76</t>
  </si>
  <si>
    <t>SEINE ET MARNE ZONE: 77</t>
  </si>
  <si>
    <t>YVELINES ZONE: 78</t>
  </si>
  <si>
    <t>DEUX SEVRES ZONE: 79</t>
  </si>
  <si>
    <t>SOMME ZONE: 80</t>
  </si>
  <si>
    <t>TARN ZONE: 81</t>
  </si>
  <si>
    <t>TARN ET GARONNE ZONE: 82</t>
  </si>
  <si>
    <t>VAR ZONE: 83</t>
  </si>
  <si>
    <t>VAUCLUSE ZONE: 84</t>
  </si>
  <si>
    <t>VENDEE ZONE: 85</t>
  </si>
  <si>
    <t>VIENNE ZONE: 86</t>
  </si>
  <si>
    <t>HAUTE VIENNE ZONE: 87</t>
  </si>
  <si>
    <t>VOSGES ZONE: 88</t>
  </si>
  <si>
    <t>YONNE ZONE: 89</t>
  </si>
  <si>
    <t>TERR.BELFORT ZONE: 90</t>
  </si>
  <si>
    <t>ESSONNE ZONE: 91</t>
  </si>
  <si>
    <t>HAUTS DE SEINE ZONE: 92</t>
  </si>
  <si>
    <t>SEINE ST DENIS ZONE: 93</t>
  </si>
  <si>
    <t>VAL DE MARNE ZONE: 94</t>
  </si>
  <si>
    <t>VAL D'OISE ZONE: 95</t>
  </si>
  <si>
    <t>SPAIN ZONE: 01</t>
  </si>
  <si>
    <t>SPAIN ZONE: 02</t>
  </si>
  <si>
    <t>SPAIN ZONE: 03</t>
  </si>
  <si>
    <t>SPAIN ZONE: 04</t>
  </si>
  <si>
    <t>SPAIN ZONE: 05</t>
  </si>
  <si>
    <t>SPAIN ZONE: 06</t>
  </si>
  <si>
    <t>SPAIN ZONE: 07</t>
  </si>
  <si>
    <t>SPAIN ZONE: 08</t>
  </si>
  <si>
    <t>SPAIN ZONE: 09</t>
  </si>
  <si>
    <t>SPAIN ZONE: 10</t>
  </si>
  <si>
    <t>SPAIN ZONE: 11</t>
  </si>
  <si>
    <t>SPAIN ZONE: 12</t>
  </si>
  <si>
    <t>SPAIN ZONE: 13</t>
  </si>
  <si>
    <t>SPAIN ZONE: 14</t>
  </si>
  <si>
    <t>SPAIN ZONE: 15</t>
  </si>
  <si>
    <t>SPAIN ZONE: 16</t>
  </si>
  <si>
    <t>SPAIN ZONE: 17</t>
  </si>
  <si>
    <t>SPAIN ZONE: 18</t>
  </si>
  <si>
    <t>SPAIN ZONE: 19</t>
  </si>
  <si>
    <t>SPAIN ZONE: 20</t>
  </si>
  <si>
    <t>SPAIN ZONE: 21</t>
  </si>
  <si>
    <t>SPAIN ZONE: 22</t>
  </si>
  <si>
    <t>SPAIN ZONE: 23</t>
  </si>
  <si>
    <t>SPAIN ZONE: 24</t>
  </si>
  <si>
    <t>SPAIN ZONE: 25</t>
  </si>
  <si>
    <t>SPAIN ZONE: 26</t>
  </si>
  <si>
    <t>SPAIN ZONE: 27</t>
  </si>
  <si>
    <t>SPAIN ZONE: 28</t>
  </si>
  <si>
    <t>SPAIN ZONE: 29</t>
  </si>
  <si>
    <t>SPAIN ZONE: 30</t>
  </si>
  <si>
    <t>SPAIN ZONE: 31</t>
  </si>
  <si>
    <t>SPAIN ZONE: 32</t>
  </si>
  <si>
    <t>SPAIN ZONE: 33</t>
  </si>
  <si>
    <t>SPAIN ZONE: 34</t>
  </si>
  <si>
    <t>SPAIN ZONE: 35</t>
  </si>
  <si>
    <t>SPAIN ZONE: 36</t>
  </si>
  <si>
    <t>SPAIN ZONE: 37</t>
  </si>
  <si>
    <t>SPAIN ZONE: 38</t>
  </si>
  <si>
    <t>SPAIN ZONE: 39</t>
  </si>
  <si>
    <t>SPAIN ZONE: 40</t>
  </si>
  <si>
    <t>SPAIN ZONE: 41</t>
  </si>
  <si>
    <t>SPAIN ZONE: 42</t>
  </si>
  <si>
    <t>SPAIN ZONE: 43</t>
  </si>
  <si>
    <t>SPAIN ZONE: 44</t>
  </si>
  <si>
    <t>SPAIN ZONE: 45</t>
  </si>
  <si>
    <t>SPAIN ZONE: 46</t>
  </si>
  <si>
    <t>SPAIN ZONE: 47</t>
  </si>
  <si>
    <t>SPAIN ZONE: 48</t>
  </si>
  <si>
    <t>SPAIN ZONE: 49</t>
  </si>
  <si>
    <t>SPAIN ZONE: 50</t>
  </si>
  <si>
    <t>BELGIUM ZONE: 10</t>
  </si>
  <si>
    <t>BELGIUM ZONE: 11</t>
  </si>
  <si>
    <t>BELGIUM ZONE: 12</t>
  </si>
  <si>
    <t>BELGIUM ZONE: 13</t>
  </si>
  <si>
    <t>BELGIUM ZONE: 14</t>
  </si>
  <si>
    <t>BELGIUM ZONE: 15</t>
  </si>
  <si>
    <t>BELGIUM ZONE: 16</t>
  </si>
  <si>
    <t>BELGIUM ZONE: 17</t>
  </si>
  <si>
    <t>BELGIUM ZONE: 18</t>
  </si>
  <si>
    <t>BELGIUM ZONE: 19</t>
  </si>
  <si>
    <t>BELGIUM ZONE: 20</t>
  </si>
  <si>
    <t>BELGIUM ZONE: 21</t>
  </si>
  <si>
    <t>BELGIUM ZONE: 22</t>
  </si>
  <si>
    <t>BELGIUM ZONE: 23</t>
  </si>
  <si>
    <t>BELGIUM ZONE: 24</t>
  </si>
  <si>
    <t>BELGIUM ZONE: 25</t>
  </si>
  <si>
    <t>BELGIUM ZONE: 26</t>
  </si>
  <si>
    <t>BELGIUM ZONE: 27</t>
  </si>
  <si>
    <t>BELGIUM ZONE: 28</t>
  </si>
  <si>
    <t>BELGIUM ZONE: 29</t>
  </si>
  <si>
    <t>BELGIUM ZONE: 30</t>
  </si>
  <si>
    <t>BELGIUM ZONE: 31</t>
  </si>
  <si>
    <t>BELGIUM ZONE: 32</t>
  </si>
  <si>
    <t>BELGIUM ZONE: 33</t>
  </si>
  <si>
    <t>BELGIUM ZONE: 34</t>
  </si>
  <si>
    <t>BELGIUM ZONE: 35</t>
  </si>
  <si>
    <t>BELGIUM ZONE: 36</t>
  </si>
  <si>
    <t>BELGIUM ZONE: 37</t>
  </si>
  <si>
    <t>BELGIUM ZONE: 38</t>
  </si>
  <si>
    <t>BELGIUM ZONE: 39</t>
  </si>
  <si>
    <t>BELGIUM ZONE: 40</t>
  </si>
  <si>
    <t>BELGIUM ZONE: 41</t>
  </si>
  <si>
    <t>BELGIUM ZONE: 42</t>
  </si>
  <si>
    <t>BELGIUM ZONE: 43</t>
  </si>
  <si>
    <t>BELGIUM ZONE: 44</t>
  </si>
  <si>
    <t>BELGIUM ZONE: 45</t>
  </si>
  <si>
    <t>BELGIUM ZONE: 46</t>
  </si>
  <si>
    <t>BELGIUM ZONE: 47</t>
  </si>
  <si>
    <t>BELGIUM ZONE: 48</t>
  </si>
  <si>
    <t>BELGIUM ZONE: 49</t>
  </si>
  <si>
    <t>BELGIUM ZONE: 50</t>
  </si>
  <si>
    <t>BELGIUM ZONE: 51</t>
  </si>
  <si>
    <t>BELGIUM ZONE: 52</t>
  </si>
  <si>
    <t>BELGIUM ZONE: 53</t>
  </si>
  <si>
    <t>BELGIUM ZONE: 54</t>
  </si>
  <si>
    <t>BELGIUM ZONE: 55</t>
  </si>
  <si>
    <t>BELGIUM ZONE: 56</t>
  </si>
  <si>
    <t>BELGIUM ZONE: 57</t>
  </si>
  <si>
    <t>BELGIUM ZONE: 58</t>
  </si>
  <si>
    <t>BELGIUM ZONE: 59</t>
  </si>
  <si>
    <t>BELGIUM ZONE: 60</t>
  </si>
  <si>
    <t>BELGIUM ZONE: 61</t>
  </si>
  <si>
    <t>BELGIUM ZONE: 62</t>
  </si>
  <si>
    <t>BELGIUM ZONE: 63</t>
  </si>
  <si>
    <t>BELGIUM ZONE: 64</t>
  </si>
  <si>
    <t>BELGIUM ZONE: 65</t>
  </si>
  <si>
    <t>BELGIUM ZONE: 66</t>
  </si>
  <si>
    <t>BELGIUM ZONE: 67</t>
  </si>
  <si>
    <t>BELGIUM ZONE: 68</t>
  </si>
  <si>
    <t>BELGIUM ZONE: 69</t>
  </si>
  <si>
    <t>BELGIUM ZONE: 70</t>
  </si>
  <si>
    <t>BELGIUM ZONE: 71</t>
  </si>
  <si>
    <t>BELGIUM ZONE: 72</t>
  </si>
  <si>
    <t>BELGIUM ZONE: 73</t>
  </si>
  <si>
    <t>BELGIUM ZONE: 74</t>
  </si>
  <si>
    <t>BELGIUM ZONE: 75</t>
  </si>
  <si>
    <t>BELGIUM ZONE: 76</t>
  </si>
  <si>
    <t>BELGIUM ZONE: 77</t>
  </si>
  <si>
    <t>BELGIUM ZONE: 78</t>
  </si>
  <si>
    <t>BELGIUM ZONE: 79</t>
  </si>
  <si>
    <t>BELGIUM ZONE: 80</t>
  </si>
  <si>
    <t>BELGIUM ZONE: 81</t>
  </si>
  <si>
    <t>BELGIUM ZONE: 82</t>
  </si>
  <si>
    <t>BELGIUM ZONE: 83</t>
  </si>
  <si>
    <t>BELGIUM ZONE: 84</t>
  </si>
  <si>
    <t>BELGIUM ZONE: 85</t>
  </si>
  <si>
    <t>BELGIUM ZONE: 86</t>
  </si>
  <si>
    <t>BELGIUM ZONE: 87</t>
  </si>
  <si>
    <t>BELGIUM ZONE: 88</t>
  </si>
  <si>
    <t>BELGIUM ZONE: 89</t>
  </si>
  <si>
    <t>BELGIUM ZONE: 90</t>
  </si>
  <si>
    <t>BELGIUM ZONE: 91</t>
  </si>
  <si>
    <t>BELGIUM ZONE: 92</t>
  </si>
  <si>
    <t>BELGIUM ZONE: 93</t>
  </si>
  <si>
    <t>BELGIUM ZONE: 94</t>
  </si>
  <si>
    <t>BELGIUM ZONE: 95</t>
  </si>
  <si>
    <t>BELGIUM ZONE: 96</t>
  </si>
  <si>
    <t>BELGIUM ZONE: 97</t>
  </si>
  <si>
    <t>BELGIUM ZONE: 98</t>
  </si>
  <si>
    <t>BELGIUM ZONE: 99</t>
  </si>
  <si>
    <t xml:space="preserve">LUXEMBOURG ZONE: </t>
  </si>
  <si>
    <t>PORTUGAL ZONE: 37</t>
  </si>
  <si>
    <t>DEUTCHLAND ZONE: 48</t>
  </si>
  <si>
    <t>ITALY ZONE: 28</t>
  </si>
  <si>
    <t>CH ZONE: 1227</t>
  </si>
  <si>
    <t>CH ZONE: 1212</t>
  </si>
  <si>
    <t>CH ZONE: 1214</t>
  </si>
  <si>
    <t>CH ZONE: 1208</t>
  </si>
  <si>
    <t>CH ZONE: 1000</t>
  </si>
  <si>
    <t>CH ZONE: 1179</t>
  </si>
  <si>
    <t>CH ZONE: 1300 - 1399</t>
  </si>
  <si>
    <t>CH ZONE: 1800 - 1999</t>
  </si>
  <si>
    <t>CH ZONE: 2504</t>
  </si>
  <si>
    <t>CH ZONE: 2074</t>
  </si>
  <si>
    <t>CH ZONE: 2800</t>
  </si>
  <si>
    <t>Copenhagen</t>
  </si>
  <si>
    <t>AVG Number of Full Trucks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</si>
</sst>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0" formatCode="_ * #,##0_ ;_ * \-#,##0_ ;_ * &quot;-&quot;??_ ;_ @_ "/>
    <numFmt numFmtId="171" formatCode="#,##0.00\ &quot;€&quot;"/>
    <numFmt numFmtId="172" formatCode="#,##0\ &quot;€&quot;"/>
    <numFmt numFmtId="173" formatCode="_([$€-2]\ * #,##0.00_);_([$€-2]\ * \(#,##0.00\);_([$€-2]\ * &quot;-&quot;??_);_(@_)"/>
  </numFmts>
  <fonts count="1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00469B"/>
      <name val="Arial"/>
      <family val="2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469B"/>
        <bgColor indexed="64"/>
      </patternFill>
    </fill>
    <fill>
      <patternFill patternType="solid">
        <fgColor rgb="FFCCE0EE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00469B"/>
      </left>
      <right style="thin">
        <color rgb="FF00469B"/>
      </right>
      <top style="thin">
        <color rgb="FF00469B"/>
      </top>
      <bottom style="thin">
        <color rgb="FF00469B"/>
      </bottom>
      <diagonal/>
    </border>
    <border>
      <left/>
      <right style="thin">
        <color rgb="FF00469B"/>
      </right>
      <top/>
      <bottom style="thin">
        <color rgb="FF00469B"/>
      </bottom>
      <diagonal/>
    </border>
    <border>
      <left style="thin">
        <color rgb="FF00469B"/>
      </left>
      <right style="thin">
        <color rgb="FF00469B"/>
      </right>
      <top/>
      <bottom style="thin">
        <color rgb="FF00469B"/>
      </bottom>
      <diagonal/>
    </border>
    <border>
      <left/>
      <right style="thin">
        <color rgb="FF00469B"/>
      </right>
      <top style="thin">
        <color rgb="FF00469B"/>
      </top>
      <bottom style="thin">
        <color rgb="FF00469B"/>
      </bottom>
      <diagonal/>
    </border>
    <border>
      <left style="thin">
        <color rgb="FF00469B"/>
      </left>
      <right style="thin">
        <color rgb="FF00469B"/>
      </right>
      <top style="thin">
        <color rgb="FF00469B"/>
      </top>
      <bottom/>
      <diagonal/>
    </border>
    <border>
      <left/>
      <right style="thin">
        <color rgb="FF00469B"/>
      </right>
      <top style="thin">
        <color rgb="FF00469B"/>
      </top>
      <bottom/>
      <diagonal/>
    </border>
    <border>
      <left style="thin">
        <color rgb="FF00469B"/>
      </left>
      <right/>
      <top style="thin">
        <color rgb="FF00469B"/>
      </top>
      <bottom/>
      <diagonal/>
    </border>
  </borders>
  <cellStyleXfs count="5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3" fillId="0" borderId="0"/>
  </cellStyleXfs>
  <cellXfs count="102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0" fontId="0" fillId="6" borderId="0" xfId="0" applyFill="1"/>
    <xf numFmtId="0" fontId="11" fillId="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11" fillId="6" borderId="0" xfId="0" applyNumberFormat="1" applyFont="1" applyFill="1" applyAlignment="1">
      <alignment horizontal="right"/>
    </xf>
    <xf numFmtId="170" fontId="6" fillId="0" borderId="0" xfId="0" applyNumberFormat="1" applyFont="1" applyAlignment="1">
      <alignment vertical="top"/>
    </xf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13" fillId="8" borderId="1" xfId="0" applyFont="1" applyFill="1" applyBorder="1"/>
    <xf numFmtId="0" fontId="12" fillId="0" borderId="0" xfId="0" applyFont="1"/>
    <xf numFmtId="0" fontId="12" fillId="7" borderId="0" xfId="0" applyFont="1" applyFill="1"/>
    <xf numFmtId="0" fontId="14" fillId="9" borderId="18" xfId="0" applyFont="1" applyFill="1" applyBorder="1" applyAlignment="1" applyProtection="1">
      <alignment horizontal="center"/>
      <protection locked="0"/>
    </xf>
    <xf numFmtId="0" fontId="15" fillId="10" borderId="21" xfId="0" applyFont="1" applyFill="1" applyBorder="1" applyAlignment="1" applyProtection="1">
      <alignment horizontal="center" vertical="center"/>
      <protection locked="0"/>
    </xf>
    <xf numFmtId="172" fontId="16" fillId="0" borderId="22" xfId="3" applyNumberFormat="1" applyFont="1" applyFill="1" applyBorder="1"/>
    <xf numFmtId="172" fontId="16" fillId="0" borderId="23" xfId="3" applyNumberFormat="1" applyFont="1" applyFill="1" applyBorder="1"/>
    <xf numFmtId="172" fontId="16" fillId="0" borderId="24" xfId="3" applyNumberFormat="1" applyFont="1" applyFill="1" applyBorder="1"/>
    <xf numFmtId="172" fontId="16" fillId="0" borderId="21" xfId="3" applyNumberFormat="1" applyFont="1" applyFill="1" applyBorder="1"/>
    <xf numFmtId="0" fontId="14" fillId="9" borderId="16" xfId="4" applyFont="1" applyFill="1" applyBorder="1" applyAlignment="1">
      <alignment horizontal="center" vertical="center"/>
    </xf>
    <xf numFmtId="0" fontId="14" fillId="9" borderId="17" xfId="4" applyFont="1" applyFill="1" applyBorder="1" applyAlignment="1">
      <alignment horizontal="center" vertical="center"/>
    </xf>
    <xf numFmtId="0" fontId="14" fillId="9" borderId="19" xfId="4" applyFont="1" applyFill="1" applyBorder="1" applyAlignment="1">
      <alignment horizontal="center" vertical="center"/>
    </xf>
    <xf numFmtId="0" fontId="14" fillId="9" borderId="20" xfId="4" applyFont="1" applyFill="1" applyBorder="1" applyAlignment="1">
      <alignment horizontal="center" vertical="center"/>
    </xf>
    <xf numFmtId="0" fontId="15" fillId="10" borderId="21" xfId="0" quotePrefix="1" applyFont="1" applyFill="1" applyBorder="1" applyAlignment="1" applyProtection="1">
      <alignment horizontal="center" vertical="center"/>
      <protection locked="0"/>
    </xf>
    <xf numFmtId="172" fontId="16" fillId="0" borderId="23" xfId="3" applyNumberFormat="1" applyFont="1" applyFill="1" applyBorder="1" applyAlignment="1">
      <alignment horizontal="center"/>
    </xf>
    <xf numFmtId="172" fontId="16" fillId="0" borderId="21" xfId="3" applyNumberFormat="1" applyFont="1" applyFill="1" applyBorder="1" applyAlignment="1">
      <alignment horizontal="center"/>
    </xf>
    <xf numFmtId="0" fontId="15" fillId="10" borderId="25" xfId="0" applyFont="1" applyFill="1" applyBorder="1" applyAlignment="1" applyProtection="1">
      <alignment horizontal="center" vertical="center"/>
      <protection locked="0"/>
    </xf>
    <xf numFmtId="0" fontId="15" fillId="10" borderId="25" xfId="0" quotePrefix="1" applyFont="1" applyFill="1" applyBorder="1" applyAlignment="1" applyProtection="1">
      <alignment horizontal="center" vertical="center"/>
      <protection locked="0"/>
    </xf>
    <xf numFmtId="172" fontId="16" fillId="0" borderId="26" xfId="3" applyNumberFormat="1" applyFont="1" applyFill="1" applyBorder="1"/>
    <xf numFmtId="172" fontId="16" fillId="0" borderId="25" xfId="3" applyNumberFormat="1" applyFont="1" applyFill="1" applyBorder="1"/>
    <xf numFmtId="172" fontId="16" fillId="0" borderId="25" xfId="3" applyNumberFormat="1" applyFont="1" applyFill="1" applyBorder="1" applyAlignment="1">
      <alignment horizontal="center"/>
    </xf>
    <xf numFmtId="0" fontId="15" fillId="10" borderId="27" xfId="0" quotePrefix="1" applyFont="1" applyFill="1" applyBorder="1" applyAlignment="1" applyProtection="1">
      <alignment horizontal="center" vertical="center"/>
      <protection locked="0"/>
    </xf>
    <xf numFmtId="171" fontId="16" fillId="0" borderId="1" xfId="0" applyNumberFormat="1" applyFont="1" applyBorder="1"/>
    <xf numFmtId="0" fontId="15" fillId="10" borderId="1" xfId="0" quotePrefix="1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15" fillId="10" borderId="2" xfId="0" applyFont="1" applyFill="1" applyBorder="1" applyAlignment="1" applyProtection="1">
      <alignment horizontal="center" vertical="center"/>
      <protection locked="0"/>
    </xf>
    <xf numFmtId="0" fontId="15" fillId="10" borderId="2" xfId="0" quotePrefix="1" applyFont="1" applyFill="1" applyBorder="1" applyAlignment="1" applyProtection="1">
      <alignment horizontal="center" vertical="center"/>
      <protection locked="0"/>
    </xf>
    <xf numFmtId="171" fontId="16" fillId="0" borderId="2" xfId="0" applyNumberFormat="1" applyFont="1" applyBorder="1"/>
    <xf numFmtId="0" fontId="9" fillId="11" borderId="1" xfId="0" applyFont="1" applyFill="1" applyBorder="1" applyAlignment="1">
      <alignment horizontal="center"/>
    </xf>
    <xf numFmtId="171" fontId="0" fillId="0" borderId="1" xfId="0" applyNumberFormat="1" applyBorder="1"/>
    <xf numFmtId="0" fontId="9" fillId="11" borderId="1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171" fontId="0" fillId="0" borderId="2" xfId="0" applyNumberFormat="1" applyBorder="1"/>
    <xf numFmtId="0" fontId="0" fillId="7" borderId="0" xfId="0" applyFill="1"/>
    <xf numFmtId="173" fontId="0" fillId="0" borderId="0" xfId="0" applyNumberFormat="1"/>
    <xf numFmtId="173" fontId="0" fillId="3" borderId="0" xfId="0" applyNumberFormat="1" applyFill="1" applyAlignment="1">
      <alignment vertical="center"/>
    </xf>
    <xf numFmtId="173" fontId="12" fillId="0" borderId="0" xfId="0" applyNumberFormat="1" applyFont="1"/>
    <xf numFmtId="173" fontId="12" fillId="7" borderId="0" xfId="0" applyNumberFormat="1" applyFont="1" applyFill="1"/>
    <xf numFmtId="173" fontId="0" fillId="0" borderId="0" xfId="3" applyNumberFormat="1" applyFont="1"/>
    <xf numFmtId="173" fontId="0" fillId="0" borderId="0" xfId="2" applyNumberFormat="1" applyFont="1"/>
  </cellXfs>
  <cellStyles count="5">
    <cellStyle name="Comma" xfId="1" builtinId="3"/>
    <cellStyle name="Currency" xfId="3" builtinId="4"/>
    <cellStyle name="Normal" xfId="0" builtinId="0"/>
    <cellStyle name="Normal 11 2" xfId="4" xr:uid="{98CAC3EE-B399-49E3-99A1-7493C98F706B}"/>
    <cellStyle name="Per cent" xfId="2" builtinId="5"/>
  </cellStyles>
  <dxfs count="93"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4" formatCode="#,##0.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-* #,##0.00_-;\-* #,##0.00_-;_-* &quot;-&quot;??_-;_-@_-"/>
    </dxf>
    <dxf>
      <numFmt numFmtId="2" formatCode="0.00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4" formatCode="#,##0.00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68" formatCode="0.0%"/>
    </dxf>
    <dxf>
      <numFmt numFmtId="0" formatCode="General"/>
    </dxf>
    <dxf>
      <numFmt numFmtId="173" formatCode="_([$€-2]\ * #,##0.00_);_([$€-2]\ * \(#,##0.00\);_([$€-2]\ * &quot;-&quot;??_);_(@_)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168" formatCode="0.0%"/>
    </dxf>
    <dxf>
      <numFmt numFmtId="173" formatCode="_([$€-2]\ * #,##0.00_);_([$€-2]\ * \(#,##0.00\);_([$€-2]\ * &quot;-&quot;??_);_(@_)"/>
    </dxf>
    <dxf>
      <numFmt numFmtId="173" formatCode="_([$€-2]\ * #,##0.00_);_([$€-2]\ * \(#,##0.00\);_([$€-2]\ * &quot;-&quot;??_);_(@_)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0.0%"/>
    </dxf>
    <dxf>
      <numFmt numFmtId="3" formatCode="#,##0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92"/>
      <tableStyleElement type="headerRow" dxfId="91"/>
      <tableStyleElement type="totalRow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13</xdr:row>
      <xdr:rowOff>57151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196850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62AF442-CC83-4E8C-A504-84D63E8F4812}" autoFormatId="16" applyNumberFormats="0" applyBorderFormats="0" applyFontFormats="0" applyPatternFormats="0" applyAlignmentFormats="0" applyWidthHeightFormats="0">
  <queryTableRefresh nextId="31">
    <queryTableFields count="6">
      <queryTableField id="1" name="BRAND DESCRIPTION" tableColumnId="1"/>
      <queryTableField id="2" name="ITEM" tableColumnId="2"/>
      <queryTableField id="28" name="DEUX SEVRES ZONE: 79" tableColumnId="5"/>
      <queryTableField id="26" name="AIN ZONE: 1" tableColumnId="3"/>
      <queryTableField id="27" name="ALPES DE HAUTE PROVENCE ZONE: 4" tableColumnId="4"/>
      <queryTableField id="29" name="BELGIUM ZONE: 89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71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69" name="AVG Number of Full Trucks" tableColumnId="9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7D891464-61A7-454A-8315-A91D4A607510}" autoFormatId="16" applyNumberFormats="0" applyBorderFormats="0" applyFontFormats="0" applyPatternFormats="0" applyAlignmentFormats="0" applyWidthHeightFormats="0">
  <queryTableRefresh nextId="35">
    <queryTableFields count="34">
      <queryTableField id="1" name="To(Location)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50" totalsRowShown="0" headerRowDxfId="89" headerRowBorderDxfId="88" tableBorderDxfId="87">
  <autoFilter ref="A2:I50" xr:uid="{D783FF8C-95BC-4C19-8AA3-19EE343E4106}"/>
  <tableColumns count="9">
    <tableColumn id="3" xr3:uid="{8C0D26FC-D8B5-41A8-BD03-2E92AFC7F277}" name="BRAND_x000a_DESCRIPTION" dataDxfId="86"/>
    <tableColumn id="6" xr3:uid="{76F975CA-4829-4C5B-AE97-8FE01F9B331D}" name="ITEM" dataDxfId="85"/>
    <tableColumn id="13" xr3:uid="{F7EBC377-1342-4B2D-8C3C-3E638309AE48}" name="MASTER SHIPPER _x000a_PKG WIDTH(CM)" dataDxfId="84"/>
    <tableColumn id="14" xr3:uid="{CF2A43AD-C57D-46A8-82A2-CD39BA393C06}" name="MASTER SHIPPER _x000a_PKG DEPTH(CM)" dataDxfId="83"/>
    <tableColumn id="15" xr3:uid="{259582FE-535C-4AC7-BEDC-43401EEAF9C7}" name="MASTER SHIPPER _x000a_PKG HEIGHT(CM)" dataDxfId="82"/>
    <tableColumn id="16" xr3:uid="{091A50C7-1D07-498B-BAEB-7F47FE7E5103}" name="MASTER SHIPPER _x000a_PKG GROSS WEIGHT(KG)" dataDxfId="81"/>
    <tableColumn id="5" xr3:uid="{DC74C2F9-071C-498A-812B-7E73D261AB28}" name="RETAIL UNITS _x000a_PER MASTER SHIPPER PKG" dataDxfId="80"/>
    <tableColumn id="8" xr3:uid="{60F4537D-1222-41C7-A203-6B21E96557B5}" name="Annual_x000a_Units" dataDxfId="79" dataCellStyle="Comma"/>
    <tableColumn id="18" xr3:uid="{AA678CF2-C24F-4C47-AE90-4FF0B8024E0D}" name="QUOTE USD" dataDxfId="78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77" dataDxfId="76">
  <autoFilter ref="K11:L25" xr:uid="{40DB4AE1-CB0F-4472-B087-C50B8E452B22}"/>
  <tableColumns count="2">
    <tableColumn id="1" xr3:uid="{FFE6682E-4525-4DEF-AF1B-12B612733AA6}" name="DESTINATION " dataDxfId="75"/>
    <tableColumn id="2" xr3:uid="{6E79F31D-8F2D-4724-92FE-755CF1184491}" name="%" dataDxfId="7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8" totalsRowShown="0" headerRowDxfId="73" dataDxfId="72">
  <autoFilter ref="N15:O28" xr:uid="{CB733BE7-32BB-4C71-851B-EAEDBBDBFEFB}"/>
  <tableColumns count="2">
    <tableColumn id="1" xr3:uid="{926DE0C5-E292-4888-B8A5-1AACBBA427AA}" name="Item" dataDxfId="71"/>
    <tableColumn id="2" xr3:uid="{9AD0AFB4-E00E-4521-B1D1-8FD6BFAB7BF1}" name="Value" dataDxfId="7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46" totalsRowShown="0" headerRowDxfId="69">
  <autoFilter ref="A1:D46" xr:uid="{27570EC2-4232-4313-87D2-1159E0E19652}"/>
  <sortState xmlns:xlrd2="http://schemas.microsoft.com/office/spreadsheetml/2017/richdata2" ref="A2:D46">
    <sortCondition ref="A1:A46"/>
  </sortState>
  <tableColumns count="4">
    <tableColumn id="1" xr3:uid="{06445078-A35A-404A-8B40-A0FCA128C778}" name="Description"/>
    <tableColumn id="2" xr3:uid="{1C93E017-008B-4193-B663-CA2801096BA9}" name="Rate" dataDxfId="44"/>
    <tableColumn id="3" xr3:uid="{71130363-6D85-452A-A33C-410D7B80AAE6}" name="Apply" dataDxfId="45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7" tableType="queryTable" totalsRowCount="1">
  <autoFilter ref="A1:F16" xr:uid="{62C2CBF8-5A10-4918-AF6F-1C35441D11F9}"/>
  <tableColumns count="6">
    <tableColumn id="1" xr3:uid="{642684A6-CBB5-4B9E-B6A1-87A431FB5156}" uniqueName="1" name="Stage" queryTableFieldId="1" dataDxfId="68"/>
    <tableColumn id="6" xr3:uid="{2CBF4B0D-BDB9-4BE9-BD1B-A07C087E6286}" uniqueName="6" name="Description" queryTableFieldId="6" dataDxfId="67"/>
    <tableColumn id="3" xr3:uid="{372262EF-8A6B-4F7D-9505-F2530E01F309}" uniqueName="3" name="Quantity" queryTableFieldId="3" dataDxfId="51" totalsRowDxfId="66"/>
    <tableColumn id="7" xr3:uid="{DD68A7F5-82A9-4EC1-9444-D8F814AEE740}" uniqueName="7" name="Rate" queryTableFieldId="7" dataDxfId="49" totalsRowDxfId="50"/>
    <tableColumn id="8" xr3:uid="{B97C0E14-2DA5-4C7A-BCD5-81C719961F46}" uniqueName="8" name="Total" totalsRowFunction="custom" queryTableFieldId="8" dataDxfId="47" totalsRowDxfId="46">
      <totalsRowFormula>SUM(E2:E16)</totalsRowFormula>
    </tableColumn>
    <tableColumn id="9" xr3:uid="{537DFAB7-4B81-4397-84EA-3715FAEDC048}" uniqueName="9" name="% of Total Cost" queryTableFieldId="10" dataDxfId="48" totalsRowDxfId="65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9" tableType="queryTable" totalsRowShown="0">
  <autoFilter ref="A1:F49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43"/>
    <tableColumn id="5" xr3:uid="{D00EFEC1-EB4B-45A5-A00F-A64500277674}" uniqueName="5" name="DEUX SEVRES ZONE: 79" queryTableFieldId="28"/>
    <tableColumn id="3" xr3:uid="{6103A846-628A-48D3-A1C4-CCFF25BDE058}" uniqueName="3" name="AIN ZONE: 1" queryTableFieldId="26"/>
    <tableColumn id="4" xr3:uid="{66D74E63-B2E4-4EFF-8C5D-1FA4C6149BCA}" uniqueName="4" name="ALPES DE HAUTE PROVENCE ZONE: 4" queryTableFieldId="27"/>
    <tableColumn id="6" xr3:uid="{FD214729-3563-49BA-82D0-127CC0ED2E5A}" uniqueName="6" name="BELGIUM ZONE: 89" queryTableFieldId="29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46" totalsRowShown="0">
  <autoFilter ref="A1:D46" xr:uid="{15597CD3-C61E-4C6A-81DA-E59FA161495A}"/>
  <tableColumns count="4">
    <tableColumn id="1" xr3:uid="{A62366C3-2CC4-4B52-A891-98CFBAD9AC98}" name="Inbound" dataDxfId="64"/>
    <tableColumn id="2" xr3:uid="{A2316407-3212-4EF7-A0E7-F6FDF9CF03FA}" name="Rate UoM" dataDxfId="63"/>
    <tableColumn id="3" xr3:uid="{7AB4C4FC-E0EA-4E37-8EC6-A425DA7599F8}" name="Currency" dataDxfId="62"/>
    <tableColumn id="4" xr3:uid="{215E4D8A-E554-4DD0-AE99-17744FB855B7}" name="Rat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AI251" totalsRowShown="0">
  <tableColumns count="35">
    <tableColumn id="1" xr3:uid="{586A04DA-EC53-41FA-BD6B-32DA1CF8A499}" name="Department" dataDxfId="61"/>
    <tableColumn id="3" xr3:uid="{C267B484-5BF1-4B36-B391-126AB8BBD216}" name="Column1"/>
    <tableColumn id="4" xr3:uid="{DDF8F51B-EBEC-48F4-89CD-CB3DC2A8A6BE}" name="0.4m"/>
    <tableColumn id="2" xr3:uid="{AE4B539D-D4E0-417E-8FE9-F612C286941B}" name="0.8m"/>
    <tableColumn id="5" xr3:uid="{BE41F2D1-627C-4C30-85DC-DC1FB4462598}" name="1.2m"/>
    <tableColumn id="6" xr3:uid="{86B69DF4-B60B-4A37-9137-B9FDB28CAA66}" name="1.6m"/>
    <tableColumn id="7" xr3:uid="{DF419873-B7DF-40DD-9793-1FCD2418DDA4}" name="2m"/>
    <tableColumn id="8" xr3:uid="{8C58BF85-DF9D-49AD-844D-53C9991A3E08}" name="2.4m"/>
    <tableColumn id="9" xr3:uid="{040B0CEB-83E8-494E-A502-3DE0FA0D1AC4}" name="2.8m"/>
    <tableColumn id="10" xr3:uid="{F4509C65-BED9-4632-8A90-46733D09BB0E}" name="3.2m"/>
    <tableColumn id="11" xr3:uid="{E27C342A-1950-46FA-9C62-F3A7E87437E6}" name="3.6m"/>
    <tableColumn id="12" xr3:uid="{EAE7C4C3-6F10-46FF-A06A-C5476AF0ADA0}" name="4m"/>
    <tableColumn id="13" xr3:uid="{4EE4FD60-0419-4B19-AA85-D8AA86C9CC65}" name="4.4m"/>
    <tableColumn id="14" xr3:uid="{96913105-E973-4086-8424-A73F3D39A6B1}" name="4.8m"/>
    <tableColumn id="15" xr3:uid="{45DF03A5-254A-4620-A8B4-E7556561542B}" name="5.2m"/>
    <tableColumn id="16" xr3:uid="{57F39CC1-1088-42C3-9A4F-DE8881BEFE87}" name="5.6m"/>
    <tableColumn id="17" xr3:uid="{4B053727-BD48-4AAC-92B4-D00C69A3FE5D}" name="6m"/>
    <tableColumn id="18" xr3:uid="{5FE77623-B40F-49AB-9AC4-719409C2A545}" name="6.4m"/>
    <tableColumn id="19" xr3:uid="{C7A38B27-6D58-42ED-94D4-BF6EBBD78A46}" name="6.8m"/>
    <tableColumn id="20" xr3:uid="{A243FFE1-B796-4DB2-9F80-D3C54F111944}" name="7.2m"/>
    <tableColumn id="21" xr3:uid="{FDD0284F-EDE4-439D-9950-25C5BEBB8C78}" name="7.6m"/>
    <tableColumn id="22" xr3:uid="{FD27E5B1-125D-4B4A-B884-A14CD4088F6E}" name="8m"/>
    <tableColumn id="23" xr3:uid="{7A90DD84-735F-4055-B47A-2DBFF890579A}" name="8.4m"/>
    <tableColumn id="24" xr3:uid="{024DCA34-6B39-4A64-848B-07C073461542}" name="8.8m"/>
    <tableColumn id="25" xr3:uid="{E2144ECD-E2D2-4917-B0F3-59B0580E7302}" name="9.2m"/>
    <tableColumn id="26" xr3:uid="{7C58ABA7-B765-45A3-BC6C-637261B74427}" name="9.6m"/>
    <tableColumn id="27" xr3:uid="{36B891C8-DAAD-4274-A3F4-F19A32ECE91C}" name="10m"/>
    <tableColumn id="28" xr3:uid="{55F1228D-485C-4DA7-B9F5-7474CC746360}" name="10.4m"/>
    <tableColumn id="29" xr3:uid="{C2E25039-EC70-4DFB-A14B-7C2926424035}" name="10.8m"/>
    <tableColumn id="30" xr3:uid="{9BA94228-3B16-45F3-B963-7F5475418B15}" name="11.2m"/>
    <tableColumn id="31" xr3:uid="{FFB595B6-4D99-4AB6-9841-30CDD48C2C15}" name="11.6m"/>
    <tableColumn id="32" xr3:uid="{BFB3DD97-3E3A-4CB1-9C4D-9E5F6C9D59BC}" name="12m"/>
    <tableColumn id="33" xr3:uid="{7A2953B1-775B-4F6C-9988-11AD5F7DAF07}" name="12.4m"/>
    <tableColumn id="34" xr3:uid="{1300B81B-6852-473B-8087-1015E8441F32}" name="12.8m"/>
    <tableColumn id="35" xr3:uid="{4F093063-54AF-48C6-B245-245A90489F50}" name="13.2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60"/>
    <tableColumn id="2" xr3:uid="{2BF013A5-06BF-4D40-9C2F-8E48B9295396}" name="Country" dataDxfId="59"/>
    <tableColumn id="3" xr3:uid="{638DFD24-6A6D-406B-B067-680458B76405}" name="POL" dataDxfId="58"/>
    <tableColumn id="4" xr3:uid="{AB17D869-D727-4DDD-8C89-EE821ECDE18C}" name="POD" dataDxfId="57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56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55"/>
    <tableColumn id="13" xr3:uid="{586E52F4-E192-447A-9E97-82F55DF511A3}" name="Estimate Leadtime(Door to Door)Cover 80%-90% Shipments in Mar" dataDxfId="5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50" tableType="queryTable" totalsRowCount="1">
  <autoFilter ref="A1:AD49" xr:uid="{3C3DAF26-BE7B-4D17-AD2E-48E438E2A6C0}"/>
  <tableColumns count="30">
    <tableColumn id="1" xr3:uid="{05578B41-A01B-439C-9084-7A8CDF75F229}" uniqueName="1" name="BRAND_x000a_DESCRIPTION" queryTableFieldId="55" dataDxfId="21" dataCellStyle="Currency"/>
    <tableColumn id="3" xr3:uid="{BB787D81-FA37-48B9-AE91-AE1A456B7293}" uniqueName="3" name="ITEM" queryTableFieldId="3" dataDxfId="53"/>
    <tableColumn id="2" xr3:uid="{099E95C5-B24E-4E48-A998-EA439A18F82D}" uniqueName="2" name="WIDTH(CM)" queryTableFieldId="56" dataDxfId="20" totalsRowDxfId="22" dataCellStyle="Currency"/>
    <tableColumn id="4" xr3:uid="{26355AE5-9662-4910-81CD-9FDB6FEF1201}" uniqueName="4" name="DEPTH(CM)" queryTableFieldId="57" dataDxfId="19" totalsRowDxfId="23" dataCellStyle="Currency"/>
    <tableColumn id="5" xr3:uid="{E5EACCBC-B3FC-45E8-A9D8-1DD5410FA02B}" uniqueName="5" name="HEIGHT(CM)" queryTableFieldId="58" dataDxfId="18" totalsRowDxfId="24" dataCellStyle="Currency"/>
    <tableColumn id="6" xr3:uid="{166ABAC7-F99B-4DA3-9BC1-AF34A318000C}" uniqueName="6" name="WEIGHT(KG)" queryTableFieldId="59" dataDxfId="17" totalsRowDxfId="25" dataCellStyle="Currency"/>
    <tableColumn id="7" xr3:uid="{CFC69CAF-326B-444D-BA79-F462C10FD417}" uniqueName="7" name="RETAIL UNITS PER MASTER SHIPPER PKG" queryTableFieldId="60" dataDxfId="16" totalsRowDxfId="26" dataCellStyle="Currency"/>
    <tableColumn id="8" xr3:uid="{8FE3012C-6260-49C6-AC77-36354AC63093}" uniqueName="8" name="ANNUAL UNITS" queryTableFieldId="61" dataDxfId="15" totalsRowDxfId="27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SUM(J2:J49)</totalsRowFormula>
    </tableColumn>
    <tableColumn id="14" xr3:uid="{006AEFCB-A936-4AEF-9C0C-CDA2B592F1E4}" uniqueName="14" name="Estimated Cases per Pallet By Volume" queryTableFieldId="51" dataDxfId="14" totalsRowDxfId="28" dataCellStyle="Currency"/>
    <tableColumn id="15" xr3:uid="{79CEAD43-3249-44B1-9017-661252642DCA}" uniqueName="15" name="Pallet Quantity" totalsRowFunction="custom" queryTableFieldId="15">
      <totalsRowFormula>SUM(L2:L49)</totalsRowFormula>
    </tableColumn>
    <tableColumn id="16" xr3:uid="{79DF66F3-9B26-469A-8A91-A16D2EC0C3A5}" uniqueName="16" name="Monthly Sales" totalsRowFunction="custom" queryTableFieldId="16">
      <totalsRowFormula>SUM(M2:M49)</totalsRowFormula>
    </tableColumn>
    <tableColumn id="17" xr3:uid="{A860E39D-1BC7-4D9A-9818-C1CD114605F3}" uniqueName="17" name="Storage Requirement (Pallet)" queryTableFieldId="52" dataDxfId="13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12" totalsRowDxfId="29">
      <totalsRowFormula>SUM(P2:P49)</totalsRowFormula>
    </tableColumn>
    <tableColumn id="20" xr3:uid="{1B98898D-0082-40EC-A384-042C52D6E6C5}" uniqueName="20" name="Estimate Container QTY" totalsRowFunction="custom" queryTableFieldId="20" totalsRowDxfId="30">
      <totalsRowFormula>SUM(Q2:Q49)</totalsRowFormula>
    </tableColumn>
    <tableColumn id="21" xr3:uid="{CA79D92B-3050-4858-A52E-AC8909046E01}" uniqueName="21" name="Revenue" totalsRowFunction="custom" queryTableFieldId="21" dataDxfId="11" totalsRowDxfId="31" dataCellStyle="Currency">
      <totalsRowFormula>SUM(R2:R49)</totalsRowFormula>
    </tableColumn>
    <tableColumn id="22" xr3:uid="{071CFB14-D00B-4529-B8E8-D6EA4D4C5520}" uniqueName="22" name="Total % of Space" queryTableFieldId="22" dataDxfId="10" totalsRowDxfId="32" dataCellStyle="Per cent"/>
    <tableColumn id="28" xr3:uid="{2DE643E4-C8D1-4C6A-9D1E-0EA3C1CB83BE}" uniqueName="28" name="Total Weight" totalsRowFunction="custom" queryTableFieldId="28" dataDxfId="9" totalsRowDxfId="33">
      <totalsRowFormula>SUM(T2:T49)</totalsRowFormula>
    </tableColumn>
    <tableColumn id="9" xr3:uid="{1A103125-E646-447A-848C-524E5B2FE1B1}" uniqueName="9" name="AVG Number of Full Trucks" queryTableFieldId="69" dataCellStyle="Currency"/>
    <tableColumn id="29" xr3:uid="{E4AE9779-9F82-4D17-862F-7640DA7AED3E}" uniqueName="29" name="Annual Seafreight Cost" totalsRowFunction="custom" queryTableFieldId="30" dataDxfId="8" totalsRowDxfId="34">
      <totalsRowFormula>SUM(V2:V49)</totalsRowFormula>
    </tableColumn>
    <tableColumn id="30" xr3:uid="{28A38516-42A6-494A-A9EE-4BC8E48309A7}" uniqueName="30" name="Seafreight Cost per Unit" queryTableFieldId="31" dataDxfId="7" totalsRowDxfId="35"/>
    <tableColumn id="31" xr3:uid="{01F5312F-011E-4174-9C80-E4716CFC8C57}" uniqueName="31" name="Annual WH Cost" totalsRowFunction="custom" queryTableFieldId="32" dataDxfId="6" totalsRowDxfId="36">
      <totalsRowFormula>SUM(X2:X49)</totalsRowFormula>
    </tableColumn>
    <tableColumn id="32" xr3:uid="{25946182-31BF-46D8-93E6-C43FD86C7B71}" uniqueName="32" name="WH Cost per Unit" queryTableFieldId="33" dataDxfId="5" totalsRowDxfId="37"/>
    <tableColumn id="23" xr3:uid="{97C3EF99-7DB8-4F51-AE27-1EC72EF9D939}" uniqueName="23" name="Delivery Cost" totalsRowFunction="custom" queryTableFieldId="45" dataDxfId="4" totalsRowDxfId="38" dataCellStyle="Currency">
      <totalsRowFormula>SUM(Z2:Z49)</totalsRowFormula>
    </tableColumn>
    <tableColumn id="42" xr3:uid="{1CE7CBF6-3036-4B65-B49F-0CBBFC4AB2A2}" uniqueName="42" name="Delivery Cost per Unit" queryTableFieldId="43" dataDxfId="3" totalsRowDxfId="39"/>
    <tableColumn id="24" xr3:uid="{2B1FADBC-3AD9-4B97-814E-51915743937C}" uniqueName="24" name="Total Logistic Cost" totalsRowFunction="custom" queryTableFieldId="46" dataDxfId="2" totalsRowDxfId="40" dataCellStyle="Currency">
      <totalsRowFormula>SUM(AB2:AB49)</totalsRowFormula>
    </tableColumn>
    <tableColumn id="25" xr3:uid="{478C2A16-11B7-41F0-9A4B-64FCC95B8C0A}" uniqueName="25" name="Total Logistic Cost per Unit" queryTableFieldId="47" dataDxfId="1" totalsRowDxfId="41" dataCellStyle="Currency"/>
    <tableColumn id="41" xr3:uid="{2C1D7A41-F8B4-487F-88E9-1F21930A0F95}" uniqueName="41" name="% of Revenue" queryTableFieldId="42" dataDxfId="0" totalsRowDxfId="42" dataCellStyle="Per cent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27B77B-9348-46D3-B22E-0C8B1A623336}" name="TransportRate" displayName="TransportRate" ref="A1:AH250" tableType="queryTable" totalsRowShown="0">
  <autoFilter ref="A1:AH250" xr:uid="{8D27B77B-9348-46D3-B22E-0C8B1A623336}"/>
  <tableColumns count="34">
    <tableColumn id="1" xr3:uid="{91DDF5E2-5B06-41DF-9D36-6F0DD37BA54E}" uniqueName="1" name="To(Location)" queryTableFieldId="1" dataDxfId="52"/>
    <tableColumn id="2" xr3:uid="{B4544815-0E77-4524-A44A-19E1BF1A6CB9}" uniqueName="2" name="1" queryTableFieldId="2"/>
    <tableColumn id="3" xr3:uid="{EBBBFC48-F244-4FBD-9451-424B38E607DC}" uniqueName="3" name="2" queryTableFieldId="3"/>
    <tableColumn id="4" xr3:uid="{594923BE-4598-4F15-A15B-15EBCEA4FC2E}" uniqueName="4" name="3" queryTableFieldId="4"/>
    <tableColumn id="5" xr3:uid="{5914CEA2-BC4A-48C3-A290-95CD63E74DD5}" uniqueName="5" name="4" queryTableFieldId="5"/>
    <tableColumn id="6" xr3:uid="{82FE72E3-1948-4081-B25E-D59A229A0CDF}" uniqueName="6" name="5" queryTableFieldId="6"/>
    <tableColumn id="7" xr3:uid="{FB24BCC8-4AD6-4C6B-842C-E5C7EF37FCB3}" uniqueName="7" name="6" queryTableFieldId="7"/>
    <tableColumn id="8" xr3:uid="{12FC6711-1C4A-49A6-A0A5-A9F4A3598FC4}" uniqueName="8" name="7" queryTableFieldId="8"/>
    <tableColumn id="9" xr3:uid="{354D681F-3058-499E-B8DF-9E9B27EBEF0D}" uniqueName="9" name="8" queryTableFieldId="9"/>
    <tableColumn id="10" xr3:uid="{850FD170-23E3-4CDD-BABC-42B6511FFE7E}" uniqueName="10" name="9" queryTableFieldId="10"/>
    <tableColumn id="11" xr3:uid="{4BE56F44-68D8-44E7-9769-36B05D2D5D8F}" uniqueName="11" name="10" queryTableFieldId="11"/>
    <tableColumn id="12" xr3:uid="{E78F7C46-AA1D-4459-9A2F-200A622390D5}" uniqueName="12" name="11" queryTableFieldId="12"/>
    <tableColumn id="13" xr3:uid="{F1A2ECC4-9A82-414E-9922-FC0F240F1C01}" uniqueName="13" name="12" queryTableFieldId="13"/>
    <tableColumn id="14" xr3:uid="{B72768F7-03C4-4660-966C-3D4976F96AC1}" uniqueName="14" name="13" queryTableFieldId="14"/>
    <tableColumn id="15" xr3:uid="{B3D4C25D-A63B-4C92-B1C0-696B2ACDA38F}" uniqueName="15" name="14" queryTableFieldId="15"/>
    <tableColumn id="16" xr3:uid="{7801AF3A-926C-4632-BED9-7F5E71A510F3}" uniqueName="16" name="15" queryTableFieldId="16"/>
    <tableColumn id="17" xr3:uid="{DF487319-4A87-4C58-8896-8916436D03F0}" uniqueName="17" name="16" queryTableFieldId="17"/>
    <tableColumn id="18" xr3:uid="{BE37FA2B-4E2F-4EA1-8021-6936A3B32DBC}" uniqueName="18" name="17" queryTableFieldId="18"/>
    <tableColumn id="19" xr3:uid="{33292D7C-30FD-4B19-A992-6A382AEA4F2B}" uniqueName="19" name="18" queryTableFieldId="19"/>
    <tableColumn id="20" xr3:uid="{1436296F-B00E-4577-9749-122280E15038}" uniqueName="20" name="19" queryTableFieldId="20"/>
    <tableColumn id="21" xr3:uid="{72F11039-23DE-454D-8988-ACE0283487AA}" uniqueName="21" name="20" queryTableFieldId="21"/>
    <tableColumn id="22" xr3:uid="{6C55996D-3BD8-400C-A505-D9BE57834072}" uniqueName="22" name="21" queryTableFieldId="22"/>
    <tableColumn id="23" xr3:uid="{A0A24CBE-0209-4AA9-910B-9AEC015CF4A8}" uniqueName="23" name="22" queryTableFieldId="23"/>
    <tableColumn id="24" xr3:uid="{A309B753-52AE-405C-A14D-20FA6B003F0C}" uniqueName="24" name="23" queryTableFieldId="24"/>
    <tableColumn id="25" xr3:uid="{968C5A9C-7707-42BC-B4BD-721763F2318A}" uniqueName="25" name="24" queryTableFieldId="25"/>
    <tableColumn id="26" xr3:uid="{D4E7A8BB-A813-40AE-B67F-1F645FF6BFC2}" uniqueName="26" name="25" queryTableFieldId="26"/>
    <tableColumn id="27" xr3:uid="{26902328-1B38-4F17-BD97-1D67388D5EBE}" uniqueName="27" name="26" queryTableFieldId="27"/>
    <tableColumn id="28" xr3:uid="{FB2E5BF8-3495-415D-8C74-B3B52CDDFEF1}" uniqueName="28" name="27" queryTableFieldId="28"/>
    <tableColumn id="29" xr3:uid="{C5CBB6FE-4AD5-4F42-80BD-66466CF899ED}" uniqueName="29" name="28" queryTableFieldId="29"/>
    <tableColumn id="30" xr3:uid="{E1759E15-467E-4A8D-8448-A0A40C5C748A}" uniqueName="30" name="29" queryTableFieldId="30"/>
    <tableColumn id="31" xr3:uid="{725B6DC7-15C6-4BBD-A2A0-C22124DF570D}" uniqueName="31" name="30" queryTableFieldId="31"/>
    <tableColumn id="32" xr3:uid="{F54EBABD-8CA9-4A8A-BA29-E8678D89E8FF}" uniqueName="32" name="31" queryTableFieldId="32"/>
    <tableColumn id="33" xr3:uid="{B34FF260-520D-4D2B-A8C5-2EC042125A40}" uniqueName="33" name="32" queryTableFieldId="33"/>
    <tableColumn id="34" xr3:uid="{F239A89E-B174-444D-AAAF-C22E0AA8BAD0}" uniqueName="34" name="33" queryTableFieldId="3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S241"/>
  <sheetViews>
    <sheetView zoomScale="70" zoomScaleNormal="70" workbookViewId="0">
      <selection activeCell="O22" sqref="O22"/>
    </sheetView>
    <sheetView workbookViewId="1">
      <selection activeCell="N32" sqref="N32"/>
    </sheetView>
  </sheetViews>
  <sheetFormatPr defaultColWidth="0" defaultRowHeight="14.5" x14ac:dyDescent="0.3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1" customWidth="1"/>
    <col min="11" max="11" width="15.81640625" style="11" customWidth="1"/>
    <col min="12" max="12" width="11.81640625" style="11" customWidth="1"/>
    <col min="13" max="13" width="7" style="11" customWidth="1"/>
    <col min="14" max="14" width="23.1796875" style="11" customWidth="1"/>
    <col min="15" max="15" width="9.7265625" style="11" customWidth="1"/>
    <col min="16" max="16" width="3" style="11" customWidth="1"/>
    <col min="17" max="16384" width="9.1796875" hidden="1"/>
  </cols>
  <sheetData>
    <row r="1" spans="1:19" ht="8.25" customHeight="1" thickBot="1" x14ac:dyDescent="0.4">
      <c r="A1" s="11"/>
      <c r="B1" s="11"/>
      <c r="C1" s="11"/>
      <c r="D1" s="11"/>
      <c r="E1" s="11"/>
      <c r="F1" s="11"/>
      <c r="G1" s="11"/>
      <c r="H1" s="11"/>
      <c r="I1" s="11"/>
    </row>
    <row r="2" spans="1:19" ht="112.5" customHeight="1" thickBot="1" x14ac:dyDescent="0.4">
      <c r="A2" s="23" t="s">
        <v>32</v>
      </c>
      <c r="B2" s="24" t="s">
        <v>30</v>
      </c>
      <c r="C2" s="25" t="s">
        <v>2</v>
      </c>
      <c r="D2" s="25" t="s">
        <v>3</v>
      </c>
      <c r="E2" s="25" t="s">
        <v>4</v>
      </c>
      <c r="F2" s="25" t="s">
        <v>5</v>
      </c>
      <c r="G2" s="26" t="s">
        <v>6</v>
      </c>
      <c r="H2" s="27" t="s">
        <v>1</v>
      </c>
      <c r="I2" s="28" t="s">
        <v>29</v>
      </c>
      <c r="K2" s="29" t="s">
        <v>28</v>
      </c>
      <c r="L2" s="12"/>
      <c r="M2" s="13"/>
      <c r="N2" s="13"/>
      <c r="O2" s="14"/>
    </row>
    <row r="3" spans="1:19" ht="15" customHeight="1" x14ac:dyDescent="0.35">
      <c r="A3" t="s">
        <v>169</v>
      </c>
      <c r="B3" t="s">
        <v>170</v>
      </c>
      <c r="C3" s="56">
        <v>1</v>
      </c>
      <c r="D3" s="56">
        <v>1</v>
      </c>
      <c r="E3" s="56">
        <v>37284.543325526916</v>
      </c>
      <c r="F3" s="56">
        <v>14.660000000000004</v>
      </c>
      <c r="G3" s="58">
        <v>32</v>
      </c>
      <c r="H3" s="5">
        <v>27328</v>
      </c>
      <c r="I3" s="22">
        <v>0</v>
      </c>
      <c r="K3" s="19" t="s">
        <v>139</v>
      </c>
      <c r="L3" s="43"/>
      <c r="O3" s="15"/>
    </row>
    <row r="4" spans="1:19" x14ac:dyDescent="0.35">
      <c r="A4" t="s">
        <v>169</v>
      </c>
      <c r="B4" t="s">
        <v>171</v>
      </c>
      <c r="C4" s="56">
        <v>1</v>
      </c>
      <c r="D4" s="56">
        <v>1</v>
      </c>
      <c r="E4" s="56">
        <v>36000</v>
      </c>
      <c r="F4" s="56">
        <v>14.56</v>
      </c>
      <c r="G4" s="58">
        <v>32</v>
      </c>
      <c r="H4" s="5">
        <v>8</v>
      </c>
      <c r="I4" s="22"/>
      <c r="K4" s="16" t="s">
        <v>140</v>
      </c>
      <c r="L4" s="43"/>
      <c r="O4" s="15"/>
    </row>
    <row r="5" spans="1:19" x14ac:dyDescent="0.35">
      <c r="A5" t="s">
        <v>169</v>
      </c>
      <c r="B5" t="s">
        <v>172</v>
      </c>
      <c r="C5" s="56">
        <v>1</v>
      </c>
      <c r="D5" s="56">
        <v>1</v>
      </c>
      <c r="E5" s="56">
        <v>37285.343228200363</v>
      </c>
      <c r="F5" s="56">
        <v>14.559999999999999</v>
      </c>
      <c r="G5" s="58">
        <v>32</v>
      </c>
      <c r="H5" s="5">
        <v>21560</v>
      </c>
      <c r="I5" s="22"/>
      <c r="K5" s="36" t="s">
        <v>141</v>
      </c>
      <c r="L5" s="43"/>
      <c r="O5" s="15"/>
    </row>
    <row r="6" spans="1:19" x14ac:dyDescent="0.35">
      <c r="A6" s="54" t="s">
        <v>169</v>
      </c>
      <c r="B6" s="55" t="s">
        <v>173</v>
      </c>
      <c r="C6" s="57">
        <v>1</v>
      </c>
      <c r="D6" s="57">
        <v>1</v>
      </c>
      <c r="E6" s="57">
        <v>37285.509325681494</v>
      </c>
      <c r="F6" s="57">
        <v>14.559999999999999</v>
      </c>
      <c r="G6" s="58">
        <v>32</v>
      </c>
      <c r="H6" s="5">
        <v>44608</v>
      </c>
      <c r="I6" s="22"/>
      <c r="K6" s="36" t="s">
        <v>142</v>
      </c>
      <c r="L6" s="43"/>
      <c r="O6" s="15"/>
    </row>
    <row r="7" spans="1:19" x14ac:dyDescent="0.35">
      <c r="A7" s="54" t="s">
        <v>169</v>
      </c>
      <c r="B7" s="55" t="s">
        <v>174</v>
      </c>
      <c r="C7" s="57">
        <v>1</v>
      </c>
      <c r="D7" s="57">
        <v>1</v>
      </c>
      <c r="E7" s="57">
        <v>37285.930408472021</v>
      </c>
      <c r="F7" s="57">
        <v>14.659999999999998</v>
      </c>
      <c r="G7" s="58">
        <v>32</v>
      </c>
      <c r="H7" s="5">
        <v>42304</v>
      </c>
      <c r="I7" s="22"/>
      <c r="K7" s="16" t="s">
        <v>143</v>
      </c>
      <c r="O7" s="15"/>
    </row>
    <row r="8" spans="1:19" x14ac:dyDescent="0.35">
      <c r="A8" s="54" t="s">
        <v>169</v>
      </c>
      <c r="B8" s="55" t="s">
        <v>175</v>
      </c>
      <c r="C8" s="57">
        <v>1</v>
      </c>
      <c r="D8" s="57">
        <v>1</v>
      </c>
      <c r="E8" s="57">
        <v>37281.899109792277</v>
      </c>
      <c r="F8" s="57">
        <v>14.690000000000001</v>
      </c>
      <c r="G8" s="58">
        <v>32</v>
      </c>
      <c r="H8" s="5">
        <v>21568</v>
      </c>
      <c r="I8" s="22"/>
      <c r="K8" s="16" t="s">
        <v>144</v>
      </c>
      <c r="O8" s="15"/>
      <c r="S8" t="s">
        <v>26</v>
      </c>
    </row>
    <row r="9" spans="1:19" x14ac:dyDescent="0.35">
      <c r="A9" s="54" t="s">
        <v>169</v>
      </c>
      <c r="B9" s="55" t="s">
        <v>176</v>
      </c>
      <c r="C9" s="57">
        <v>1</v>
      </c>
      <c r="D9" s="57">
        <v>1</v>
      </c>
      <c r="E9" s="57">
        <v>37282.841823056282</v>
      </c>
      <c r="F9" s="57">
        <v>14.200000000000003</v>
      </c>
      <c r="G9" s="58">
        <v>32</v>
      </c>
      <c r="H9" s="59">
        <v>23872</v>
      </c>
      <c r="I9" s="60"/>
      <c r="K9" s="37" t="s">
        <v>145</v>
      </c>
      <c r="L9" s="17"/>
      <c r="M9" s="17"/>
      <c r="N9" s="17"/>
      <c r="O9" s="18"/>
      <c r="S9" t="s">
        <v>27</v>
      </c>
    </row>
    <row r="10" spans="1:19" x14ac:dyDescent="0.35">
      <c r="A10" s="54" t="s">
        <v>169</v>
      </c>
      <c r="B10" s="55" t="s">
        <v>177</v>
      </c>
      <c r="C10" s="57">
        <v>1</v>
      </c>
      <c r="D10" s="57">
        <v>1</v>
      </c>
      <c r="E10" s="57">
        <v>37284.053156146168</v>
      </c>
      <c r="F10" s="57">
        <v>14.14</v>
      </c>
      <c r="G10" s="58">
        <v>32</v>
      </c>
      <c r="H10" s="59">
        <v>19264</v>
      </c>
      <c r="I10" s="60"/>
    </row>
    <row r="11" spans="1:19" x14ac:dyDescent="0.35">
      <c r="A11" s="54" t="s">
        <v>169</v>
      </c>
      <c r="B11" s="55" t="s">
        <v>178</v>
      </c>
      <c r="C11" s="57">
        <v>1</v>
      </c>
      <c r="D11" s="57">
        <v>1</v>
      </c>
      <c r="E11" s="57">
        <v>40000</v>
      </c>
      <c r="F11" s="57">
        <v>14.2</v>
      </c>
      <c r="G11" s="58">
        <v>32</v>
      </c>
      <c r="H11" s="59">
        <v>4</v>
      </c>
      <c r="I11" s="60"/>
      <c r="K11" s="3" t="s">
        <v>33</v>
      </c>
      <c r="L11" s="3" t="s">
        <v>146</v>
      </c>
    </row>
    <row r="12" spans="1:19" x14ac:dyDescent="0.35">
      <c r="A12" s="54" t="s">
        <v>169</v>
      </c>
      <c r="B12" s="55" t="s">
        <v>179</v>
      </c>
      <c r="C12" s="57">
        <v>1</v>
      </c>
      <c r="D12" s="57">
        <v>1</v>
      </c>
      <c r="E12" s="57">
        <v>37285.776728735029</v>
      </c>
      <c r="F12" s="57">
        <v>14.200000000000001</v>
      </c>
      <c r="G12" s="58">
        <v>32</v>
      </c>
      <c r="H12" s="59">
        <v>45756</v>
      </c>
      <c r="I12" s="60"/>
      <c r="K12" s="35" t="s">
        <v>567</v>
      </c>
      <c r="L12" s="38">
        <v>0.03</v>
      </c>
    </row>
    <row r="13" spans="1:19" x14ac:dyDescent="0.35">
      <c r="A13" s="54" t="s">
        <v>169</v>
      </c>
      <c r="B13" s="55" t="s">
        <v>180</v>
      </c>
      <c r="C13" s="57">
        <v>1</v>
      </c>
      <c r="D13" s="57">
        <v>1</v>
      </c>
      <c r="E13" s="57">
        <v>37285.509325681494</v>
      </c>
      <c r="F13" s="57">
        <v>14.200000000000005</v>
      </c>
      <c r="G13" s="58">
        <v>32</v>
      </c>
      <c r="H13" s="59">
        <v>44608</v>
      </c>
      <c r="I13" s="60"/>
      <c r="K13" s="35" t="s">
        <v>490</v>
      </c>
      <c r="L13" s="38">
        <v>0.74</v>
      </c>
    </row>
    <row r="14" spans="1:19" x14ac:dyDescent="0.35">
      <c r="A14" s="54" t="s">
        <v>169</v>
      </c>
      <c r="B14" s="55" t="s">
        <v>181</v>
      </c>
      <c r="C14" s="57">
        <v>1</v>
      </c>
      <c r="D14" s="57">
        <v>1</v>
      </c>
      <c r="E14" s="57">
        <v>37281.690140845058</v>
      </c>
      <c r="F14" s="57">
        <v>14.200000000000003</v>
      </c>
      <c r="G14" s="58">
        <v>32</v>
      </c>
      <c r="H14" s="59">
        <v>22720</v>
      </c>
      <c r="I14" s="60"/>
      <c r="K14" s="35" t="s">
        <v>493</v>
      </c>
      <c r="L14" s="38">
        <v>0.15</v>
      </c>
      <c r="S14" s="1" t="s">
        <v>20</v>
      </c>
    </row>
    <row r="15" spans="1:19" x14ac:dyDescent="0.35">
      <c r="A15" s="54" t="s">
        <v>182</v>
      </c>
      <c r="B15" s="55" t="s">
        <v>183</v>
      </c>
      <c r="C15" s="57">
        <v>1</v>
      </c>
      <c r="D15" s="57">
        <v>1</v>
      </c>
      <c r="E15" s="57">
        <v>49556.701030927827</v>
      </c>
      <c r="F15" s="57">
        <v>15.21</v>
      </c>
      <c r="G15" s="58">
        <v>84</v>
      </c>
      <c r="H15" s="59">
        <v>8148</v>
      </c>
      <c r="I15" s="60"/>
      <c r="K15" s="35" t="s">
        <v>713</v>
      </c>
      <c r="L15" s="38">
        <v>0.08</v>
      </c>
      <c r="N15" s="3" t="s">
        <v>0</v>
      </c>
      <c r="O15" s="3" t="s">
        <v>36</v>
      </c>
      <c r="S15" s="2" t="s">
        <v>21</v>
      </c>
    </row>
    <row r="16" spans="1:19" x14ac:dyDescent="0.35">
      <c r="A16" s="54" t="s">
        <v>182</v>
      </c>
      <c r="B16" s="55" t="s">
        <v>184</v>
      </c>
      <c r="C16" s="57">
        <v>1</v>
      </c>
      <c r="D16" s="57">
        <v>1</v>
      </c>
      <c r="E16" s="57">
        <v>49560</v>
      </c>
      <c r="F16" s="57">
        <v>15.21</v>
      </c>
      <c r="G16" s="58">
        <v>84</v>
      </c>
      <c r="H16" s="59">
        <v>2100</v>
      </c>
      <c r="I16" s="60"/>
      <c r="K16" s="35"/>
      <c r="L16" s="38"/>
      <c r="N16" s="30" t="s">
        <v>18</v>
      </c>
      <c r="O16" s="30">
        <v>1.47</v>
      </c>
    </row>
    <row r="17" spans="1:15" x14ac:dyDescent="0.35">
      <c r="A17" s="54" t="s">
        <v>182</v>
      </c>
      <c r="B17" s="55" t="s">
        <v>185</v>
      </c>
      <c r="C17" s="57">
        <v>1</v>
      </c>
      <c r="D17" s="57">
        <v>1</v>
      </c>
      <c r="E17" s="57">
        <v>49556.701030927827</v>
      </c>
      <c r="F17" s="57">
        <v>15.21</v>
      </c>
      <c r="G17" s="58">
        <v>84</v>
      </c>
      <c r="H17" s="59">
        <v>8148</v>
      </c>
      <c r="I17" s="60"/>
      <c r="K17" s="35"/>
      <c r="L17" s="38"/>
      <c r="N17" s="31" t="s">
        <v>15</v>
      </c>
      <c r="O17" s="30">
        <v>1.94</v>
      </c>
    </row>
    <row r="18" spans="1:15" x14ac:dyDescent="0.35">
      <c r="A18" s="54" t="s">
        <v>182</v>
      </c>
      <c r="B18" s="55" t="s">
        <v>186</v>
      </c>
      <c r="C18" s="57">
        <v>1</v>
      </c>
      <c r="D18" s="57">
        <v>1</v>
      </c>
      <c r="E18" s="57">
        <v>50000</v>
      </c>
      <c r="F18" s="57">
        <v>15.21</v>
      </c>
      <c r="G18" s="58">
        <v>84</v>
      </c>
      <c r="H18" s="59">
        <v>84</v>
      </c>
      <c r="I18" s="60"/>
      <c r="K18" s="35"/>
      <c r="L18" s="38"/>
      <c r="N18" s="31" t="s">
        <v>19</v>
      </c>
      <c r="O18" s="30">
        <v>1.62</v>
      </c>
    </row>
    <row r="19" spans="1:15" x14ac:dyDescent="0.35">
      <c r="A19" s="54" t="s">
        <v>182</v>
      </c>
      <c r="B19" s="55" t="s">
        <v>187</v>
      </c>
      <c r="C19" s="57">
        <v>1</v>
      </c>
      <c r="D19" s="57">
        <v>1</v>
      </c>
      <c r="E19" s="57">
        <v>49542.857142857145</v>
      </c>
      <c r="F19" s="57">
        <v>15.21</v>
      </c>
      <c r="G19" s="58">
        <v>84</v>
      </c>
      <c r="H19" s="59">
        <v>8820</v>
      </c>
      <c r="I19" s="60"/>
      <c r="K19" s="35"/>
      <c r="L19" s="38"/>
      <c r="N19" s="30" t="s">
        <v>34</v>
      </c>
      <c r="O19" s="30">
        <v>3</v>
      </c>
    </row>
    <row r="20" spans="1:15" x14ac:dyDescent="0.35">
      <c r="A20" s="54" t="s">
        <v>182</v>
      </c>
      <c r="B20" s="55" t="s">
        <v>188</v>
      </c>
      <c r="C20" s="57">
        <v>1</v>
      </c>
      <c r="D20" s="57">
        <v>1</v>
      </c>
      <c r="E20" s="57">
        <v>50000</v>
      </c>
      <c r="F20" s="57">
        <v>15.21</v>
      </c>
      <c r="G20" s="58">
        <v>84</v>
      </c>
      <c r="H20" s="59">
        <v>84</v>
      </c>
      <c r="I20" s="60"/>
      <c r="K20" s="35"/>
      <c r="L20" s="38"/>
      <c r="N20" s="30" t="s">
        <v>35</v>
      </c>
      <c r="O20" s="30">
        <v>66</v>
      </c>
    </row>
    <row r="21" spans="1:15" x14ac:dyDescent="0.35">
      <c r="A21" s="54" t="s">
        <v>182</v>
      </c>
      <c r="B21" s="55" t="s">
        <v>189</v>
      </c>
      <c r="C21" s="57">
        <v>1</v>
      </c>
      <c r="D21" s="57">
        <v>1</v>
      </c>
      <c r="E21" s="57">
        <v>40082.474226804123</v>
      </c>
      <c r="F21" s="57">
        <v>10.65</v>
      </c>
      <c r="G21" s="58">
        <v>70</v>
      </c>
      <c r="H21" s="59">
        <v>6790</v>
      </c>
      <c r="I21" s="60"/>
      <c r="K21" s="35"/>
      <c r="L21" s="38"/>
      <c r="N21" s="30" t="s">
        <v>150</v>
      </c>
      <c r="O21" s="30">
        <v>24</v>
      </c>
    </row>
    <row r="22" spans="1:15" x14ac:dyDescent="0.35">
      <c r="A22" s="54" t="s">
        <v>182</v>
      </c>
      <c r="B22" s="55" t="s">
        <v>190</v>
      </c>
      <c r="C22" s="57">
        <v>1</v>
      </c>
      <c r="D22" s="57">
        <v>1</v>
      </c>
      <c r="E22" s="57">
        <v>40082.474226804123</v>
      </c>
      <c r="F22" s="57">
        <v>10.65</v>
      </c>
      <c r="G22" s="58">
        <v>70</v>
      </c>
      <c r="H22" s="59">
        <v>6790</v>
      </c>
      <c r="I22" s="60"/>
      <c r="K22" s="35"/>
      <c r="L22" s="38"/>
      <c r="N22" s="30" t="s">
        <v>25</v>
      </c>
      <c r="O22" s="34" t="s">
        <v>27</v>
      </c>
    </row>
    <row r="23" spans="1:15" x14ac:dyDescent="0.35">
      <c r="A23" s="54" t="s">
        <v>182</v>
      </c>
      <c r="B23" s="55" t="s">
        <v>191</v>
      </c>
      <c r="C23" s="57">
        <v>1</v>
      </c>
      <c r="D23" s="57">
        <v>1</v>
      </c>
      <c r="E23" s="57">
        <v>40000</v>
      </c>
      <c r="F23" s="57">
        <v>10.65</v>
      </c>
      <c r="G23" s="58">
        <v>70</v>
      </c>
      <c r="H23" s="59">
        <v>70</v>
      </c>
      <c r="I23" s="60"/>
      <c r="K23" s="35"/>
      <c r="L23" s="38"/>
      <c r="N23" s="32" t="s">
        <v>38</v>
      </c>
      <c r="O23" s="33" t="b">
        <v>0</v>
      </c>
    </row>
    <row r="24" spans="1:15" x14ac:dyDescent="0.35">
      <c r="A24" s="54" t="s">
        <v>182</v>
      </c>
      <c r="B24" s="55" t="s">
        <v>192</v>
      </c>
      <c r="C24" s="57">
        <v>1</v>
      </c>
      <c r="D24" s="57">
        <v>1</v>
      </c>
      <c r="E24" s="57">
        <v>40082.474226804123</v>
      </c>
      <c r="F24" s="57">
        <v>10.65</v>
      </c>
      <c r="G24" s="58">
        <v>70</v>
      </c>
      <c r="H24" s="59">
        <v>6790</v>
      </c>
      <c r="I24" s="60"/>
      <c r="K24" s="35"/>
      <c r="L24" s="38"/>
      <c r="N24" s="32" t="s">
        <v>39</v>
      </c>
      <c r="O24" s="33" t="b">
        <v>0</v>
      </c>
    </row>
    <row r="25" spans="1:15" x14ac:dyDescent="0.35">
      <c r="A25" s="54" t="s">
        <v>182</v>
      </c>
      <c r="B25" s="55" t="s">
        <v>193</v>
      </c>
      <c r="C25" s="57">
        <v>1</v>
      </c>
      <c r="D25" s="57">
        <v>1</v>
      </c>
      <c r="E25" s="57">
        <v>40000</v>
      </c>
      <c r="F25" s="57">
        <v>10.65</v>
      </c>
      <c r="G25" s="58">
        <v>70</v>
      </c>
      <c r="H25" s="59">
        <v>70</v>
      </c>
      <c r="I25" s="60"/>
      <c r="K25" s="35"/>
      <c r="L25" s="38"/>
      <c r="N25" s="32" t="s">
        <v>43</v>
      </c>
      <c r="O25" s="9" t="s">
        <v>20</v>
      </c>
    </row>
    <row r="26" spans="1:15" s="11" customFormat="1" x14ac:dyDescent="0.35">
      <c r="A26" s="54" t="s">
        <v>182</v>
      </c>
      <c r="B26" s="55" t="s">
        <v>194</v>
      </c>
      <c r="C26" s="57">
        <v>1</v>
      </c>
      <c r="D26" s="57">
        <v>1</v>
      </c>
      <c r="E26" s="57">
        <v>40082.474226804123</v>
      </c>
      <c r="F26" s="57">
        <v>10.65</v>
      </c>
      <c r="G26" s="58">
        <v>70</v>
      </c>
      <c r="H26" s="59">
        <v>6790</v>
      </c>
      <c r="I26" s="60"/>
      <c r="N26" s="32" t="s">
        <v>162</v>
      </c>
      <c r="O26" s="32">
        <v>0</v>
      </c>
    </row>
    <row r="27" spans="1:15" s="11" customFormat="1" x14ac:dyDescent="0.35">
      <c r="A27" s="54" t="s">
        <v>182</v>
      </c>
      <c r="B27" s="55" t="s">
        <v>195</v>
      </c>
      <c r="C27" s="57">
        <v>1</v>
      </c>
      <c r="D27" s="57">
        <v>1</v>
      </c>
      <c r="E27" s="57">
        <v>52000</v>
      </c>
      <c r="F27" s="57">
        <v>10.4</v>
      </c>
      <c r="G27" s="58">
        <v>72</v>
      </c>
      <c r="H27" s="59">
        <v>72</v>
      </c>
      <c r="I27" s="60"/>
      <c r="N27" s="32" t="s">
        <v>161</v>
      </c>
      <c r="O27" s="32">
        <v>1.55</v>
      </c>
    </row>
    <row r="28" spans="1:15" s="11" customFormat="1" x14ac:dyDescent="0.35">
      <c r="A28" s="54" t="s">
        <v>182</v>
      </c>
      <c r="B28" s="55" t="s">
        <v>196</v>
      </c>
      <c r="C28" s="57">
        <v>1</v>
      </c>
      <c r="D28" s="57">
        <v>1</v>
      </c>
      <c r="E28" s="57">
        <v>52000</v>
      </c>
      <c r="F28" s="57">
        <v>10.4</v>
      </c>
      <c r="G28" s="58">
        <v>72</v>
      </c>
      <c r="H28" s="59">
        <v>72</v>
      </c>
      <c r="I28" s="60"/>
      <c r="N28" s="32" t="s">
        <v>129</v>
      </c>
      <c r="O28" s="32" t="s">
        <v>100</v>
      </c>
    </row>
    <row r="29" spans="1:15" s="11" customFormat="1" x14ac:dyDescent="0.35">
      <c r="A29" s="54" t="s">
        <v>182</v>
      </c>
      <c r="B29" s="55" t="s">
        <v>197</v>
      </c>
      <c r="C29" s="57">
        <v>1</v>
      </c>
      <c r="D29" s="57">
        <v>1</v>
      </c>
      <c r="E29" s="57">
        <v>52000</v>
      </c>
      <c r="F29" s="57">
        <v>10.4</v>
      </c>
      <c r="G29" s="58">
        <v>72</v>
      </c>
      <c r="H29" s="59">
        <v>72</v>
      </c>
      <c r="I29" s="60"/>
    </row>
    <row r="30" spans="1:15" s="11" customFormat="1" x14ac:dyDescent="0.35">
      <c r="A30" s="54" t="s">
        <v>182</v>
      </c>
      <c r="B30" s="55" t="s">
        <v>198</v>
      </c>
      <c r="C30" s="57">
        <v>1</v>
      </c>
      <c r="D30" s="57">
        <v>1</v>
      </c>
      <c r="E30" s="57">
        <v>52000</v>
      </c>
      <c r="F30" s="57">
        <v>10.4</v>
      </c>
      <c r="G30" s="58">
        <v>72</v>
      </c>
      <c r="H30" s="59">
        <v>72</v>
      </c>
      <c r="I30" s="60"/>
    </row>
    <row r="31" spans="1:15" s="11" customFormat="1" x14ac:dyDescent="0.35">
      <c r="A31" s="54" t="s">
        <v>182</v>
      </c>
      <c r="B31" s="55" t="s">
        <v>199</v>
      </c>
      <c r="C31" s="57">
        <v>1</v>
      </c>
      <c r="D31" s="57">
        <v>1</v>
      </c>
      <c r="E31" s="57">
        <v>52000</v>
      </c>
      <c r="F31" s="57">
        <v>10.4</v>
      </c>
      <c r="G31" s="58">
        <v>72</v>
      </c>
      <c r="H31" s="59">
        <v>72</v>
      </c>
      <c r="I31" s="60"/>
    </row>
    <row r="32" spans="1:15" s="11" customFormat="1" x14ac:dyDescent="0.35">
      <c r="A32" s="54" t="s">
        <v>182</v>
      </c>
      <c r="B32" s="55" t="s">
        <v>200</v>
      </c>
      <c r="C32" s="57">
        <v>1</v>
      </c>
      <c r="D32" s="57">
        <v>1</v>
      </c>
      <c r="E32" s="57">
        <v>52000</v>
      </c>
      <c r="F32" s="57">
        <v>10.4</v>
      </c>
      <c r="G32" s="58">
        <v>72</v>
      </c>
      <c r="H32" s="59">
        <v>72</v>
      </c>
      <c r="I32" s="60"/>
    </row>
    <row r="33" spans="1:9" s="11" customFormat="1" x14ac:dyDescent="0.35">
      <c r="A33" s="54" t="s">
        <v>182</v>
      </c>
      <c r="B33" s="55" t="s">
        <v>201</v>
      </c>
      <c r="C33" s="57">
        <v>1</v>
      </c>
      <c r="D33" s="57">
        <v>1</v>
      </c>
      <c r="E33" s="57">
        <v>37060.377358490565</v>
      </c>
      <c r="F33" s="57">
        <v>13.790000000000001</v>
      </c>
      <c r="G33" s="58">
        <v>40</v>
      </c>
      <c r="H33" s="59">
        <v>10600</v>
      </c>
      <c r="I33" s="60"/>
    </row>
    <row r="34" spans="1:9" s="11" customFormat="1" x14ac:dyDescent="0.35">
      <c r="A34" s="54" t="s">
        <v>182</v>
      </c>
      <c r="B34" s="55" t="s">
        <v>202</v>
      </c>
      <c r="C34" s="57">
        <v>1</v>
      </c>
      <c r="D34" s="57">
        <v>1</v>
      </c>
      <c r="E34" s="57">
        <v>37000</v>
      </c>
      <c r="F34" s="57">
        <v>13.79</v>
      </c>
      <c r="G34" s="58">
        <v>40</v>
      </c>
      <c r="H34" s="59">
        <v>40</v>
      </c>
      <c r="I34" s="60"/>
    </row>
    <row r="35" spans="1:9" s="11" customFormat="1" x14ac:dyDescent="0.35">
      <c r="A35" s="54" t="s">
        <v>182</v>
      </c>
      <c r="B35" s="55" t="s">
        <v>203</v>
      </c>
      <c r="C35" s="57">
        <v>1</v>
      </c>
      <c r="D35" s="57">
        <v>1</v>
      </c>
      <c r="E35" s="57">
        <v>37000</v>
      </c>
      <c r="F35" s="57">
        <v>13.79</v>
      </c>
      <c r="G35" s="58">
        <v>40</v>
      </c>
      <c r="H35" s="59">
        <v>40</v>
      </c>
      <c r="I35" s="60"/>
    </row>
    <row r="36" spans="1:9" s="11" customFormat="1" x14ac:dyDescent="0.35">
      <c r="A36" s="54" t="s">
        <v>182</v>
      </c>
      <c r="B36" s="55" t="s">
        <v>204</v>
      </c>
      <c r="C36" s="57">
        <v>1</v>
      </c>
      <c r="D36" s="57">
        <v>1</v>
      </c>
      <c r="E36" s="57">
        <v>37060.702875399358</v>
      </c>
      <c r="F36" s="57">
        <v>13.790000000000001</v>
      </c>
      <c r="G36" s="58">
        <v>40</v>
      </c>
      <c r="H36" s="59">
        <v>12520</v>
      </c>
      <c r="I36" s="60"/>
    </row>
    <row r="37" spans="1:9" s="11" customFormat="1" x14ac:dyDescent="0.35">
      <c r="A37" s="54" t="s">
        <v>182</v>
      </c>
      <c r="B37" s="55" t="s">
        <v>205</v>
      </c>
      <c r="C37" s="57">
        <v>1</v>
      </c>
      <c r="D37" s="57">
        <v>1</v>
      </c>
      <c r="E37" s="57">
        <v>37000</v>
      </c>
      <c r="F37" s="57">
        <v>13.79</v>
      </c>
      <c r="G37" s="58">
        <v>40</v>
      </c>
      <c r="H37" s="59">
        <v>40</v>
      </c>
      <c r="I37" s="60"/>
    </row>
    <row r="38" spans="1:9" s="11" customFormat="1" x14ac:dyDescent="0.35">
      <c r="A38" s="54" t="s">
        <v>182</v>
      </c>
      <c r="B38" s="55" t="s">
        <v>206</v>
      </c>
      <c r="C38" s="57">
        <v>1</v>
      </c>
      <c r="D38" s="57">
        <v>1</v>
      </c>
      <c r="E38" s="57">
        <v>37058.171745152358</v>
      </c>
      <c r="F38" s="57">
        <v>13.790000000000001</v>
      </c>
      <c r="G38" s="58">
        <v>40</v>
      </c>
      <c r="H38" s="59">
        <v>14440</v>
      </c>
      <c r="I38" s="60"/>
    </row>
    <row r="39" spans="1:9" s="11" customFormat="1" x14ac:dyDescent="0.35">
      <c r="A39" s="54" t="s">
        <v>182</v>
      </c>
      <c r="B39" s="55" t="s">
        <v>207</v>
      </c>
      <c r="C39" s="57">
        <v>1</v>
      </c>
      <c r="D39" s="57">
        <v>1</v>
      </c>
      <c r="E39" s="57">
        <v>30181.818181818177</v>
      </c>
      <c r="F39" s="57">
        <v>14.950000000000001</v>
      </c>
      <c r="G39" s="58">
        <v>24</v>
      </c>
      <c r="H39" s="59">
        <v>12144</v>
      </c>
      <c r="I39" s="60"/>
    </row>
    <row r="40" spans="1:9" s="11" customFormat="1" x14ac:dyDescent="0.35">
      <c r="A40" s="54" t="s">
        <v>182</v>
      </c>
      <c r="B40" s="55" t="s">
        <v>208</v>
      </c>
      <c r="C40" s="57">
        <v>1</v>
      </c>
      <c r="D40" s="57">
        <v>1</v>
      </c>
      <c r="E40" s="57">
        <v>30183.937823834196</v>
      </c>
      <c r="F40" s="57">
        <v>14.950000000000001</v>
      </c>
      <c r="G40" s="58">
        <v>24</v>
      </c>
      <c r="H40" s="59">
        <v>9264</v>
      </c>
      <c r="I40" s="60"/>
    </row>
    <row r="41" spans="1:9" s="11" customFormat="1" x14ac:dyDescent="0.35">
      <c r="A41" s="54" t="s">
        <v>182</v>
      </c>
      <c r="B41" s="55" t="s">
        <v>209</v>
      </c>
      <c r="C41" s="57">
        <v>1</v>
      </c>
      <c r="D41" s="57">
        <v>1</v>
      </c>
      <c r="E41" s="57">
        <v>30000</v>
      </c>
      <c r="F41" s="57">
        <v>14.95</v>
      </c>
      <c r="G41" s="58">
        <v>24</v>
      </c>
      <c r="H41" s="59">
        <v>48</v>
      </c>
      <c r="I41" s="60"/>
    </row>
    <row r="42" spans="1:9" s="11" customFormat="1" x14ac:dyDescent="0.35">
      <c r="A42" s="54" t="s">
        <v>182</v>
      </c>
      <c r="B42" s="55" t="s">
        <v>210</v>
      </c>
      <c r="C42" s="57">
        <v>1</v>
      </c>
      <c r="D42" s="57">
        <v>1</v>
      </c>
      <c r="E42" s="57">
        <v>30183.706070287539</v>
      </c>
      <c r="F42" s="57">
        <v>14.950000000000001</v>
      </c>
      <c r="G42" s="58">
        <v>24</v>
      </c>
      <c r="H42" s="59">
        <v>15024</v>
      </c>
      <c r="I42" s="60"/>
    </row>
    <row r="43" spans="1:9" s="11" customFormat="1" x14ac:dyDescent="0.35">
      <c r="A43" s="54" t="s">
        <v>182</v>
      </c>
      <c r="B43" s="55" t="s">
        <v>211</v>
      </c>
      <c r="C43" s="57">
        <v>1</v>
      </c>
      <c r="D43" s="57">
        <v>1</v>
      </c>
      <c r="E43" s="57">
        <v>30000</v>
      </c>
      <c r="F43" s="57">
        <v>14.95</v>
      </c>
      <c r="G43" s="58">
        <v>24</v>
      </c>
      <c r="H43" s="59">
        <v>48</v>
      </c>
      <c r="I43" s="60"/>
    </row>
    <row r="44" spans="1:9" s="11" customFormat="1" x14ac:dyDescent="0.35">
      <c r="A44" s="54" t="s">
        <v>182</v>
      </c>
      <c r="B44" s="55" t="s">
        <v>212</v>
      </c>
      <c r="C44" s="57">
        <v>1</v>
      </c>
      <c r="D44" s="57">
        <v>1</v>
      </c>
      <c r="E44" s="57">
        <v>30183.794466403164</v>
      </c>
      <c r="F44" s="57">
        <v>14.950000000000001</v>
      </c>
      <c r="G44" s="58">
        <v>24</v>
      </c>
      <c r="H44" s="59">
        <v>12144</v>
      </c>
      <c r="I44" s="60"/>
    </row>
    <row r="45" spans="1:9" s="11" customFormat="1" x14ac:dyDescent="0.35">
      <c r="A45" s="54" t="s">
        <v>182</v>
      </c>
      <c r="B45" s="55" t="s">
        <v>213</v>
      </c>
      <c r="C45" s="57">
        <v>1</v>
      </c>
      <c r="D45" s="57">
        <v>1</v>
      </c>
      <c r="E45" s="57">
        <v>51000</v>
      </c>
      <c r="F45" s="57">
        <v>4.63</v>
      </c>
      <c r="G45" s="58">
        <v>84</v>
      </c>
      <c r="H45" s="59">
        <v>84</v>
      </c>
      <c r="I45" s="60"/>
    </row>
    <row r="46" spans="1:9" s="11" customFormat="1" x14ac:dyDescent="0.35">
      <c r="A46" s="54" t="s">
        <v>182</v>
      </c>
      <c r="B46" s="55" t="s">
        <v>214</v>
      </c>
      <c r="C46" s="57">
        <v>1</v>
      </c>
      <c r="D46" s="57">
        <v>1</v>
      </c>
      <c r="E46" s="57">
        <v>51000</v>
      </c>
      <c r="F46" s="57">
        <v>4.63</v>
      </c>
      <c r="G46" s="58">
        <v>84</v>
      </c>
      <c r="H46" s="59">
        <v>84</v>
      </c>
      <c r="I46" s="60"/>
    </row>
    <row r="47" spans="1:9" s="11" customFormat="1" x14ac:dyDescent="0.35">
      <c r="A47" s="54" t="s">
        <v>182</v>
      </c>
      <c r="B47" s="55" t="s">
        <v>215</v>
      </c>
      <c r="C47" s="57">
        <v>1</v>
      </c>
      <c r="D47" s="57">
        <v>1</v>
      </c>
      <c r="E47" s="57">
        <v>51000</v>
      </c>
      <c r="F47" s="57">
        <v>4.63</v>
      </c>
      <c r="G47" s="58">
        <v>84</v>
      </c>
      <c r="H47" s="59">
        <v>84</v>
      </c>
      <c r="I47" s="60"/>
    </row>
    <row r="48" spans="1:9" s="11" customFormat="1" x14ac:dyDescent="0.35">
      <c r="A48" s="54" t="s">
        <v>182</v>
      </c>
      <c r="B48" s="55" t="s">
        <v>216</v>
      </c>
      <c r="C48" s="57">
        <v>1</v>
      </c>
      <c r="D48" s="57">
        <v>1</v>
      </c>
      <c r="E48" s="57">
        <v>51000</v>
      </c>
      <c r="F48" s="57">
        <v>4.63</v>
      </c>
      <c r="G48" s="58">
        <v>84</v>
      </c>
      <c r="H48" s="59">
        <v>84</v>
      </c>
      <c r="I48" s="60"/>
    </row>
    <row r="49" spans="1:9" s="11" customFormat="1" x14ac:dyDescent="0.35">
      <c r="A49" s="54" t="s">
        <v>182</v>
      </c>
      <c r="B49" s="55" t="s">
        <v>217</v>
      </c>
      <c r="C49" s="57">
        <v>1</v>
      </c>
      <c r="D49" s="57">
        <v>1</v>
      </c>
      <c r="E49" s="57">
        <v>51000</v>
      </c>
      <c r="F49" s="57">
        <v>4.63</v>
      </c>
      <c r="G49" s="58">
        <v>84</v>
      </c>
      <c r="H49" s="59">
        <v>84</v>
      </c>
      <c r="I49" s="60"/>
    </row>
    <row r="50" spans="1:9" s="11" customFormat="1" x14ac:dyDescent="0.35">
      <c r="A50" s="54" t="s">
        <v>182</v>
      </c>
      <c r="B50" s="55" t="s">
        <v>218</v>
      </c>
      <c r="C50" s="57">
        <v>1</v>
      </c>
      <c r="D50" s="57">
        <v>1</v>
      </c>
      <c r="E50" s="57">
        <v>51000</v>
      </c>
      <c r="F50" s="57">
        <v>4.63</v>
      </c>
      <c r="G50" s="58">
        <v>84</v>
      </c>
      <c r="H50" s="59">
        <v>84</v>
      </c>
      <c r="I50" s="60"/>
    </row>
    <row r="51" spans="1:9" s="11" customFormat="1" x14ac:dyDescent="0.35">
      <c r="A51"/>
      <c r="B51"/>
      <c r="C51"/>
      <c r="D51"/>
      <c r="E51"/>
      <c r="F51"/>
      <c r="G51"/>
      <c r="H51"/>
      <c r="I51"/>
    </row>
    <row r="52" spans="1:9" s="11" customFormat="1" x14ac:dyDescent="0.35">
      <c r="A52"/>
      <c r="B52"/>
      <c r="C52"/>
      <c r="D52"/>
      <c r="E52"/>
      <c r="F52"/>
      <c r="G52"/>
      <c r="H52"/>
      <c r="I52"/>
    </row>
    <row r="53" spans="1:9" s="11" customFormat="1" x14ac:dyDescent="0.35">
      <c r="A53"/>
      <c r="B53"/>
      <c r="C53"/>
      <c r="D53"/>
      <c r="E53"/>
      <c r="F53"/>
      <c r="G53"/>
      <c r="H53"/>
      <c r="I53"/>
    </row>
    <row r="54" spans="1:9" s="11" customFormat="1" x14ac:dyDescent="0.35">
      <c r="A54"/>
      <c r="B54"/>
      <c r="C54"/>
      <c r="D54"/>
      <c r="E54"/>
      <c r="F54"/>
      <c r="G54"/>
      <c r="H54"/>
      <c r="I54"/>
    </row>
    <row r="55" spans="1:9" s="11" customFormat="1" x14ac:dyDescent="0.35">
      <c r="A55"/>
      <c r="B55"/>
      <c r="C55"/>
      <c r="D55"/>
      <c r="E55"/>
      <c r="F55"/>
      <c r="G55"/>
      <c r="H55"/>
      <c r="I55"/>
    </row>
    <row r="56" spans="1:9" s="11" customFormat="1" x14ac:dyDescent="0.35">
      <c r="A56"/>
      <c r="B56"/>
      <c r="C56"/>
      <c r="D56"/>
      <c r="E56"/>
      <c r="F56"/>
      <c r="G56"/>
      <c r="H56"/>
      <c r="I56"/>
    </row>
    <row r="57" spans="1:9" s="11" customFormat="1" x14ac:dyDescent="0.35">
      <c r="A57"/>
      <c r="B57"/>
      <c r="C57"/>
      <c r="D57"/>
      <c r="E57"/>
      <c r="F57"/>
      <c r="G57"/>
      <c r="H57"/>
      <c r="I57"/>
    </row>
    <row r="58" spans="1:9" s="11" customFormat="1" x14ac:dyDescent="0.35">
      <c r="A58"/>
      <c r="B58"/>
      <c r="C58"/>
      <c r="D58"/>
      <c r="E58"/>
      <c r="F58"/>
      <c r="G58"/>
      <c r="H58"/>
      <c r="I58"/>
    </row>
    <row r="59" spans="1:9" s="11" customFormat="1" x14ac:dyDescent="0.35">
      <c r="A59"/>
      <c r="B59"/>
      <c r="C59"/>
      <c r="D59"/>
      <c r="E59"/>
      <c r="F59"/>
      <c r="G59"/>
      <c r="H59"/>
      <c r="I59"/>
    </row>
    <row r="60" spans="1:9" s="11" customFormat="1" x14ac:dyDescent="0.35">
      <c r="A60"/>
      <c r="B60"/>
      <c r="C60"/>
      <c r="D60"/>
      <c r="E60"/>
      <c r="F60"/>
      <c r="G60"/>
      <c r="H60"/>
      <c r="I60"/>
    </row>
    <row r="61" spans="1:9" s="11" customFormat="1" x14ac:dyDescent="0.35">
      <c r="A61"/>
      <c r="B61"/>
      <c r="C61"/>
      <c r="D61"/>
      <c r="E61"/>
      <c r="F61"/>
      <c r="G61"/>
      <c r="H61"/>
      <c r="I61"/>
    </row>
    <row r="62" spans="1:9" s="11" customFormat="1" x14ac:dyDescent="0.35">
      <c r="A62"/>
      <c r="B62"/>
      <c r="C62"/>
      <c r="D62"/>
      <c r="E62"/>
      <c r="F62"/>
      <c r="G62"/>
      <c r="H62"/>
      <c r="I62"/>
    </row>
    <row r="63" spans="1:9" s="11" customFormat="1" x14ac:dyDescent="0.35">
      <c r="A63"/>
      <c r="B63"/>
      <c r="C63"/>
      <c r="D63"/>
      <c r="E63"/>
      <c r="F63"/>
      <c r="G63"/>
      <c r="H63"/>
      <c r="I63"/>
    </row>
    <row r="64" spans="1:9" s="11" customFormat="1" x14ac:dyDescent="0.35">
      <c r="A64"/>
      <c r="B64"/>
      <c r="C64"/>
      <c r="D64"/>
      <c r="E64"/>
      <c r="F64"/>
      <c r="G64"/>
      <c r="H64"/>
      <c r="I64"/>
    </row>
    <row r="65" spans="1:9" s="11" customFormat="1" x14ac:dyDescent="0.35">
      <c r="A65"/>
      <c r="B65"/>
      <c r="C65"/>
      <c r="D65"/>
      <c r="E65"/>
      <c r="F65"/>
      <c r="G65"/>
      <c r="H65"/>
      <c r="I65"/>
    </row>
    <row r="66" spans="1:9" s="11" customFormat="1" x14ac:dyDescent="0.35">
      <c r="A66"/>
      <c r="B66"/>
      <c r="C66"/>
      <c r="D66"/>
      <c r="E66"/>
      <c r="F66"/>
      <c r="G66"/>
      <c r="H66"/>
      <c r="I66"/>
    </row>
    <row r="67" spans="1:9" s="11" customFormat="1" x14ac:dyDescent="0.35">
      <c r="A67"/>
      <c r="B67"/>
      <c r="C67"/>
      <c r="D67"/>
      <c r="E67"/>
      <c r="F67"/>
      <c r="G67"/>
      <c r="H67"/>
      <c r="I67"/>
    </row>
    <row r="68" spans="1:9" s="11" customFormat="1" x14ac:dyDescent="0.35">
      <c r="A68"/>
      <c r="B68"/>
      <c r="C68"/>
      <c r="D68"/>
      <c r="E68"/>
      <c r="F68"/>
      <c r="G68"/>
      <c r="H68"/>
      <c r="I68"/>
    </row>
    <row r="69" spans="1:9" s="11" customFormat="1" x14ac:dyDescent="0.35">
      <c r="A69"/>
      <c r="B69"/>
      <c r="C69"/>
      <c r="D69"/>
      <c r="E69"/>
      <c r="F69"/>
      <c r="G69"/>
      <c r="H69"/>
      <c r="I69"/>
    </row>
    <row r="70" spans="1:9" s="11" customFormat="1" x14ac:dyDescent="0.35">
      <c r="A70"/>
      <c r="B70"/>
      <c r="C70"/>
      <c r="D70"/>
      <c r="E70"/>
      <c r="F70"/>
      <c r="G70"/>
      <c r="H70"/>
      <c r="I70"/>
    </row>
    <row r="71" spans="1:9" s="11" customFormat="1" x14ac:dyDescent="0.35">
      <c r="A71"/>
      <c r="B71"/>
      <c r="C71"/>
      <c r="D71"/>
      <c r="E71"/>
      <c r="F71"/>
      <c r="G71"/>
      <c r="H71"/>
      <c r="I71"/>
    </row>
    <row r="72" spans="1:9" s="11" customFormat="1" x14ac:dyDescent="0.35">
      <c r="A72"/>
      <c r="B72"/>
      <c r="C72"/>
      <c r="D72"/>
      <c r="E72"/>
      <c r="F72"/>
      <c r="G72"/>
      <c r="H72"/>
      <c r="I72"/>
    </row>
    <row r="73" spans="1:9" s="11" customFormat="1" x14ac:dyDescent="0.35">
      <c r="A73"/>
      <c r="B73"/>
      <c r="C73"/>
      <c r="D73"/>
      <c r="E73"/>
      <c r="F73"/>
      <c r="G73"/>
      <c r="H73"/>
      <c r="I73"/>
    </row>
    <row r="74" spans="1:9" s="11" customFormat="1" x14ac:dyDescent="0.35">
      <c r="A74"/>
      <c r="B74"/>
      <c r="C74"/>
      <c r="D74"/>
      <c r="E74"/>
      <c r="F74"/>
      <c r="G74"/>
      <c r="H74"/>
      <c r="I74"/>
    </row>
    <row r="75" spans="1:9" s="11" customFormat="1" x14ac:dyDescent="0.35">
      <c r="A75"/>
      <c r="B75"/>
      <c r="C75"/>
      <c r="D75"/>
      <c r="E75"/>
      <c r="F75"/>
      <c r="G75"/>
      <c r="H75"/>
      <c r="I75"/>
    </row>
    <row r="76" spans="1:9" s="11" customFormat="1" x14ac:dyDescent="0.35">
      <c r="A76"/>
      <c r="B76"/>
      <c r="C76"/>
      <c r="D76"/>
      <c r="E76"/>
      <c r="F76"/>
      <c r="G76"/>
      <c r="H76"/>
      <c r="I76"/>
    </row>
    <row r="77" spans="1:9" s="11" customFormat="1" x14ac:dyDescent="0.35">
      <c r="A77"/>
      <c r="B77"/>
      <c r="C77"/>
      <c r="D77"/>
      <c r="E77"/>
      <c r="F77"/>
      <c r="G77"/>
      <c r="H77"/>
      <c r="I77"/>
    </row>
    <row r="78" spans="1:9" s="11" customFormat="1" x14ac:dyDescent="0.35">
      <c r="A78"/>
      <c r="B78"/>
      <c r="C78"/>
      <c r="D78"/>
      <c r="E78"/>
      <c r="F78"/>
      <c r="G78"/>
      <c r="H78"/>
      <c r="I78"/>
    </row>
    <row r="79" spans="1:9" s="11" customFormat="1" x14ac:dyDescent="0.35">
      <c r="A79"/>
      <c r="B79"/>
      <c r="C79"/>
      <c r="D79"/>
      <c r="E79"/>
      <c r="F79"/>
      <c r="G79"/>
      <c r="H79"/>
      <c r="I79"/>
    </row>
    <row r="80" spans="1:9" s="11" customFormat="1" x14ac:dyDescent="0.35">
      <c r="A80"/>
      <c r="B80"/>
      <c r="C80"/>
      <c r="D80"/>
      <c r="E80"/>
      <c r="F80"/>
      <c r="G80"/>
      <c r="H80"/>
      <c r="I80"/>
    </row>
    <row r="81" spans="1:9" s="11" customFormat="1" x14ac:dyDescent="0.35">
      <c r="A81"/>
      <c r="B81"/>
      <c r="C81"/>
      <c r="D81"/>
      <c r="E81"/>
      <c r="F81"/>
      <c r="G81"/>
      <c r="H81"/>
      <c r="I81"/>
    </row>
    <row r="82" spans="1:9" s="11" customFormat="1" x14ac:dyDescent="0.35">
      <c r="A82"/>
      <c r="B82"/>
      <c r="C82"/>
      <c r="D82"/>
      <c r="E82"/>
      <c r="F82"/>
      <c r="G82"/>
      <c r="H82"/>
      <c r="I82"/>
    </row>
    <row r="83" spans="1:9" s="11" customFormat="1" x14ac:dyDescent="0.35">
      <c r="A83"/>
      <c r="B83"/>
      <c r="C83"/>
      <c r="D83"/>
      <c r="E83"/>
      <c r="F83"/>
      <c r="G83"/>
      <c r="H83"/>
      <c r="I83"/>
    </row>
    <row r="84" spans="1:9" s="11" customFormat="1" x14ac:dyDescent="0.35">
      <c r="A84"/>
      <c r="B84"/>
      <c r="C84"/>
      <c r="D84"/>
      <c r="E84"/>
      <c r="F84"/>
      <c r="G84"/>
      <c r="H84"/>
      <c r="I84"/>
    </row>
    <row r="85" spans="1:9" s="11" customFormat="1" x14ac:dyDescent="0.35">
      <c r="A85"/>
      <c r="B85"/>
      <c r="C85"/>
      <c r="D85"/>
      <c r="E85"/>
      <c r="F85"/>
      <c r="G85"/>
      <c r="H85"/>
      <c r="I85"/>
    </row>
    <row r="86" spans="1:9" s="11" customFormat="1" x14ac:dyDescent="0.35">
      <c r="A86"/>
      <c r="B86"/>
      <c r="C86"/>
      <c r="D86"/>
      <c r="E86"/>
      <c r="F86"/>
      <c r="G86"/>
      <c r="H86"/>
      <c r="I86"/>
    </row>
    <row r="87" spans="1:9" s="11" customFormat="1" x14ac:dyDescent="0.35">
      <c r="A87"/>
      <c r="B87"/>
      <c r="C87"/>
      <c r="D87"/>
      <c r="E87"/>
      <c r="F87"/>
      <c r="G87"/>
      <c r="H87"/>
      <c r="I87"/>
    </row>
    <row r="88" spans="1:9" s="11" customFormat="1" x14ac:dyDescent="0.35">
      <c r="A88"/>
      <c r="B88"/>
      <c r="C88"/>
      <c r="D88"/>
      <c r="E88"/>
      <c r="F88"/>
      <c r="G88"/>
      <c r="H88"/>
      <c r="I88"/>
    </row>
    <row r="89" spans="1:9" s="11" customFormat="1" x14ac:dyDescent="0.35">
      <c r="A89"/>
      <c r="B89"/>
      <c r="C89"/>
      <c r="D89"/>
      <c r="E89"/>
      <c r="F89"/>
      <c r="G89"/>
      <c r="H89"/>
      <c r="I89"/>
    </row>
    <row r="90" spans="1:9" s="11" customFormat="1" x14ac:dyDescent="0.35">
      <c r="A90"/>
      <c r="B90"/>
      <c r="C90"/>
      <c r="D90"/>
      <c r="E90"/>
      <c r="F90"/>
      <c r="G90"/>
      <c r="H90"/>
      <c r="I90"/>
    </row>
    <row r="91" spans="1:9" s="11" customFormat="1" x14ac:dyDescent="0.35">
      <c r="A91"/>
      <c r="B91"/>
      <c r="C91"/>
      <c r="D91"/>
      <c r="E91"/>
      <c r="F91"/>
      <c r="G91"/>
      <c r="H91"/>
      <c r="I91"/>
    </row>
    <row r="92" spans="1:9" s="11" customFormat="1" x14ac:dyDescent="0.35">
      <c r="A92"/>
      <c r="B92"/>
      <c r="C92"/>
      <c r="D92"/>
      <c r="E92"/>
      <c r="F92"/>
      <c r="G92"/>
      <c r="H92"/>
      <c r="I92"/>
    </row>
    <row r="93" spans="1:9" s="11" customFormat="1" x14ac:dyDescent="0.35">
      <c r="A93"/>
      <c r="B93"/>
      <c r="C93"/>
      <c r="D93"/>
      <c r="E93"/>
      <c r="F93"/>
      <c r="G93"/>
      <c r="H93"/>
      <c r="I93"/>
    </row>
    <row r="94" spans="1:9" s="11" customFormat="1" x14ac:dyDescent="0.35">
      <c r="A94"/>
      <c r="B94"/>
      <c r="C94"/>
      <c r="D94"/>
      <c r="E94"/>
      <c r="F94"/>
      <c r="G94"/>
      <c r="H94"/>
      <c r="I94"/>
    </row>
    <row r="95" spans="1:9" s="11" customFormat="1" x14ac:dyDescent="0.35">
      <c r="A95"/>
      <c r="B95"/>
      <c r="C95"/>
      <c r="D95"/>
      <c r="E95"/>
      <c r="F95"/>
      <c r="G95"/>
      <c r="H95"/>
      <c r="I95"/>
    </row>
    <row r="96" spans="1:9" s="11" customFormat="1" x14ac:dyDescent="0.35">
      <c r="A96"/>
      <c r="B96"/>
      <c r="C96"/>
      <c r="D96"/>
      <c r="E96"/>
      <c r="F96"/>
      <c r="G96"/>
      <c r="H96"/>
      <c r="I96"/>
    </row>
    <row r="97" spans="1:9" s="11" customFormat="1" x14ac:dyDescent="0.35">
      <c r="A97"/>
      <c r="B97"/>
      <c r="C97"/>
      <c r="D97"/>
      <c r="E97"/>
      <c r="F97"/>
      <c r="G97"/>
      <c r="H97"/>
      <c r="I97"/>
    </row>
    <row r="98" spans="1:9" s="11" customFormat="1" x14ac:dyDescent="0.35">
      <c r="A98"/>
      <c r="B98"/>
      <c r="C98"/>
      <c r="D98"/>
      <c r="E98"/>
      <c r="F98"/>
      <c r="G98"/>
      <c r="H98"/>
      <c r="I98"/>
    </row>
    <row r="99" spans="1:9" s="11" customFormat="1" x14ac:dyDescent="0.35">
      <c r="A99"/>
      <c r="B99"/>
      <c r="C99"/>
      <c r="D99"/>
      <c r="E99"/>
      <c r="F99"/>
      <c r="G99"/>
      <c r="H99"/>
      <c r="I99"/>
    </row>
    <row r="100" spans="1:9" s="11" customFormat="1" x14ac:dyDescent="0.35">
      <c r="A100"/>
      <c r="B100"/>
      <c r="C100"/>
      <c r="D100"/>
      <c r="E100"/>
      <c r="F100"/>
      <c r="G100"/>
      <c r="H100"/>
      <c r="I100"/>
    </row>
    <row r="101" spans="1:9" s="11" customFormat="1" x14ac:dyDescent="0.35">
      <c r="A101"/>
      <c r="B101"/>
      <c r="C101"/>
      <c r="D101"/>
      <c r="E101"/>
      <c r="F101"/>
      <c r="G101"/>
      <c r="H101"/>
      <c r="I101"/>
    </row>
    <row r="102" spans="1:9" s="11" customFormat="1" x14ac:dyDescent="0.35">
      <c r="A102"/>
      <c r="B102"/>
      <c r="C102"/>
      <c r="D102"/>
      <c r="E102"/>
      <c r="F102"/>
      <c r="G102"/>
      <c r="H102"/>
      <c r="I102"/>
    </row>
    <row r="103" spans="1:9" s="11" customFormat="1" x14ac:dyDescent="0.35">
      <c r="A103"/>
      <c r="B103"/>
      <c r="C103"/>
      <c r="D103"/>
      <c r="E103"/>
      <c r="F103"/>
      <c r="G103"/>
      <c r="H103"/>
      <c r="I103"/>
    </row>
    <row r="104" spans="1:9" s="11" customFormat="1" x14ac:dyDescent="0.35">
      <c r="A104"/>
      <c r="B104"/>
      <c r="C104"/>
      <c r="D104"/>
      <c r="E104"/>
      <c r="F104"/>
      <c r="G104"/>
      <c r="H104"/>
      <c r="I104"/>
    </row>
    <row r="105" spans="1:9" s="11" customFormat="1" x14ac:dyDescent="0.35">
      <c r="A105"/>
      <c r="B105"/>
      <c r="C105"/>
      <c r="D105"/>
      <c r="E105"/>
      <c r="F105"/>
      <c r="G105"/>
      <c r="H105"/>
      <c r="I105"/>
    </row>
    <row r="106" spans="1:9" s="11" customFormat="1" x14ac:dyDescent="0.35">
      <c r="A106"/>
      <c r="B106"/>
      <c r="C106"/>
      <c r="D106"/>
      <c r="E106"/>
      <c r="F106"/>
      <c r="G106"/>
      <c r="H106"/>
      <c r="I106"/>
    </row>
    <row r="107" spans="1:9" s="11" customFormat="1" x14ac:dyDescent="0.35">
      <c r="A107"/>
      <c r="B107"/>
      <c r="C107"/>
      <c r="D107"/>
      <c r="E107"/>
      <c r="F107"/>
      <c r="G107"/>
      <c r="H107"/>
      <c r="I107"/>
    </row>
    <row r="108" spans="1:9" s="11" customFormat="1" x14ac:dyDescent="0.35">
      <c r="A108"/>
      <c r="B108"/>
      <c r="C108"/>
      <c r="D108"/>
      <c r="E108"/>
      <c r="F108"/>
      <c r="G108"/>
      <c r="H108"/>
      <c r="I108"/>
    </row>
    <row r="109" spans="1:9" s="11" customFormat="1" x14ac:dyDescent="0.35">
      <c r="A109"/>
      <c r="B109"/>
      <c r="C109"/>
      <c r="D109"/>
      <c r="E109"/>
      <c r="F109"/>
      <c r="G109"/>
      <c r="H109"/>
      <c r="I109"/>
    </row>
    <row r="110" spans="1:9" s="11" customFormat="1" x14ac:dyDescent="0.35">
      <c r="A110"/>
      <c r="B110"/>
      <c r="C110"/>
      <c r="D110"/>
      <c r="E110"/>
      <c r="F110"/>
      <c r="G110"/>
      <c r="H110"/>
      <c r="I110"/>
    </row>
    <row r="111" spans="1:9" s="11" customFormat="1" x14ac:dyDescent="0.35">
      <c r="A111"/>
      <c r="B111"/>
      <c r="C111"/>
      <c r="D111"/>
      <c r="E111"/>
      <c r="F111"/>
      <c r="G111"/>
      <c r="H111"/>
      <c r="I111"/>
    </row>
    <row r="112" spans="1:9" s="11" customFormat="1" x14ac:dyDescent="0.35">
      <c r="A112"/>
      <c r="B112"/>
      <c r="C112"/>
      <c r="D112"/>
      <c r="E112"/>
      <c r="F112"/>
      <c r="G112"/>
      <c r="H112"/>
      <c r="I112"/>
    </row>
    <row r="113" spans="1:9" s="11" customFormat="1" x14ac:dyDescent="0.35">
      <c r="A113"/>
      <c r="B113"/>
      <c r="C113"/>
      <c r="D113"/>
      <c r="E113"/>
      <c r="F113"/>
      <c r="G113"/>
      <c r="H113"/>
      <c r="I113"/>
    </row>
    <row r="114" spans="1:9" s="11" customFormat="1" x14ac:dyDescent="0.35">
      <c r="A114"/>
      <c r="B114"/>
      <c r="C114"/>
      <c r="D114"/>
      <c r="E114"/>
      <c r="F114"/>
      <c r="G114"/>
      <c r="H114"/>
      <c r="I114"/>
    </row>
    <row r="115" spans="1:9" s="11" customFormat="1" x14ac:dyDescent="0.35">
      <c r="A115"/>
      <c r="B115"/>
      <c r="C115"/>
      <c r="D115"/>
      <c r="E115"/>
      <c r="F115"/>
      <c r="G115"/>
      <c r="H115"/>
      <c r="I115"/>
    </row>
    <row r="116" spans="1:9" s="11" customFormat="1" x14ac:dyDescent="0.35">
      <c r="A116"/>
      <c r="B116"/>
      <c r="C116"/>
      <c r="D116"/>
      <c r="E116"/>
      <c r="F116"/>
      <c r="G116"/>
      <c r="H116"/>
      <c r="I116"/>
    </row>
    <row r="117" spans="1:9" s="11" customFormat="1" x14ac:dyDescent="0.35">
      <c r="A117"/>
      <c r="B117"/>
      <c r="C117"/>
      <c r="D117"/>
      <c r="E117"/>
      <c r="F117"/>
      <c r="G117"/>
      <c r="H117"/>
      <c r="I117"/>
    </row>
    <row r="118" spans="1:9" s="11" customFormat="1" x14ac:dyDescent="0.35">
      <c r="A118"/>
      <c r="B118"/>
      <c r="C118"/>
      <c r="D118"/>
      <c r="E118"/>
      <c r="F118"/>
      <c r="G118"/>
      <c r="H118"/>
      <c r="I118"/>
    </row>
    <row r="119" spans="1:9" s="11" customFormat="1" x14ac:dyDescent="0.35">
      <c r="A119"/>
      <c r="B119"/>
      <c r="C119"/>
      <c r="D119"/>
      <c r="E119"/>
      <c r="F119"/>
      <c r="G119"/>
      <c r="H119"/>
      <c r="I119"/>
    </row>
    <row r="120" spans="1:9" s="11" customFormat="1" x14ac:dyDescent="0.35">
      <c r="A120"/>
      <c r="B120"/>
      <c r="C120"/>
      <c r="D120"/>
      <c r="E120"/>
      <c r="F120"/>
      <c r="G120"/>
      <c r="H120"/>
      <c r="I120"/>
    </row>
    <row r="121" spans="1:9" s="11" customFormat="1" x14ac:dyDescent="0.35">
      <c r="A121"/>
      <c r="B121"/>
      <c r="C121"/>
      <c r="D121"/>
      <c r="E121"/>
      <c r="F121"/>
      <c r="G121"/>
      <c r="H121"/>
      <c r="I121"/>
    </row>
    <row r="122" spans="1:9" s="11" customFormat="1" x14ac:dyDescent="0.35">
      <c r="A122"/>
      <c r="B122"/>
      <c r="C122"/>
      <c r="D122"/>
      <c r="E122"/>
      <c r="F122"/>
      <c r="G122"/>
      <c r="H122"/>
      <c r="I122"/>
    </row>
    <row r="123" spans="1:9" s="11" customFormat="1" x14ac:dyDescent="0.35">
      <c r="A123"/>
      <c r="B123"/>
      <c r="C123"/>
      <c r="D123"/>
      <c r="E123"/>
      <c r="F123"/>
      <c r="G123"/>
      <c r="H123"/>
      <c r="I123"/>
    </row>
    <row r="124" spans="1:9" s="11" customFormat="1" x14ac:dyDescent="0.35">
      <c r="A124"/>
      <c r="B124"/>
      <c r="C124"/>
      <c r="D124"/>
      <c r="E124"/>
      <c r="F124"/>
      <c r="G124"/>
      <c r="H124"/>
      <c r="I124"/>
    </row>
    <row r="125" spans="1:9" s="11" customFormat="1" x14ac:dyDescent="0.35">
      <c r="A125"/>
      <c r="B125"/>
      <c r="C125"/>
      <c r="D125"/>
      <c r="E125"/>
      <c r="F125"/>
      <c r="G125"/>
      <c r="H125"/>
      <c r="I125"/>
    </row>
    <row r="126" spans="1:9" s="11" customFormat="1" x14ac:dyDescent="0.35">
      <c r="A126"/>
      <c r="B126"/>
      <c r="C126"/>
      <c r="D126"/>
      <c r="E126"/>
      <c r="F126"/>
      <c r="G126"/>
      <c r="H126"/>
      <c r="I126"/>
    </row>
    <row r="127" spans="1:9" s="11" customFormat="1" x14ac:dyDescent="0.35">
      <c r="A127"/>
      <c r="B127"/>
      <c r="C127"/>
      <c r="D127"/>
      <c r="E127"/>
      <c r="F127"/>
      <c r="G127"/>
      <c r="H127"/>
      <c r="I127"/>
    </row>
    <row r="128" spans="1:9" s="11" customFormat="1" x14ac:dyDescent="0.35">
      <c r="A128"/>
      <c r="B128"/>
      <c r="C128"/>
      <c r="D128"/>
      <c r="E128"/>
      <c r="F128"/>
      <c r="G128"/>
      <c r="H128"/>
      <c r="I128"/>
    </row>
    <row r="129" spans="1:9" s="11" customFormat="1" x14ac:dyDescent="0.35">
      <c r="A129"/>
      <c r="B129"/>
      <c r="C129"/>
      <c r="D129"/>
      <c r="E129"/>
      <c r="F129"/>
      <c r="G129"/>
      <c r="H129"/>
      <c r="I129"/>
    </row>
    <row r="130" spans="1:9" s="11" customFormat="1" x14ac:dyDescent="0.35">
      <c r="A130"/>
      <c r="B130"/>
      <c r="C130"/>
      <c r="D130"/>
      <c r="E130"/>
      <c r="F130"/>
      <c r="G130"/>
      <c r="H130"/>
      <c r="I130"/>
    </row>
    <row r="131" spans="1:9" s="11" customFormat="1" x14ac:dyDescent="0.35">
      <c r="A131"/>
      <c r="B131"/>
      <c r="C131"/>
      <c r="D131"/>
      <c r="E131"/>
      <c r="F131"/>
      <c r="G131"/>
      <c r="H131"/>
      <c r="I131"/>
    </row>
    <row r="132" spans="1:9" s="11" customFormat="1" x14ac:dyDescent="0.35">
      <c r="A132"/>
      <c r="B132"/>
      <c r="C132"/>
      <c r="D132"/>
      <c r="E132"/>
      <c r="F132"/>
      <c r="G132"/>
      <c r="H132"/>
      <c r="I132"/>
    </row>
    <row r="133" spans="1:9" s="11" customFormat="1" x14ac:dyDescent="0.35">
      <c r="A133"/>
      <c r="B133"/>
      <c r="C133"/>
      <c r="D133"/>
      <c r="E133"/>
      <c r="F133"/>
      <c r="G133"/>
      <c r="H133"/>
      <c r="I133"/>
    </row>
    <row r="134" spans="1:9" s="11" customFormat="1" x14ac:dyDescent="0.35">
      <c r="A134"/>
      <c r="B134"/>
      <c r="C134"/>
      <c r="D134"/>
      <c r="E134"/>
      <c r="F134"/>
      <c r="G134"/>
      <c r="H134"/>
      <c r="I134"/>
    </row>
    <row r="135" spans="1:9" s="11" customFormat="1" x14ac:dyDescent="0.35">
      <c r="A135"/>
      <c r="B135"/>
      <c r="C135"/>
      <c r="D135"/>
      <c r="E135"/>
      <c r="F135"/>
      <c r="G135"/>
      <c r="H135"/>
      <c r="I135"/>
    </row>
    <row r="136" spans="1:9" s="11" customFormat="1" x14ac:dyDescent="0.35">
      <c r="A136"/>
      <c r="B136"/>
      <c r="C136"/>
      <c r="D136"/>
      <c r="E136"/>
      <c r="F136"/>
      <c r="G136"/>
      <c r="H136"/>
      <c r="I136"/>
    </row>
    <row r="137" spans="1:9" s="11" customFormat="1" x14ac:dyDescent="0.35">
      <c r="A137"/>
      <c r="B137"/>
      <c r="C137"/>
      <c r="D137"/>
      <c r="E137"/>
      <c r="F137"/>
      <c r="G137"/>
      <c r="H137"/>
      <c r="I137"/>
    </row>
    <row r="138" spans="1:9" s="11" customFormat="1" x14ac:dyDescent="0.35">
      <c r="A138"/>
      <c r="B138"/>
      <c r="C138"/>
      <c r="D138"/>
      <c r="E138"/>
      <c r="F138"/>
      <c r="G138"/>
      <c r="H138"/>
      <c r="I138"/>
    </row>
    <row r="139" spans="1:9" s="11" customFormat="1" x14ac:dyDescent="0.35">
      <c r="A139"/>
      <c r="B139"/>
      <c r="C139"/>
      <c r="D139"/>
      <c r="E139"/>
      <c r="F139"/>
      <c r="G139"/>
      <c r="H139"/>
      <c r="I139"/>
    </row>
    <row r="140" spans="1:9" s="11" customFormat="1" x14ac:dyDescent="0.35">
      <c r="A140"/>
      <c r="B140"/>
      <c r="C140"/>
      <c r="D140"/>
      <c r="E140"/>
      <c r="F140"/>
      <c r="G140"/>
      <c r="H140"/>
      <c r="I140"/>
    </row>
    <row r="141" spans="1:9" s="11" customFormat="1" x14ac:dyDescent="0.35">
      <c r="A141"/>
      <c r="B141"/>
      <c r="C141"/>
      <c r="D141"/>
      <c r="E141"/>
      <c r="F141"/>
      <c r="G141"/>
      <c r="H141"/>
      <c r="I141"/>
    </row>
    <row r="142" spans="1:9" s="11" customFormat="1" x14ac:dyDescent="0.35">
      <c r="A142"/>
      <c r="B142"/>
      <c r="C142"/>
      <c r="D142"/>
      <c r="E142"/>
      <c r="F142"/>
      <c r="G142"/>
      <c r="H142"/>
      <c r="I142"/>
    </row>
    <row r="143" spans="1:9" s="11" customFormat="1" x14ac:dyDescent="0.35">
      <c r="A143"/>
      <c r="B143"/>
      <c r="C143"/>
      <c r="D143"/>
      <c r="E143"/>
      <c r="F143"/>
      <c r="G143"/>
      <c r="H143"/>
      <c r="I143"/>
    </row>
    <row r="144" spans="1:9" s="11" customFormat="1" x14ac:dyDescent="0.35">
      <c r="A144"/>
      <c r="B144"/>
      <c r="C144"/>
      <c r="D144"/>
      <c r="E144"/>
      <c r="F144"/>
      <c r="G144"/>
      <c r="H144"/>
      <c r="I144"/>
    </row>
    <row r="145" spans="1:9" s="11" customFormat="1" x14ac:dyDescent="0.35">
      <c r="A145"/>
      <c r="B145"/>
      <c r="C145"/>
      <c r="D145"/>
      <c r="E145"/>
      <c r="F145"/>
      <c r="G145"/>
      <c r="H145"/>
      <c r="I145"/>
    </row>
    <row r="146" spans="1:9" s="11" customFormat="1" x14ac:dyDescent="0.35">
      <c r="A146"/>
      <c r="B146"/>
      <c r="C146"/>
      <c r="D146"/>
      <c r="E146"/>
      <c r="F146"/>
      <c r="G146"/>
      <c r="H146"/>
      <c r="I146"/>
    </row>
    <row r="147" spans="1:9" s="11" customFormat="1" x14ac:dyDescent="0.35">
      <c r="A147"/>
      <c r="B147"/>
      <c r="C147"/>
      <c r="D147"/>
      <c r="E147"/>
      <c r="F147"/>
      <c r="G147"/>
      <c r="H147"/>
      <c r="I147"/>
    </row>
    <row r="148" spans="1:9" s="11" customFormat="1" x14ac:dyDescent="0.35">
      <c r="A148"/>
      <c r="B148"/>
      <c r="C148"/>
      <c r="D148"/>
      <c r="E148"/>
      <c r="F148"/>
      <c r="G148"/>
      <c r="H148"/>
      <c r="I148"/>
    </row>
    <row r="149" spans="1:9" s="11" customFormat="1" x14ac:dyDescent="0.35">
      <c r="A149"/>
      <c r="B149"/>
      <c r="C149"/>
      <c r="D149"/>
      <c r="E149"/>
      <c r="F149"/>
      <c r="G149"/>
      <c r="H149"/>
      <c r="I149"/>
    </row>
    <row r="150" spans="1:9" s="11" customFormat="1" x14ac:dyDescent="0.35">
      <c r="A150"/>
      <c r="B150"/>
      <c r="C150"/>
      <c r="D150"/>
      <c r="E150"/>
      <c r="F150"/>
      <c r="G150"/>
      <c r="H150"/>
      <c r="I150"/>
    </row>
    <row r="151" spans="1:9" s="11" customFormat="1" x14ac:dyDescent="0.35">
      <c r="A151"/>
      <c r="B151"/>
      <c r="C151"/>
      <c r="D151"/>
      <c r="E151"/>
      <c r="F151"/>
      <c r="G151"/>
      <c r="H151"/>
      <c r="I151"/>
    </row>
    <row r="152" spans="1:9" s="11" customFormat="1" x14ac:dyDescent="0.35">
      <c r="A152"/>
      <c r="B152"/>
      <c r="C152"/>
      <c r="D152"/>
      <c r="E152"/>
      <c r="F152"/>
      <c r="G152"/>
      <c r="H152"/>
      <c r="I152"/>
    </row>
    <row r="153" spans="1:9" s="11" customFormat="1" x14ac:dyDescent="0.35">
      <c r="A153"/>
      <c r="B153"/>
      <c r="C153"/>
      <c r="D153"/>
      <c r="E153"/>
      <c r="F153"/>
      <c r="G153"/>
      <c r="H153"/>
      <c r="I153"/>
    </row>
    <row r="154" spans="1:9" s="11" customFormat="1" x14ac:dyDescent="0.35">
      <c r="A154"/>
      <c r="B154"/>
      <c r="C154"/>
      <c r="D154"/>
      <c r="E154"/>
      <c r="F154"/>
      <c r="G154"/>
      <c r="H154"/>
      <c r="I154"/>
    </row>
    <row r="155" spans="1:9" s="11" customFormat="1" x14ac:dyDescent="0.35">
      <c r="A155"/>
      <c r="B155"/>
      <c r="C155"/>
      <c r="D155"/>
      <c r="E155"/>
      <c r="F155"/>
      <c r="G155"/>
      <c r="H155"/>
      <c r="I155"/>
    </row>
    <row r="156" spans="1:9" s="11" customFormat="1" x14ac:dyDescent="0.35">
      <c r="A156"/>
      <c r="B156"/>
      <c r="C156"/>
      <c r="D156"/>
      <c r="E156"/>
      <c r="F156"/>
      <c r="G156"/>
      <c r="H156"/>
      <c r="I156"/>
    </row>
    <row r="157" spans="1:9" s="11" customFormat="1" x14ac:dyDescent="0.35">
      <c r="A157"/>
      <c r="B157"/>
      <c r="C157"/>
      <c r="D157"/>
      <c r="E157"/>
      <c r="F157"/>
      <c r="G157"/>
      <c r="H157"/>
      <c r="I157"/>
    </row>
    <row r="158" spans="1:9" s="11" customFormat="1" x14ac:dyDescent="0.35">
      <c r="A158"/>
      <c r="B158"/>
      <c r="C158"/>
      <c r="D158"/>
      <c r="E158"/>
      <c r="F158"/>
      <c r="G158"/>
      <c r="H158"/>
      <c r="I158"/>
    </row>
    <row r="159" spans="1:9" s="11" customFormat="1" x14ac:dyDescent="0.35">
      <c r="A159"/>
      <c r="B159"/>
      <c r="C159"/>
      <c r="D159"/>
      <c r="E159"/>
      <c r="F159"/>
      <c r="G159"/>
      <c r="H159"/>
      <c r="I159"/>
    </row>
    <row r="160" spans="1:9" s="11" customFormat="1" x14ac:dyDescent="0.35">
      <c r="A160"/>
      <c r="B160"/>
      <c r="C160"/>
      <c r="D160"/>
      <c r="E160"/>
      <c r="F160"/>
      <c r="G160"/>
      <c r="H160"/>
      <c r="I160"/>
    </row>
    <row r="161" spans="1:9" s="11" customFormat="1" x14ac:dyDescent="0.35">
      <c r="A161"/>
      <c r="B161"/>
      <c r="C161"/>
      <c r="D161"/>
      <c r="E161"/>
      <c r="F161"/>
      <c r="G161"/>
      <c r="H161"/>
      <c r="I161"/>
    </row>
    <row r="162" spans="1:9" s="11" customFormat="1" x14ac:dyDescent="0.35">
      <c r="A162"/>
      <c r="B162"/>
      <c r="C162"/>
      <c r="D162"/>
      <c r="E162"/>
      <c r="F162"/>
      <c r="G162"/>
      <c r="H162"/>
      <c r="I162"/>
    </row>
    <row r="163" spans="1:9" s="11" customFormat="1" x14ac:dyDescent="0.35">
      <c r="A163"/>
      <c r="B163"/>
      <c r="C163"/>
      <c r="D163"/>
      <c r="E163"/>
      <c r="F163"/>
      <c r="G163"/>
      <c r="H163"/>
      <c r="I163"/>
    </row>
    <row r="164" spans="1:9" s="11" customFormat="1" x14ac:dyDescent="0.35">
      <c r="A164"/>
      <c r="B164"/>
      <c r="C164"/>
      <c r="D164"/>
      <c r="E164"/>
      <c r="F164"/>
      <c r="G164"/>
      <c r="H164"/>
      <c r="I164"/>
    </row>
    <row r="165" spans="1:9" s="11" customFormat="1" x14ac:dyDescent="0.35">
      <c r="A165"/>
      <c r="B165"/>
      <c r="C165"/>
      <c r="D165"/>
      <c r="E165"/>
      <c r="F165"/>
      <c r="G165"/>
      <c r="H165"/>
      <c r="I165"/>
    </row>
    <row r="166" spans="1:9" s="11" customFormat="1" x14ac:dyDescent="0.35">
      <c r="A166"/>
      <c r="B166"/>
      <c r="C166"/>
      <c r="D166"/>
      <c r="E166"/>
      <c r="F166"/>
      <c r="G166"/>
      <c r="H166"/>
      <c r="I166"/>
    </row>
    <row r="167" spans="1:9" s="11" customFormat="1" x14ac:dyDescent="0.35">
      <c r="A167"/>
      <c r="B167"/>
      <c r="C167"/>
      <c r="D167"/>
      <c r="E167"/>
      <c r="F167"/>
      <c r="G167"/>
      <c r="H167"/>
      <c r="I167"/>
    </row>
    <row r="168" spans="1:9" s="11" customFormat="1" x14ac:dyDescent="0.35">
      <c r="A168"/>
      <c r="B168"/>
      <c r="C168"/>
      <c r="D168"/>
      <c r="E168"/>
      <c r="F168"/>
      <c r="G168"/>
      <c r="H168"/>
      <c r="I168"/>
    </row>
    <row r="169" spans="1:9" s="11" customFormat="1" x14ac:dyDescent="0.35">
      <c r="A169"/>
      <c r="B169"/>
      <c r="C169"/>
      <c r="D169"/>
      <c r="E169"/>
      <c r="F169"/>
      <c r="G169"/>
      <c r="H169"/>
      <c r="I169"/>
    </row>
    <row r="170" spans="1:9" s="11" customFormat="1" x14ac:dyDescent="0.35">
      <c r="A170"/>
      <c r="B170"/>
      <c r="C170"/>
      <c r="D170"/>
      <c r="E170"/>
      <c r="F170"/>
      <c r="G170"/>
      <c r="H170"/>
      <c r="I170"/>
    </row>
    <row r="171" spans="1:9" s="11" customFormat="1" x14ac:dyDescent="0.35">
      <c r="A171"/>
      <c r="B171"/>
      <c r="C171"/>
      <c r="D171"/>
      <c r="E171"/>
      <c r="F171"/>
      <c r="G171"/>
      <c r="H171"/>
      <c r="I171"/>
    </row>
    <row r="172" spans="1:9" s="11" customFormat="1" x14ac:dyDescent="0.35">
      <c r="A172"/>
      <c r="B172"/>
      <c r="C172"/>
      <c r="D172"/>
      <c r="E172"/>
      <c r="F172"/>
      <c r="G172"/>
      <c r="H172"/>
      <c r="I172"/>
    </row>
    <row r="173" spans="1:9" s="11" customFormat="1" x14ac:dyDescent="0.35">
      <c r="A173"/>
      <c r="B173"/>
      <c r="C173"/>
      <c r="D173"/>
      <c r="E173"/>
      <c r="F173"/>
      <c r="G173"/>
      <c r="H173"/>
      <c r="I173"/>
    </row>
    <row r="174" spans="1:9" s="11" customFormat="1" x14ac:dyDescent="0.35">
      <c r="A174"/>
      <c r="B174"/>
      <c r="C174"/>
      <c r="D174"/>
      <c r="E174"/>
      <c r="F174"/>
      <c r="G174"/>
      <c r="H174"/>
      <c r="I174"/>
    </row>
    <row r="175" spans="1:9" s="11" customFormat="1" x14ac:dyDescent="0.35">
      <c r="A175"/>
      <c r="B175"/>
      <c r="C175"/>
      <c r="D175"/>
      <c r="E175"/>
      <c r="F175"/>
      <c r="G175"/>
      <c r="H175"/>
      <c r="I175"/>
    </row>
    <row r="176" spans="1:9" s="11" customFormat="1" x14ac:dyDescent="0.35">
      <c r="A176"/>
      <c r="B176"/>
      <c r="C176"/>
      <c r="D176"/>
      <c r="E176"/>
      <c r="F176"/>
      <c r="G176"/>
      <c r="H176"/>
      <c r="I176"/>
    </row>
    <row r="177" spans="1:9" s="11" customFormat="1" x14ac:dyDescent="0.35">
      <c r="A177"/>
      <c r="B177"/>
      <c r="C177"/>
      <c r="D177"/>
      <c r="E177"/>
      <c r="F177"/>
      <c r="G177"/>
      <c r="H177"/>
      <c r="I177"/>
    </row>
    <row r="178" spans="1:9" s="11" customFormat="1" x14ac:dyDescent="0.35">
      <c r="A178"/>
      <c r="B178"/>
      <c r="C178"/>
      <c r="D178"/>
      <c r="E178"/>
      <c r="F178"/>
      <c r="G178"/>
      <c r="H178"/>
      <c r="I178"/>
    </row>
    <row r="179" spans="1:9" s="11" customFormat="1" x14ac:dyDescent="0.35">
      <c r="A179"/>
      <c r="B179"/>
      <c r="C179"/>
      <c r="D179"/>
      <c r="E179"/>
      <c r="F179"/>
      <c r="G179"/>
      <c r="H179"/>
      <c r="I179"/>
    </row>
    <row r="180" spans="1:9" s="11" customFormat="1" x14ac:dyDescent="0.35">
      <c r="A180"/>
      <c r="B180"/>
      <c r="C180"/>
      <c r="D180"/>
      <c r="E180"/>
      <c r="F180"/>
      <c r="G180"/>
      <c r="H180"/>
      <c r="I180"/>
    </row>
    <row r="181" spans="1:9" s="11" customFormat="1" x14ac:dyDescent="0.35">
      <c r="A181"/>
      <c r="B181"/>
      <c r="C181"/>
      <c r="D181"/>
      <c r="E181"/>
      <c r="F181"/>
      <c r="G181"/>
      <c r="H181"/>
      <c r="I181"/>
    </row>
    <row r="182" spans="1:9" s="11" customFormat="1" x14ac:dyDescent="0.35">
      <c r="A182"/>
      <c r="B182"/>
      <c r="C182"/>
      <c r="D182"/>
      <c r="E182"/>
      <c r="F182"/>
      <c r="G182"/>
      <c r="H182"/>
      <c r="I182"/>
    </row>
    <row r="183" spans="1:9" s="11" customFormat="1" x14ac:dyDescent="0.35">
      <c r="A183"/>
      <c r="B183"/>
      <c r="C183"/>
      <c r="D183"/>
      <c r="E183"/>
      <c r="F183"/>
      <c r="G183"/>
      <c r="H183"/>
      <c r="I183"/>
    </row>
    <row r="184" spans="1:9" s="11" customFormat="1" x14ac:dyDescent="0.35">
      <c r="A184"/>
      <c r="B184"/>
      <c r="C184"/>
      <c r="D184"/>
      <c r="E184"/>
      <c r="F184"/>
      <c r="G184"/>
      <c r="H184"/>
      <c r="I184"/>
    </row>
    <row r="185" spans="1:9" s="11" customFormat="1" x14ac:dyDescent="0.35">
      <c r="A185"/>
      <c r="B185"/>
      <c r="C185"/>
      <c r="D185"/>
      <c r="E185"/>
      <c r="F185"/>
      <c r="G185"/>
      <c r="H185"/>
      <c r="I185"/>
    </row>
    <row r="186" spans="1:9" s="11" customFormat="1" x14ac:dyDescent="0.35">
      <c r="A186"/>
      <c r="B186"/>
      <c r="C186"/>
      <c r="D186"/>
      <c r="E186"/>
      <c r="F186"/>
      <c r="G186"/>
      <c r="H186"/>
      <c r="I186"/>
    </row>
    <row r="187" spans="1:9" s="11" customFormat="1" x14ac:dyDescent="0.35">
      <c r="A187"/>
      <c r="B187"/>
      <c r="C187"/>
      <c r="D187"/>
      <c r="E187"/>
      <c r="F187"/>
      <c r="G187"/>
      <c r="H187"/>
      <c r="I187"/>
    </row>
    <row r="188" spans="1:9" s="11" customFormat="1" x14ac:dyDescent="0.35">
      <c r="A188"/>
      <c r="B188"/>
      <c r="C188"/>
      <c r="D188"/>
      <c r="E188"/>
      <c r="F188"/>
      <c r="G188"/>
      <c r="H188"/>
      <c r="I188"/>
    </row>
    <row r="189" spans="1:9" s="11" customFormat="1" x14ac:dyDescent="0.35">
      <c r="A189"/>
      <c r="B189"/>
      <c r="C189"/>
      <c r="D189"/>
      <c r="E189"/>
      <c r="F189"/>
      <c r="G189"/>
      <c r="H189"/>
      <c r="I189"/>
    </row>
    <row r="190" spans="1:9" s="11" customFormat="1" x14ac:dyDescent="0.35">
      <c r="A190"/>
      <c r="B190"/>
      <c r="C190"/>
      <c r="D190"/>
      <c r="E190"/>
      <c r="F190"/>
      <c r="G190"/>
      <c r="H190"/>
      <c r="I190"/>
    </row>
    <row r="191" spans="1:9" s="11" customFormat="1" x14ac:dyDescent="0.35">
      <c r="A191"/>
      <c r="B191"/>
      <c r="C191"/>
      <c r="D191"/>
      <c r="E191"/>
      <c r="F191"/>
      <c r="G191"/>
      <c r="H191"/>
      <c r="I191"/>
    </row>
    <row r="192" spans="1:9" s="11" customFormat="1" x14ac:dyDescent="0.35">
      <c r="A192"/>
      <c r="B192"/>
      <c r="C192"/>
      <c r="D192"/>
      <c r="E192"/>
      <c r="F192"/>
      <c r="G192"/>
      <c r="H192"/>
      <c r="I192"/>
    </row>
    <row r="193" spans="1:9" s="11" customFormat="1" x14ac:dyDescent="0.35">
      <c r="A193"/>
      <c r="B193"/>
      <c r="C193"/>
      <c r="D193"/>
      <c r="E193"/>
      <c r="F193"/>
      <c r="G193"/>
      <c r="H193"/>
      <c r="I193"/>
    </row>
    <row r="194" spans="1:9" s="11" customFormat="1" x14ac:dyDescent="0.35">
      <c r="A194"/>
      <c r="B194"/>
      <c r="C194"/>
      <c r="D194"/>
      <c r="E194"/>
      <c r="F194"/>
      <c r="G194"/>
      <c r="H194"/>
      <c r="I194"/>
    </row>
    <row r="195" spans="1:9" s="11" customFormat="1" x14ac:dyDescent="0.35">
      <c r="A195"/>
      <c r="B195"/>
      <c r="C195"/>
      <c r="D195"/>
      <c r="E195"/>
      <c r="F195"/>
      <c r="G195"/>
      <c r="H195"/>
      <c r="I195"/>
    </row>
    <row r="196" spans="1:9" s="11" customFormat="1" x14ac:dyDescent="0.35">
      <c r="A196"/>
      <c r="B196"/>
      <c r="C196"/>
      <c r="D196"/>
      <c r="E196"/>
      <c r="F196"/>
      <c r="G196"/>
      <c r="H196"/>
      <c r="I196"/>
    </row>
    <row r="197" spans="1:9" s="11" customFormat="1" x14ac:dyDescent="0.35">
      <c r="A197"/>
      <c r="B197"/>
      <c r="C197"/>
      <c r="D197"/>
      <c r="E197"/>
      <c r="F197"/>
      <c r="G197"/>
      <c r="H197"/>
      <c r="I197"/>
    </row>
    <row r="198" spans="1:9" s="11" customFormat="1" x14ac:dyDescent="0.35">
      <c r="A198"/>
      <c r="B198"/>
      <c r="C198"/>
      <c r="D198"/>
      <c r="E198"/>
      <c r="F198"/>
      <c r="G198"/>
      <c r="H198"/>
      <c r="I198"/>
    </row>
    <row r="199" spans="1:9" s="11" customFormat="1" x14ac:dyDescent="0.35">
      <c r="A199"/>
      <c r="B199"/>
      <c r="C199"/>
      <c r="D199"/>
      <c r="E199"/>
      <c r="F199"/>
      <c r="G199"/>
      <c r="H199"/>
      <c r="I199"/>
    </row>
    <row r="200" spans="1:9" s="11" customFormat="1" x14ac:dyDescent="0.35">
      <c r="A200"/>
      <c r="B200"/>
      <c r="C200"/>
      <c r="D200"/>
      <c r="E200"/>
      <c r="F200"/>
      <c r="G200"/>
      <c r="H200"/>
      <c r="I200"/>
    </row>
    <row r="201" spans="1:9" s="11" customFormat="1" x14ac:dyDescent="0.35">
      <c r="A201"/>
      <c r="B201"/>
      <c r="C201"/>
      <c r="D201"/>
      <c r="E201"/>
      <c r="F201"/>
      <c r="G201"/>
      <c r="H201"/>
      <c r="I201"/>
    </row>
    <row r="202" spans="1:9" s="11" customFormat="1" x14ac:dyDescent="0.35">
      <c r="A202"/>
      <c r="B202"/>
      <c r="C202"/>
      <c r="D202"/>
      <c r="E202"/>
      <c r="F202"/>
      <c r="G202"/>
      <c r="H202"/>
      <c r="I202"/>
    </row>
    <row r="203" spans="1:9" s="11" customFormat="1" x14ac:dyDescent="0.35">
      <c r="A203"/>
      <c r="B203"/>
      <c r="C203"/>
      <c r="D203"/>
      <c r="E203"/>
      <c r="F203"/>
      <c r="G203"/>
      <c r="H203"/>
      <c r="I203"/>
    </row>
    <row r="204" spans="1:9" s="11" customFormat="1" x14ac:dyDescent="0.35">
      <c r="A204"/>
      <c r="B204"/>
      <c r="C204"/>
      <c r="D204"/>
      <c r="E204"/>
      <c r="F204"/>
      <c r="G204"/>
      <c r="H204"/>
      <c r="I204"/>
    </row>
    <row r="205" spans="1:9" s="11" customFormat="1" x14ac:dyDescent="0.35">
      <c r="A205"/>
      <c r="B205"/>
      <c r="C205"/>
      <c r="D205"/>
      <c r="E205"/>
      <c r="F205"/>
      <c r="G205"/>
      <c r="H205"/>
      <c r="I205"/>
    </row>
    <row r="206" spans="1:9" s="11" customFormat="1" x14ac:dyDescent="0.35">
      <c r="A206"/>
      <c r="B206"/>
      <c r="C206"/>
      <c r="D206"/>
      <c r="E206"/>
      <c r="F206"/>
      <c r="G206"/>
      <c r="H206"/>
      <c r="I206"/>
    </row>
    <row r="207" spans="1:9" s="11" customFormat="1" x14ac:dyDescent="0.35">
      <c r="A207"/>
      <c r="B207"/>
      <c r="C207"/>
      <c r="D207"/>
      <c r="E207"/>
      <c r="F207"/>
      <c r="G207"/>
      <c r="H207"/>
      <c r="I207"/>
    </row>
    <row r="208" spans="1:9" s="11" customFormat="1" x14ac:dyDescent="0.35">
      <c r="A208"/>
      <c r="B208"/>
      <c r="C208"/>
      <c r="D208"/>
      <c r="E208"/>
      <c r="F208"/>
      <c r="G208"/>
      <c r="H208"/>
      <c r="I208"/>
    </row>
    <row r="209" spans="1:9" s="11" customFormat="1" x14ac:dyDescent="0.35">
      <c r="A209"/>
      <c r="B209"/>
      <c r="C209"/>
      <c r="D209"/>
      <c r="E209"/>
      <c r="F209"/>
      <c r="G209"/>
      <c r="H209"/>
      <c r="I209"/>
    </row>
    <row r="210" spans="1:9" s="11" customFormat="1" x14ac:dyDescent="0.35">
      <c r="A210"/>
      <c r="B210"/>
      <c r="C210"/>
      <c r="D210"/>
      <c r="E210"/>
      <c r="F210"/>
      <c r="G210"/>
      <c r="H210"/>
      <c r="I210"/>
    </row>
    <row r="211" spans="1:9" s="11" customFormat="1" x14ac:dyDescent="0.35">
      <c r="A211"/>
      <c r="B211"/>
      <c r="C211"/>
      <c r="D211"/>
      <c r="E211"/>
      <c r="F211"/>
      <c r="G211"/>
      <c r="H211"/>
      <c r="I211"/>
    </row>
    <row r="212" spans="1:9" s="11" customFormat="1" x14ac:dyDescent="0.35">
      <c r="A212"/>
      <c r="B212"/>
      <c r="C212"/>
      <c r="D212"/>
      <c r="E212"/>
      <c r="F212"/>
      <c r="G212"/>
      <c r="H212"/>
      <c r="I212"/>
    </row>
    <row r="213" spans="1:9" s="11" customFormat="1" x14ac:dyDescent="0.35">
      <c r="A213"/>
      <c r="B213"/>
      <c r="C213"/>
      <c r="D213"/>
      <c r="E213"/>
      <c r="F213"/>
      <c r="G213"/>
      <c r="H213"/>
      <c r="I213"/>
    </row>
    <row r="214" spans="1:9" s="11" customFormat="1" x14ac:dyDescent="0.35">
      <c r="A214"/>
      <c r="B214"/>
      <c r="C214"/>
      <c r="D214"/>
      <c r="E214"/>
      <c r="F214"/>
      <c r="G214"/>
      <c r="H214"/>
      <c r="I214"/>
    </row>
    <row r="215" spans="1:9" s="11" customFormat="1" x14ac:dyDescent="0.35">
      <c r="A215"/>
      <c r="B215"/>
      <c r="C215"/>
      <c r="D215"/>
      <c r="E215"/>
      <c r="F215"/>
      <c r="G215"/>
      <c r="H215"/>
      <c r="I215"/>
    </row>
    <row r="216" spans="1:9" s="11" customFormat="1" x14ac:dyDescent="0.35">
      <c r="A216"/>
      <c r="B216"/>
      <c r="C216"/>
      <c r="D216"/>
      <c r="E216"/>
      <c r="F216"/>
      <c r="G216"/>
      <c r="H216"/>
      <c r="I216"/>
    </row>
    <row r="217" spans="1:9" s="11" customFormat="1" x14ac:dyDescent="0.35">
      <c r="A217"/>
      <c r="B217"/>
      <c r="C217"/>
      <c r="D217"/>
      <c r="E217"/>
      <c r="F217"/>
      <c r="G217"/>
      <c r="H217"/>
      <c r="I217"/>
    </row>
    <row r="218" spans="1:9" s="11" customFormat="1" x14ac:dyDescent="0.35">
      <c r="A218"/>
      <c r="B218"/>
      <c r="C218"/>
      <c r="D218"/>
      <c r="E218"/>
      <c r="F218"/>
      <c r="G218"/>
      <c r="H218"/>
      <c r="I218"/>
    </row>
    <row r="219" spans="1:9" s="11" customFormat="1" x14ac:dyDescent="0.35">
      <c r="A219"/>
      <c r="B219"/>
      <c r="C219"/>
      <c r="D219"/>
      <c r="E219"/>
      <c r="F219"/>
      <c r="G219"/>
      <c r="H219"/>
      <c r="I219"/>
    </row>
    <row r="220" spans="1:9" s="11" customFormat="1" x14ac:dyDescent="0.35">
      <c r="A220"/>
      <c r="B220"/>
      <c r="C220"/>
      <c r="D220"/>
      <c r="E220"/>
      <c r="F220"/>
      <c r="G220"/>
      <c r="H220"/>
      <c r="I220"/>
    </row>
    <row r="221" spans="1:9" s="11" customFormat="1" x14ac:dyDescent="0.35">
      <c r="A221"/>
      <c r="B221"/>
      <c r="C221"/>
      <c r="D221"/>
      <c r="E221"/>
      <c r="F221"/>
      <c r="G221"/>
      <c r="H221"/>
      <c r="I221"/>
    </row>
    <row r="222" spans="1:9" s="11" customFormat="1" x14ac:dyDescent="0.35">
      <c r="A222"/>
      <c r="B222"/>
      <c r="C222"/>
      <c r="D222"/>
      <c r="E222"/>
      <c r="F222"/>
      <c r="G222"/>
      <c r="H222"/>
      <c r="I222"/>
    </row>
    <row r="223" spans="1:9" s="11" customFormat="1" x14ac:dyDescent="0.35">
      <c r="A223"/>
      <c r="B223"/>
      <c r="C223"/>
      <c r="D223"/>
      <c r="E223"/>
      <c r="F223"/>
      <c r="G223"/>
      <c r="H223"/>
      <c r="I223"/>
    </row>
    <row r="224" spans="1:9" s="11" customFormat="1" x14ac:dyDescent="0.35">
      <c r="A224"/>
      <c r="B224"/>
      <c r="C224"/>
      <c r="D224"/>
      <c r="E224"/>
      <c r="F224"/>
      <c r="G224"/>
      <c r="H224"/>
      <c r="I224"/>
    </row>
    <row r="225" spans="1:9" s="11" customFormat="1" x14ac:dyDescent="0.35">
      <c r="A225"/>
      <c r="B225"/>
      <c r="C225"/>
      <c r="D225"/>
      <c r="E225"/>
      <c r="F225"/>
      <c r="G225"/>
      <c r="H225"/>
      <c r="I225"/>
    </row>
    <row r="226" spans="1:9" s="11" customFormat="1" x14ac:dyDescent="0.35">
      <c r="A226"/>
      <c r="B226"/>
      <c r="C226"/>
      <c r="D226"/>
      <c r="E226"/>
      <c r="F226"/>
      <c r="G226"/>
      <c r="H226"/>
      <c r="I226"/>
    </row>
    <row r="227" spans="1:9" s="11" customFormat="1" x14ac:dyDescent="0.35">
      <c r="A227"/>
      <c r="B227"/>
      <c r="C227"/>
      <c r="D227"/>
      <c r="E227"/>
      <c r="F227"/>
      <c r="G227"/>
      <c r="H227"/>
      <c r="I227"/>
    </row>
    <row r="228" spans="1:9" s="11" customFormat="1" x14ac:dyDescent="0.35">
      <c r="A228"/>
      <c r="B228"/>
      <c r="C228"/>
      <c r="D228"/>
      <c r="E228"/>
      <c r="F228"/>
      <c r="G228"/>
      <c r="H228"/>
      <c r="I228"/>
    </row>
    <row r="229" spans="1:9" s="11" customFormat="1" x14ac:dyDescent="0.35">
      <c r="A229"/>
      <c r="B229"/>
      <c r="C229"/>
      <c r="D229"/>
      <c r="E229"/>
      <c r="F229"/>
      <c r="G229"/>
      <c r="H229"/>
      <c r="I229"/>
    </row>
    <row r="230" spans="1:9" s="11" customFormat="1" x14ac:dyDescent="0.35">
      <c r="A230"/>
      <c r="B230"/>
      <c r="C230"/>
      <c r="D230"/>
      <c r="E230"/>
      <c r="F230"/>
      <c r="G230"/>
      <c r="H230"/>
      <c r="I230"/>
    </row>
    <row r="231" spans="1:9" s="11" customFormat="1" x14ac:dyDescent="0.35">
      <c r="A231"/>
      <c r="B231"/>
      <c r="C231"/>
      <c r="D231"/>
      <c r="E231"/>
      <c r="F231"/>
      <c r="G231"/>
      <c r="H231"/>
      <c r="I231"/>
    </row>
    <row r="232" spans="1:9" s="11" customFormat="1" x14ac:dyDescent="0.35">
      <c r="A232"/>
      <c r="B232"/>
      <c r="C232"/>
      <c r="D232"/>
      <c r="E232"/>
      <c r="F232"/>
      <c r="G232"/>
      <c r="H232"/>
      <c r="I232"/>
    </row>
    <row r="233" spans="1:9" s="11" customFormat="1" x14ac:dyDescent="0.35">
      <c r="A233"/>
      <c r="B233"/>
      <c r="C233"/>
      <c r="D233"/>
      <c r="E233"/>
      <c r="F233"/>
      <c r="G233"/>
      <c r="H233"/>
      <c r="I233"/>
    </row>
    <row r="234" spans="1:9" s="11" customFormat="1" x14ac:dyDescent="0.35">
      <c r="A234"/>
      <c r="B234"/>
      <c r="C234"/>
      <c r="D234"/>
      <c r="E234"/>
      <c r="F234"/>
      <c r="G234"/>
      <c r="H234"/>
      <c r="I234"/>
    </row>
    <row r="235" spans="1:9" s="11" customFormat="1" x14ac:dyDescent="0.35">
      <c r="A235"/>
      <c r="B235"/>
      <c r="C235"/>
      <c r="D235"/>
      <c r="E235"/>
      <c r="F235"/>
      <c r="G235"/>
      <c r="H235"/>
      <c r="I235"/>
    </row>
    <row r="236" spans="1:9" s="11" customFormat="1" x14ac:dyDescent="0.35">
      <c r="A236"/>
      <c r="B236"/>
      <c r="C236"/>
      <c r="D236"/>
      <c r="E236"/>
      <c r="F236"/>
      <c r="G236"/>
      <c r="H236"/>
      <c r="I236"/>
    </row>
    <row r="237" spans="1:9" s="11" customFormat="1" x14ac:dyDescent="0.35">
      <c r="A237"/>
      <c r="B237"/>
      <c r="C237"/>
      <c r="D237"/>
      <c r="E237"/>
      <c r="F237"/>
      <c r="G237"/>
      <c r="H237"/>
      <c r="I237"/>
    </row>
    <row r="238" spans="1:9" s="11" customFormat="1" x14ac:dyDescent="0.35">
      <c r="A238"/>
      <c r="B238"/>
      <c r="C238"/>
      <c r="D238"/>
      <c r="E238"/>
      <c r="F238"/>
      <c r="G238"/>
      <c r="H238"/>
      <c r="I238"/>
    </row>
    <row r="239" spans="1:9" s="11" customFormat="1" x14ac:dyDescent="0.35">
      <c r="A239"/>
      <c r="B239"/>
      <c r="C239"/>
      <c r="D239"/>
      <c r="E239"/>
      <c r="F239"/>
      <c r="G239"/>
      <c r="H239"/>
      <c r="I239"/>
    </row>
    <row r="240" spans="1:9" s="11" customFormat="1" x14ac:dyDescent="0.35">
      <c r="A240"/>
      <c r="B240"/>
      <c r="C240"/>
      <c r="D240"/>
      <c r="E240"/>
      <c r="F240"/>
      <c r="G240"/>
      <c r="H240"/>
      <c r="I240"/>
    </row>
    <row r="241" spans="1:9" s="11" customFormat="1" x14ac:dyDescent="0.35">
      <c r="A241"/>
      <c r="B241"/>
      <c r="C241"/>
      <c r="D241"/>
      <c r="E241"/>
      <c r="F241"/>
      <c r="G241"/>
      <c r="H241"/>
      <c r="I241"/>
    </row>
  </sheetData>
  <phoneticPr fontId="1" type="noConversion"/>
  <dataValidations count="3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  <dataValidation type="list" allowBlank="1" showInputMessage="1" showErrorMessage="1" sqref="K16:K25" xr:uid="{4EEE06A4-0704-4188-8FE2-3C5881C75CCE}">
      <formula1>#REF!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DF7114-692B-4168-A06C-316205FE542B}">
          <x14:formula1>
            <xm:f>TransportRate!$A$2:$A$250</xm:f>
          </x14:formula1>
          <xm:sqref>K12:K15</xm:sqref>
        </x14:dataValidation>
        <x14:dataValidation type="list" allowBlank="1" showInputMessage="1" showErrorMessage="1" xr:uid="{54D96983-A1A7-4B8D-89C8-4AF6C419FD1C}">
          <x14:formula1>
            <xm:f>'seafreight forecast'!$D$2:$D$35</xm:f>
          </x14:formula1>
          <xm:sqref>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46"/>
  <sheetViews>
    <sheetView workbookViewId="0">
      <selection activeCell="G33" sqref="G33"/>
    </sheetView>
    <sheetView workbookViewId="1">
      <selection activeCell="B1" sqref="B1:B1048576"/>
    </sheetView>
  </sheetViews>
  <sheetFormatPr defaultColWidth="0" defaultRowHeight="14.5" x14ac:dyDescent="0.35"/>
  <cols>
    <col min="1" max="1" width="77.7265625" bestFit="1" customWidth="1"/>
    <col min="2" max="2" width="11.54296875" style="96" bestFit="1" customWidth="1"/>
    <col min="3" max="3" width="8.26953125" bestFit="1" customWidth="1"/>
    <col min="4" max="4" width="9.26953125" bestFit="1" customWidth="1"/>
    <col min="5" max="7" width="9.1796875" style="11" customWidth="1"/>
    <col min="8" max="16384" width="9.1796875" hidden="1"/>
  </cols>
  <sheetData>
    <row r="1" spans="1:4" x14ac:dyDescent="0.35">
      <c r="A1" s="7" t="s">
        <v>16</v>
      </c>
      <c r="B1" s="97" t="s">
        <v>17</v>
      </c>
      <c r="C1" s="7" t="s">
        <v>37</v>
      </c>
      <c r="D1" s="7" t="s">
        <v>46</v>
      </c>
    </row>
    <row r="2" spans="1:4" x14ac:dyDescent="0.35">
      <c r="A2" s="62" t="s">
        <v>248</v>
      </c>
      <c r="B2" s="98">
        <v>12.11</v>
      </c>
      <c r="C2" s="6" t="b">
        <v>1</v>
      </c>
      <c r="D2">
        <f>SUM(AU[Pallet Quantity])</f>
        <v>353</v>
      </c>
    </row>
    <row r="3" spans="1:4" x14ac:dyDescent="0.35">
      <c r="A3" s="62" t="s">
        <v>262</v>
      </c>
      <c r="B3" s="98">
        <v>0</v>
      </c>
      <c r="C3" s="6" t="b">
        <v>0</v>
      </c>
      <c r="D3" s="10"/>
    </row>
    <row r="4" spans="1:4" x14ac:dyDescent="0.35">
      <c r="A4" s="62" t="s">
        <v>247</v>
      </c>
      <c r="B4" s="98">
        <v>20039.21</v>
      </c>
      <c r="C4" s="6" t="b">
        <v>0</v>
      </c>
      <c r="D4" s="4">
        <f>AVERAGE(AU[Estimate Container QTY])</f>
        <v>8</v>
      </c>
    </row>
    <row r="5" spans="1:4" x14ac:dyDescent="0.35">
      <c r="A5" s="62" t="s">
        <v>291</v>
      </c>
      <c r="B5" s="98">
        <v>4359.5999999999995</v>
      </c>
      <c r="C5" s="6" t="b">
        <v>0</v>
      </c>
      <c r="D5">
        <v>1</v>
      </c>
    </row>
    <row r="6" spans="1:4" x14ac:dyDescent="0.35">
      <c r="A6" s="62" t="s">
        <v>250</v>
      </c>
      <c r="B6" s="98">
        <v>1494.65</v>
      </c>
      <c r="C6" s="6" t="b">
        <v>0</v>
      </c>
      <c r="D6" s="4"/>
    </row>
    <row r="7" spans="1:4" x14ac:dyDescent="0.35">
      <c r="A7" s="62" t="s">
        <v>251</v>
      </c>
      <c r="B7" s="98">
        <v>889.17</v>
      </c>
      <c r="C7" s="6" t="b">
        <v>0</v>
      </c>
      <c r="D7" s="4"/>
    </row>
    <row r="8" spans="1:4" x14ac:dyDescent="0.35">
      <c r="A8" s="62" t="s">
        <v>249</v>
      </c>
      <c r="B8" s="98">
        <v>6430.61</v>
      </c>
      <c r="C8" s="6" t="b">
        <v>0</v>
      </c>
      <c r="D8" s="4"/>
    </row>
    <row r="9" spans="1:4" x14ac:dyDescent="0.35">
      <c r="A9" s="62" t="s">
        <v>252</v>
      </c>
      <c r="B9" s="98">
        <v>316.35000000000002</v>
      </c>
      <c r="C9" s="6" t="b">
        <v>0</v>
      </c>
      <c r="D9">
        <f>SUM(AU[Pallet Quantity])</f>
        <v>353</v>
      </c>
    </row>
    <row r="10" spans="1:4" x14ac:dyDescent="0.35">
      <c r="A10" s="62" t="s">
        <v>264</v>
      </c>
      <c r="B10" s="98">
        <v>0.6</v>
      </c>
      <c r="C10" s="6" t="b">
        <v>1</v>
      </c>
      <c r="D10">
        <f>SUM(AU[Pallet Quantity])</f>
        <v>353</v>
      </c>
    </row>
    <row r="11" spans="1:4" x14ac:dyDescent="0.35">
      <c r="A11" s="62" t="s">
        <v>260</v>
      </c>
      <c r="B11" s="98">
        <v>37.049999999999997</v>
      </c>
      <c r="C11" s="6" t="b">
        <v>0</v>
      </c>
    </row>
    <row r="12" spans="1:4" x14ac:dyDescent="0.35">
      <c r="A12" s="62" t="s">
        <v>253</v>
      </c>
      <c r="B12" s="98">
        <v>0.59</v>
      </c>
      <c r="C12" s="6" t="b">
        <v>1</v>
      </c>
      <c r="D12">
        <f>SUM(AU[Annual Case Quantity])</f>
        <v>13500</v>
      </c>
    </row>
    <row r="13" spans="1:4" x14ac:dyDescent="0.35">
      <c r="A13" s="62" t="s">
        <v>258</v>
      </c>
      <c r="B13" s="98">
        <v>3.39</v>
      </c>
      <c r="C13" s="6" t="b">
        <v>1</v>
      </c>
      <c r="D13">
        <f>SUM(AU[Pallet Quantity])</f>
        <v>353</v>
      </c>
    </row>
    <row r="14" spans="1:4" x14ac:dyDescent="0.35">
      <c r="A14" s="62" t="s">
        <v>263</v>
      </c>
      <c r="B14" s="98">
        <v>0.28000000000000003</v>
      </c>
      <c r="C14" s="6" t="b">
        <v>1</v>
      </c>
      <c r="D14">
        <f>SUM(AU[Pallet Quantity])</f>
        <v>353</v>
      </c>
    </row>
    <row r="15" spans="1:4" x14ac:dyDescent="0.35">
      <c r="A15" s="62" t="s">
        <v>259</v>
      </c>
      <c r="B15" s="98">
        <v>3.33</v>
      </c>
      <c r="C15" s="6" t="b">
        <v>0</v>
      </c>
    </row>
    <row r="16" spans="1:4" x14ac:dyDescent="0.35">
      <c r="A16" s="62" t="s">
        <v>255</v>
      </c>
      <c r="B16" s="98">
        <v>4.82</v>
      </c>
      <c r="C16" s="6" t="b">
        <v>1</v>
      </c>
      <c r="D16">
        <f>SUM(AU[Pallet Quantity])</f>
        <v>353</v>
      </c>
    </row>
    <row r="17" spans="1:4" x14ac:dyDescent="0.35">
      <c r="A17" s="62" t="s">
        <v>256</v>
      </c>
      <c r="B17" s="98">
        <v>1.74</v>
      </c>
      <c r="C17" s="6" t="b">
        <v>0</v>
      </c>
    </row>
    <row r="18" spans="1:4" x14ac:dyDescent="0.35">
      <c r="A18" s="62" t="s">
        <v>257</v>
      </c>
      <c r="B18" s="98">
        <v>0.31</v>
      </c>
      <c r="C18" s="6" t="b">
        <v>1</v>
      </c>
      <c r="D18">
        <f>SUM(AU[Annual Case Quantity])</f>
        <v>13500</v>
      </c>
    </row>
    <row r="19" spans="1:4" x14ac:dyDescent="0.35">
      <c r="A19" s="62" t="s">
        <v>261</v>
      </c>
      <c r="B19" s="98">
        <v>0</v>
      </c>
      <c r="C19" s="6" t="b">
        <v>1</v>
      </c>
      <c r="D19">
        <f>SUM(AU[Pallet Quantity])</f>
        <v>353</v>
      </c>
    </row>
    <row r="20" spans="1:4" x14ac:dyDescent="0.35">
      <c r="A20" s="62" t="s">
        <v>254</v>
      </c>
      <c r="B20" s="98">
        <v>3.96</v>
      </c>
      <c r="C20" s="6" t="b">
        <v>1</v>
      </c>
      <c r="D20">
        <f>SUM(AU[Pallet Quantity])</f>
        <v>353</v>
      </c>
    </row>
    <row r="21" spans="1:4" x14ac:dyDescent="0.35">
      <c r="A21" s="62" t="s">
        <v>265</v>
      </c>
      <c r="B21" s="98">
        <v>3.42</v>
      </c>
      <c r="C21" s="6" t="b">
        <v>0</v>
      </c>
      <c r="D21" s="10"/>
    </row>
    <row r="22" spans="1:4" x14ac:dyDescent="0.35">
      <c r="A22" s="62" t="s">
        <v>266</v>
      </c>
      <c r="B22" s="98">
        <v>2797.18</v>
      </c>
      <c r="C22" s="6" t="b">
        <v>0</v>
      </c>
      <c r="D22" s="10"/>
    </row>
    <row r="23" spans="1:4" x14ac:dyDescent="0.35">
      <c r="A23" s="63" t="s">
        <v>268</v>
      </c>
      <c r="B23" s="99">
        <v>12.11</v>
      </c>
      <c r="C23" s="6" t="b">
        <v>0</v>
      </c>
      <c r="D23" s="10"/>
    </row>
    <row r="24" spans="1:4" x14ac:dyDescent="0.35">
      <c r="A24" s="63" t="s">
        <v>282</v>
      </c>
      <c r="B24" s="99">
        <v>0</v>
      </c>
      <c r="C24" s="6" t="b">
        <v>0</v>
      </c>
    </row>
    <row r="25" spans="1:4" x14ac:dyDescent="0.35">
      <c r="A25" s="63" t="s">
        <v>290</v>
      </c>
      <c r="B25" s="99">
        <v>1.1599999999999999</v>
      </c>
      <c r="C25" s="6" t="b">
        <v>0</v>
      </c>
    </row>
    <row r="26" spans="1:4" x14ac:dyDescent="0.35">
      <c r="A26" s="63" t="s">
        <v>288</v>
      </c>
      <c r="B26" s="99">
        <v>0.28000000000000003</v>
      </c>
      <c r="C26" s="6" t="b">
        <v>0</v>
      </c>
    </row>
    <row r="27" spans="1:4" x14ac:dyDescent="0.35">
      <c r="A27" s="63" t="s">
        <v>287</v>
      </c>
      <c r="B27" s="99">
        <v>3.7</v>
      </c>
      <c r="C27" s="6" t="b">
        <v>0</v>
      </c>
    </row>
    <row r="28" spans="1:4" x14ac:dyDescent="0.35">
      <c r="A28" s="63" t="s">
        <v>289</v>
      </c>
      <c r="B28" s="99">
        <v>0.16</v>
      </c>
      <c r="C28" s="6" t="b">
        <v>0</v>
      </c>
    </row>
    <row r="29" spans="1:4" x14ac:dyDescent="0.35">
      <c r="A29" s="63" t="s">
        <v>267</v>
      </c>
      <c r="B29" s="99">
        <v>2226.58</v>
      </c>
      <c r="C29" s="6" t="b">
        <v>0</v>
      </c>
      <c r="D29" s="10"/>
    </row>
    <row r="30" spans="1:4" x14ac:dyDescent="0.35">
      <c r="A30" s="63" t="s">
        <v>270</v>
      </c>
      <c r="B30" s="99">
        <v>1494.65</v>
      </c>
      <c r="C30" s="6" t="b">
        <v>0</v>
      </c>
      <c r="D30" s="10"/>
    </row>
    <row r="31" spans="1:4" x14ac:dyDescent="0.35">
      <c r="A31" s="63" t="s">
        <v>271</v>
      </c>
      <c r="B31" s="99">
        <v>889.17</v>
      </c>
      <c r="C31" s="6" t="b">
        <v>0</v>
      </c>
    </row>
    <row r="32" spans="1:4" x14ac:dyDescent="0.35">
      <c r="A32" s="63" t="s">
        <v>269</v>
      </c>
      <c r="B32" s="99">
        <v>6430.61</v>
      </c>
      <c r="C32" s="6" t="b">
        <v>0</v>
      </c>
      <c r="D32" s="10"/>
    </row>
    <row r="33" spans="1:4" x14ac:dyDescent="0.35">
      <c r="A33" s="63" t="s">
        <v>272</v>
      </c>
      <c r="B33" s="99">
        <v>316.35000000000002</v>
      </c>
      <c r="C33" s="6" t="b">
        <v>0</v>
      </c>
    </row>
    <row r="34" spans="1:4" x14ac:dyDescent="0.35">
      <c r="A34" s="63" t="s">
        <v>284</v>
      </c>
      <c r="B34" s="99">
        <v>0.6</v>
      </c>
      <c r="C34" s="6" t="b">
        <v>0</v>
      </c>
      <c r="D34" s="10"/>
    </row>
    <row r="35" spans="1:4" x14ac:dyDescent="0.35">
      <c r="A35" s="63" t="s">
        <v>280</v>
      </c>
      <c r="B35" s="99">
        <v>37.049999999999997</v>
      </c>
      <c r="C35" s="6" t="b">
        <v>0</v>
      </c>
    </row>
    <row r="36" spans="1:4" x14ac:dyDescent="0.35">
      <c r="A36" s="63" t="s">
        <v>273</v>
      </c>
      <c r="B36" s="99">
        <v>0.59</v>
      </c>
      <c r="C36" s="6" t="b">
        <v>0</v>
      </c>
    </row>
    <row r="37" spans="1:4" x14ac:dyDescent="0.35">
      <c r="A37" s="63" t="s">
        <v>278</v>
      </c>
      <c r="B37" s="99">
        <v>3.39</v>
      </c>
      <c r="C37" s="6" t="b">
        <v>0</v>
      </c>
    </row>
    <row r="38" spans="1:4" x14ac:dyDescent="0.35">
      <c r="A38" s="63" t="s">
        <v>283</v>
      </c>
      <c r="B38" s="99">
        <v>0.28000000000000003</v>
      </c>
      <c r="C38" s="6" t="b">
        <v>0</v>
      </c>
    </row>
    <row r="39" spans="1:4" x14ac:dyDescent="0.35">
      <c r="A39" s="63" t="s">
        <v>279</v>
      </c>
      <c r="B39" s="99">
        <v>3.33</v>
      </c>
      <c r="C39" s="6" t="b">
        <v>0</v>
      </c>
    </row>
    <row r="40" spans="1:4" x14ac:dyDescent="0.35">
      <c r="A40" s="63" t="s">
        <v>275</v>
      </c>
      <c r="B40" s="99">
        <v>4.82</v>
      </c>
      <c r="C40" s="6" t="b">
        <v>0</v>
      </c>
    </row>
    <row r="41" spans="1:4" x14ac:dyDescent="0.35">
      <c r="A41" s="63" t="s">
        <v>276</v>
      </c>
      <c r="B41" s="99">
        <v>1.74</v>
      </c>
      <c r="C41" s="6" t="b">
        <v>0</v>
      </c>
      <c r="D41" s="10"/>
    </row>
    <row r="42" spans="1:4" x14ac:dyDescent="0.35">
      <c r="A42" s="63" t="s">
        <v>277</v>
      </c>
      <c r="B42" s="99">
        <v>0.31</v>
      </c>
      <c r="C42" s="6" t="b">
        <v>0</v>
      </c>
      <c r="D42" s="10"/>
    </row>
    <row r="43" spans="1:4" x14ac:dyDescent="0.35">
      <c r="A43" s="63" t="s">
        <v>281</v>
      </c>
      <c r="B43" s="99">
        <v>0</v>
      </c>
      <c r="C43" s="6" t="b">
        <v>0</v>
      </c>
    </row>
    <row r="44" spans="1:4" x14ac:dyDescent="0.35">
      <c r="A44" s="63" t="s">
        <v>274</v>
      </c>
      <c r="B44" s="99">
        <v>3.96</v>
      </c>
      <c r="C44" s="6" t="b">
        <v>0</v>
      </c>
    </row>
    <row r="45" spans="1:4" x14ac:dyDescent="0.35">
      <c r="A45" s="63" t="s">
        <v>285</v>
      </c>
      <c r="B45" s="99">
        <v>3.42</v>
      </c>
      <c r="C45" s="6" t="b">
        <v>0</v>
      </c>
      <c r="D45" s="10"/>
    </row>
    <row r="46" spans="1:4" x14ac:dyDescent="0.35">
      <c r="A46" s="63" t="s">
        <v>286</v>
      </c>
      <c r="B46" s="99">
        <v>2797.18</v>
      </c>
      <c r="C46" s="6" t="b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17"/>
  <sheetViews>
    <sheetView workbookViewId="0">
      <selection activeCell="B24" sqref="B24"/>
    </sheetView>
    <sheetView workbookViewId="1">
      <selection activeCell="E1" sqref="E1:E1048576"/>
    </sheetView>
  </sheetViews>
  <sheetFormatPr defaultColWidth="0" defaultRowHeight="14.5" x14ac:dyDescent="0.35"/>
  <cols>
    <col min="1" max="1" width="10.6328125" bestFit="1" customWidth="1"/>
    <col min="2" max="2" width="64.08984375" bestFit="1" customWidth="1"/>
    <col min="3" max="3" width="10.36328125" style="21" bestFit="1" customWidth="1"/>
    <col min="4" max="4" width="10.54296875" style="96" bestFit="1" customWidth="1"/>
    <col min="5" max="5" width="12.54296875" style="96" bestFit="1" customWidth="1"/>
    <col min="6" max="6" width="15.6328125" style="8" bestFit="1" customWidth="1"/>
    <col min="7" max="7" width="0.453125" style="52" customWidth="1"/>
    <col min="8" max="9" width="12" style="21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 x14ac:dyDescent="0.35">
      <c r="A1" t="s">
        <v>44</v>
      </c>
      <c r="B1" t="s">
        <v>16</v>
      </c>
      <c r="C1" s="21" t="s">
        <v>149</v>
      </c>
      <c r="D1" s="96" t="s">
        <v>17</v>
      </c>
      <c r="E1" s="96" t="s">
        <v>147</v>
      </c>
      <c r="F1" s="8" t="s">
        <v>48</v>
      </c>
      <c r="G1" s="11"/>
      <c r="H1"/>
      <c r="I1"/>
    </row>
    <row r="2" spans="1:9" x14ac:dyDescent="0.35">
      <c r="A2" s="95" t="s">
        <v>40</v>
      </c>
      <c r="B2" t="s">
        <v>41</v>
      </c>
      <c r="C2" s="21">
        <v>8</v>
      </c>
      <c r="D2" s="96">
        <v>5439</v>
      </c>
      <c r="E2" s="96">
        <v>43512</v>
      </c>
      <c r="F2" s="8">
        <v>0.43166696643539298</v>
      </c>
      <c r="G2" s="51"/>
      <c r="H2"/>
      <c r="I2"/>
    </row>
    <row r="3" spans="1:9" x14ac:dyDescent="0.35">
      <c r="A3" s="95" t="s">
        <v>40</v>
      </c>
      <c r="B3" t="s">
        <v>42</v>
      </c>
      <c r="C3" s="21">
        <v>8</v>
      </c>
      <c r="D3" s="96">
        <v>1617</v>
      </c>
      <c r="E3" s="96">
        <v>12936</v>
      </c>
      <c r="F3" s="8">
        <v>0.128333422453766</v>
      </c>
      <c r="G3" s="51"/>
      <c r="H3"/>
      <c r="I3"/>
    </row>
    <row r="4" spans="1:9" x14ac:dyDescent="0.35">
      <c r="A4" t="s">
        <v>45</v>
      </c>
      <c r="B4" t="s">
        <v>248</v>
      </c>
      <c r="C4" s="21">
        <v>353</v>
      </c>
      <c r="D4" s="96">
        <v>12.11</v>
      </c>
      <c r="E4" s="96">
        <v>4274.83</v>
      </c>
      <c r="F4" s="8">
        <v>4.2409057228512001E-2</v>
      </c>
      <c r="G4" s="51"/>
      <c r="H4"/>
      <c r="I4"/>
    </row>
    <row r="5" spans="1:9" x14ac:dyDescent="0.35">
      <c r="A5" t="s">
        <v>45</v>
      </c>
      <c r="B5" t="s">
        <v>264</v>
      </c>
      <c r="C5" s="21">
        <v>353</v>
      </c>
      <c r="D5" s="96">
        <v>0.6</v>
      </c>
      <c r="E5" s="96">
        <v>211.79999999999998</v>
      </c>
      <c r="F5" s="8">
        <v>2.1011919353515398E-3</v>
      </c>
      <c r="G5" s="51"/>
      <c r="H5"/>
      <c r="I5"/>
    </row>
    <row r="6" spans="1:9" x14ac:dyDescent="0.35">
      <c r="A6" t="s">
        <v>45</v>
      </c>
      <c r="B6" t="s">
        <v>253</v>
      </c>
      <c r="C6" s="21">
        <v>13500</v>
      </c>
      <c r="D6" s="96">
        <v>0.59</v>
      </c>
      <c r="E6" s="96">
        <v>7965</v>
      </c>
      <c r="F6" s="8">
        <v>7.9017912016407205E-2</v>
      </c>
      <c r="G6" s="51"/>
      <c r="H6"/>
      <c r="I6"/>
    </row>
    <row r="7" spans="1:9" x14ac:dyDescent="0.35">
      <c r="A7" t="s">
        <v>45</v>
      </c>
      <c r="B7" t="s">
        <v>258</v>
      </c>
      <c r="C7" s="21">
        <v>353</v>
      </c>
      <c r="D7" s="96">
        <v>3.39</v>
      </c>
      <c r="E7" s="96">
        <v>1196.67</v>
      </c>
      <c r="F7" s="8">
        <v>1.18717344347362E-2</v>
      </c>
      <c r="G7" s="51"/>
      <c r="H7"/>
      <c r="I7"/>
    </row>
    <row r="8" spans="1:9" x14ac:dyDescent="0.35">
      <c r="A8" t="s">
        <v>45</v>
      </c>
      <c r="B8" t="s">
        <v>263</v>
      </c>
      <c r="C8" s="21">
        <v>353</v>
      </c>
      <c r="D8" s="96">
        <v>0.28000000000000003</v>
      </c>
      <c r="E8" s="96">
        <v>98.84</v>
      </c>
      <c r="F8" s="8">
        <v>9.8055623649738596E-4</v>
      </c>
      <c r="G8" s="51"/>
      <c r="H8"/>
      <c r="I8"/>
    </row>
    <row r="9" spans="1:9" x14ac:dyDescent="0.35">
      <c r="A9" t="s">
        <v>45</v>
      </c>
      <c r="B9" t="s">
        <v>255</v>
      </c>
      <c r="C9" s="21">
        <v>353</v>
      </c>
      <c r="D9" s="96">
        <v>4.82</v>
      </c>
      <c r="E9" s="96">
        <v>1701.46</v>
      </c>
      <c r="F9" s="8">
        <v>1.6879575213990701E-2</v>
      </c>
      <c r="G9" s="51"/>
      <c r="H9"/>
      <c r="I9"/>
    </row>
    <row r="10" spans="1:9" x14ac:dyDescent="0.35">
      <c r="A10" t="s">
        <v>45</v>
      </c>
      <c r="B10" t="s">
        <v>257</v>
      </c>
      <c r="C10" s="21">
        <v>13500</v>
      </c>
      <c r="D10" s="96">
        <v>0.31</v>
      </c>
      <c r="E10" s="96">
        <v>4185</v>
      </c>
      <c r="F10" s="8">
        <v>4.1517885974722397E-2</v>
      </c>
      <c r="G10" s="51"/>
      <c r="H10"/>
      <c r="I10"/>
    </row>
    <row r="11" spans="1:9" x14ac:dyDescent="0.35">
      <c r="A11" t="s">
        <v>45</v>
      </c>
      <c r="B11" t="s">
        <v>261</v>
      </c>
      <c r="C11" s="21">
        <v>353</v>
      </c>
      <c r="D11" s="96">
        <v>0</v>
      </c>
      <c r="E11" s="96">
        <v>0</v>
      </c>
      <c r="F11" s="8">
        <v>0</v>
      </c>
      <c r="G11" s="51"/>
      <c r="H11"/>
      <c r="I11"/>
    </row>
    <row r="12" spans="1:9" x14ac:dyDescent="0.35">
      <c r="A12" t="s">
        <v>45</v>
      </c>
      <c r="B12" t="s">
        <v>254</v>
      </c>
      <c r="C12" s="21">
        <v>353</v>
      </c>
      <c r="D12" s="96">
        <v>3.96</v>
      </c>
      <c r="E12" s="96">
        <v>1397.8799999999999</v>
      </c>
      <c r="F12" s="8">
        <v>1.3867866773320201E-2</v>
      </c>
      <c r="G12" s="51"/>
      <c r="H12"/>
      <c r="I12"/>
    </row>
    <row r="13" spans="1:9" x14ac:dyDescent="0.35">
      <c r="A13" t="s">
        <v>47</v>
      </c>
      <c r="B13" t="s">
        <v>567</v>
      </c>
      <c r="C13" s="21">
        <v>11</v>
      </c>
      <c r="D13" s="96">
        <v>1</v>
      </c>
      <c r="E13" s="96">
        <v>1697.85</v>
      </c>
      <c r="F13" s="8">
        <v>1.6843761697056699E-2</v>
      </c>
      <c r="G13" s="51"/>
      <c r="H13"/>
      <c r="I13"/>
    </row>
    <row r="14" spans="1:9" x14ac:dyDescent="0.35">
      <c r="A14" t="s">
        <v>47</v>
      </c>
      <c r="B14" t="s">
        <v>490</v>
      </c>
      <c r="C14" s="21">
        <v>52</v>
      </c>
      <c r="D14" s="96">
        <v>6</v>
      </c>
      <c r="E14" s="96">
        <v>7316.4000000000005</v>
      </c>
      <c r="F14" s="8">
        <v>7.2583383738460905E-2</v>
      </c>
      <c r="G14" s="51"/>
      <c r="H14"/>
      <c r="I14"/>
    </row>
    <row r="15" spans="1:9" x14ac:dyDescent="0.35">
      <c r="A15" t="s">
        <v>47</v>
      </c>
      <c r="B15" t="s">
        <v>493</v>
      </c>
      <c r="C15" s="21">
        <v>52</v>
      </c>
      <c r="D15" s="96">
        <v>2</v>
      </c>
      <c r="E15" s="96">
        <v>11029.2</v>
      </c>
      <c r="F15" s="8">
        <v>0.109416742650516</v>
      </c>
      <c r="G15" s="11"/>
      <c r="H15"/>
      <c r="I15"/>
    </row>
    <row r="16" spans="1:9" x14ac:dyDescent="0.35">
      <c r="A16" t="s">
        <v>47</v>
      </c>
      <c r="B16" t="s">
        <v>713</v>
      </c>
      <c r="C16" s="21">
        <v>29</v>
      </c>
      <c r="D16" s="96">
        <v>1</v>
      </c>
      <c r="E16" s="96">
        <v>3277</v>
      </c>
      <c r="F16" s="8">
        <v>3.2509943211270098E-2</v>
      </c>
      <c r="G16" s="11"/>
      <c r="H16"/>
      <c r="I16"/>
    </row>
    <row r="17" spans="5:9" x14ac:dyDescent="0.35">
      <c r="E17" s="96">
        <f>SUM(E2:E16)</f>
        <v>100799.93000000001</v>
      </c>
      <c r="F17" s="44"/>
      <c r="G17" s="11"/>
      <c r="H17"/>
      <c r="I17"/>
    </row>
  </sheetData>
  <phoneticPr fontId="1" type="noConversion"/>
  <conditionalFormatting sqref="F2:F134">
    <cfRule type="colorScale" priority="119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T350"/>
  <sheetViews>
    <sheetView tabSelected="1" workbookViewId="0">
      <selection sqref="A1:F49"/>
    </sheetView>
    <sheetView workbookViewId="1">
      <selection activeCell="C1" sqref="C1:F1048576"/>
    </sheetView>
  </sheetViews>
  <sheetFormatPr defaultRowHeight="14.5" x14ac:dyDescent="0.35"/>
  <cols>
    <col min="1" max="1" width="21" bestFit="1" customWidth="1"/>
    <col min="2" max="2" width="44.1796875" bestFit="1" customWidth="1"/>
    <col min="3" max="3" width="22.36328125" bestFit="1" customWidth="1"/>
    <col min="4" max="4" width="13.1796875" bestFit="1" customWidth="1"/>
    <col min="5" max="5" width="33.6328125" bestFit="1" customWidth="1"/>
    <col min="6" max="6" width="18.81640625" bestFit="1" customWidth="1"/>
    <col min="7" max="7" width="11.81640625" bestFit="1" customWidth="1"/>
    <col min="8" max="8" width="15" bestFit="1" customWidth="1"/>
    <col min="9" max="9" width="15.08984375" bestFit="1" customWidth="1"/>
    <col min="10" max="10" width="21.36328125" bestFit="1" customWidth="1"/>
    <col min="11" max="11" width="13.6328125" bestFit="1" customWidth="1"/>
    <col min="12" max="12" width="8.54296875" bestFit="1" customWidth="1"/>
    <col min="13" max="13" width="11.81640625" bestFit="1" customWidth="1"/>
    <col min="14" max="14" width="14.1796875" bestFit="1" customWidth="1"/>
    <col min="15" max="15" width="10" bestFit="1" customWidth="1"/>
    <col min="16" max="16" width="11.81640625" bestFit="1" customWidth="1"/>
    <col min="17" max="17" width="14.1796875" bestFit="1" customWidth="1"/>
    <col min="18" max="18" width="8.81640625" bestFit="1" customWidth="1"/>
    <col min="19" max="20" width="10" bestFit="1" customWidth="1"/>
  </cols>
  <sheetData>
    <row r="1" spans="1:12" x14ac:dyDescent="0.35">
      <c r="A1" t="s">
        <v>31</v>
      </c>
      <c r="B1" t="s">
        <v>30</v>
      </c>
      <c r="C1" t="s">
        <v>567</v>
      </c>
      <c r="D1" t="s">
        <v>490</v>
      </c>
      <c r="E1" t="s">
        <v>493</v>
      </c>
      <c r="F1" t="s">
        <v>713</v>
      </c>
    </row>
    <row r="2" spans="1:12" x14ac:dyDescent="0.35">
      <c r="A2" t="s">
        <v>169</v>
      </c>
      <c r="B2" t="s">
        <v>177</v>
      </c>
      <c r="C2">
        <v>4.0035822309575364E-3</v>
      </c>
      <c r="D2">
        <v>1.7252294981640149E-2</v>
      </c>
      <c r="E2">
        <v>2.6007190942472464E-2</v>
      </c>
      <c r="F2">
        <v>7.7272662313206996E-3</v>
      </c>
    </row>
    <row r="3" spans="1:12" x14ac:dyDescent="0.35">
      <c r="A3" t="s">
        <v>169</v>
      </c>
      <c r="B3" t="s">
        <v>178</v>
      </c>
      <c r="C3">
        <v>3.4369433198380546E-2</v>
      </c>
      <c r="D3">
        <v>0.14810526315789468</v>
      </c>
      <c r="E3">
        <v>0.22326315789473675</v>
      </c>
      <c r="F3">
        <v>6.6336032388663937E-2</v>
      </c>
      <c r="G3" s="40"/>
    </row>
    <row r="4" spans="1:12" x14ac:dyDescent="0.35">
      <c r="A4" t="s">
        <v>169</v>
      </c>
      <c r="B4" t="s">
        <v>179</v>
      </c>
      <c r="C4">
        <v>4.005110101708312E-3</v>
      </c>
      <c r="D4">
        <v>1.7258878904578556E-2</v>
      </c>
      <c r="E4">
        <v>2.6017115960633344E-2</v>
      </c>
      <c r="F4">
        <v>7.7302151564025917E-3</v>
      </c>
      <c r="G4" s="40"/>
    </row>
    <row r="5" spans="1:12" x14ac:dyDescent="0.35">
      <c r="A5" t="s">
        <v>169</v>
      </c>
      <c r="B5" t="s">
        <v>180</v>
      </c>
      <c r="C5">
        <v>4.0049388846211814E-3</v>
      </c>
      <c r="D5">
        <v>1.7258141093407786E-2</v>
      </c>
      <c r="E5">
        <v>2.6016003737823677E-2</v>
      </c>
      <c r="F5">
        <v>7.7298846923483282E-3</v>
      </c>
      <c r="G5" s="40"/>
    </row>
    <row r="6" spans="1:12" x14ac:dyDescent="0.35">
      <c r="A6" t="s">
        <v>169</v>
      </c>
      <c r="B6" t="s">
        <v>181</v>
      </c>
      <c r="C6">
        <v>4.0042204963078058E-3</v>
      </c>
      <c r="D6">
        <v>1.7255045404002967E-2</v>
      </c>
      <c r="E6">
        <v>2.601133710155671E-2</v>
      </c>
      <c r="F6">
        <v>7.7284981396476028E-3</v>
      </c>
      <c r="G6" s="40"/>
    </row>
    <row r="7" spans="1:12" x14ac:dyDescent="0.35">
      <c r="A7" t="s">
        <v>169</v>
      </c>
      <c r="B7" t="s">
        <v>176</v>
      </c>
      <c r="C7">
        <v>4.0039122706390859E-3</v>
      </c>
      <c r="D7">
        <v>1.7253717193452783E-2</v>
      </c>
      <c r="E7">
        <v>2.6009334873712407E-2</v>
      </c>
      <c r="F7">
        <v>7.7279032369669196E-3</v>
      </c>
      <c r="G7" s="40"/>
    </row>
    <row r="8" spans="1:12" x14ac:dyDescent="0.35">
      <c r="A8" t="s">
        <v>169</v>
      </c>
      <c r="B8" t="s">
        <v>171</v>
      </c>
      <c r="C8">
        <v>1.7184716599190273E-2</v>
      </c>
      <c r="D8">
        <v>7.4052631578947342E-2</v>
      </c>
      <c r="E8">
        <v>0.11163157894736837</v>
      </c>
      <c r="F8">
        <v>3.3168016194331969E-2</v>
      </c>
      <c r="G8" s="40"/>
    </row>
    <row r="9" spans="1:12" x14ac:dyDescent="0.35">
      <c r="A9" t="s">
        <v>169</v>
      </c>
      <c r="B9" t="s">
        <v>172</v>
      </c>
      <c r="C9">
        <v>4.0060475708501983E-3</v>
      </c>
      <c r="D9">
        <v>1.7262918660287067E-2</v>
      </c>
      <c r="E9">
        <v>2.6023205741626768E-2</v>
      </c>
      <c r="F9">
        <v>7.732024554392967E-3</v>
      </c>
      <c r="G9" s="40"/>
      <c r="H9" s="40"/>
      <c r="I9" s="40"/>
      <c r="J9" s="40"/>
      <c r="K9" s="40"/>
      <c r="L9" s="40"/>
    </row>
    <row r="10" spans="1:12" x14ac:dyDescent="0.35">
      <c r="A10" t="s">
        <v>169</v>
      </c>
      <c r="B10" t="s">
        <v>173</v>
      </c>
      <c r="C10">
        <v>4.0049388846211814E-3</v>
      </c>
      <c r="D10">
        <v>1.7258141093407786E-2</v>
      </c>
      <c r="E10">
        <v>2.6016003737823677E-2</v>
      </c>
      <c r="F10">
        <v>7.7298846923483282E-3</v>
      </c>
      <c r="G10" s="40"/>
      <c r="H10" s="40"/>
      <c r="I10" s="40"/>
      <c r="J10" s="40"/>
      <c r="K10" s="40"/>
      <c r="L10" s="40"/>
    </row>
    <row r="11" spans="1:12" x14ac:dyDescent="0.35">
      <c r="A11" t="s">
        <v>169</v>
      </c>
      <c r="B11" t="s">
        <v>174</v>
      </c>
      <c r="C11">
        <v>4.0045134321770445E-3</v>
      </c>
      <c r="D11">
        <v>1.7256307727526069E-2</v>
      </c>
      <c r="E11">
        <v>2.601324000716616E-2</v>
      </c>
      <c r="F11">
        <v>7.7290635316689784E-3</v>
      </c>
      <c r="G11" s="40"/>
      <c r="H11" s="40"/>
      <c r="I11" s="40"/>
      <c r="J11" s="40"/>
      <c r="K11" s="40"/>
      <c r="L11" s="40"/>
    </row>
    <row r="12" spans="1:12" x14ac:dyDescent="0.35">
      <c r="A12" t="s">
        <v>169</v>
      </c>
      <c r="B12" t="s">
        <v>175</v>
      </c>
      <c r="C12">
        <v>4.0045616481607137E-3</v>
      </c>
      <c r="D12">
        <v>1.7256515500546601E-2</v>
      </c>
      <c r="E12">
        <v>2.6013553217241893E-2</v>
      </c>
      <c r="F12">
        <v>7.7291565927630002E-3</v>
      </c>
      <c r="G12" s="40"/>
      <c r="H12" s="40"/>
      <c r="I12" s="40"/>
      <c r="J12" s="40"/>
      <c r="K12" s="40"/>
      <c r="L12" s="40"/>
    </row>
    <row r="13" spans="1:12" x14ac:dyDescent="0.35">
      <c r="A13" t="s">
        <v>169</v>
      </c>
      <c r="B13" t="s">
        <v>170</v>
      </c>
      <c r="C13">
        <v>4.0044011747527673E-3</v>
      </c>
      <c r="D13">
        <v>1.725582398619498E-2</v>
      </c>
      <c r="E13">
        <v>2.60125107851596E-2</v>
      </c>
      <c r="F13">
        <v>7.7288468649555726E-3</v>
      </c>
      <c r="G13" s="40"/>
      <c r="H13" s="40"/>
      <c r="I13" s="40"/>
      <c r="J13" s="40"/>
      <c r="K13" s="40"/>
      <c r="L13" s="40"/>
    </row>
    <row r="14" spans="1:12" x14ac:dyDescent="0.35">
      <c r="A14" t="s">
        <v>182</v>
      </c>
      <c r="B14" t="s">
        <v>193</v>
      </c>
      <c r="C14">
        <v>1.9639676113360313E-3</v>
      </c>
      <c r="D14">
        <v>8.4631578947368391E-3</v>
      </c>
      <c r="E14">
        <v>1.2757894736842098E-2</v>
      </c>
      <c r="F14">
        <v>3.7906304222093679E-3</v>
      </c>
      <c r="G14" s="40"/>
      <c r="H14" s="40"/>
      <c r="I14" s="40"/>
      <c r="J14" s="40"/>
      <c r="K14" s="40"/>
      <c r="L14" s="40"/>
    </row>
    <row r="15" spans="1:12" x14ac:dyDescent="0.35">
      <c r="A15" t="s">
        <v>182</v>
      </c>
      <c r="B15" t="s">
        <v>189</v>
      </c>
      <c r="C15">
        <v>1.9690293835301956E-3</v>
      </c>
      <c r="D15">
        <v>8.4849701573521362E-3</v>
      </c>
      <c r="E15">
        <v>1.2790775908844266E-2</v>
      </c>
      <c r="F15">
        <v>3.8004000882459884E-3</v>
      </c>
      <c r="G15" s="40"/>
      <c r="H15" s="40"/>
      <c r="I15" s="40"/>
      <c r="J15" s="40"/>
      <c r="K15" s="40"/>
      <c r="L15" s="40"/>
    </row>
    <row r="16" spans="1:12" x14ac:dyDescent="0.35">
      <c r="A16" t="s">
        <v>182</v>
      </c>
      <c r="B16" t="s">
        <v>194</v>
      </c>
      <c r="C16">
        <v>1.9690293835301956E-3</v>
      </c>
      <c r="D16">
        <v>8.4849701573521362E-3</v>
      </c>
      <c r="E16">
        <v>1.2790775908844266E-2</v>
      </c>
      <c r="F16">
        <v>3.8004000882459884E-3</v>
      </c>
      <c r="G16" s="40"/>
      <c r="H16" s="40"/>
      <c r="I16" s="40"/>
      <c r="J16" s="40"/>
      <c r="K16" s="40"/>
      <c r="L16" s="40"/>
    </row>
    <row r="17" spans="1:13" x14ac:dyDescent="0.35">
      <c r="A17" t="s">
        <v>182</v>
      </c>
      <c r="B17" t="s">
        <v>191</v>
      </c>
      <c r="C17">
        <v>1.9639676113360313E-3</v>
      </c>
      <c r="D17">
        <v>8.4631578947368391E-3</v>
      </c>
      <c r="E17">
        <v>1.2757894736842098E-2</v>
      </c>
      <c r="F17">
        <v>3.7906304222093679E-3</v>
      </c>
      <c r="G17" s="40"/>
      <c r="H17" s="40"/>
      <c r="I17" s="40"/>
      <c r="J17" s="40"/>
      <c r="K17" s="40"/>
      <c r="L17" s="40"/>
    </row>
    <row r="18" spans="1:13" x14ac:dyDescent="0.35">
      <c r="A18" t="s">
        <v>182</v>
      </c>
      <c r="B18" t="s">
        <v>190</v>
      </c>
      <c r="C18">
        <v>1.9690293835301956E-3</v>
      </c>
      <c r="D18">
        <v>8.4849701573521362E-3</v>
      </c>
      <c r="E18">
        <v>1.2790775908844266E-2</v>
      </c>
      <c r="F18">
        <v>3.8004000882459884E-3</v>
      </c>
      <c r="G18" s="40"/>
      <c r="H18" s="40"/>
      <c r="I18" s="40"/>
      <c r="J18" s="40"/>
      <c r="K18" s="40"/>
      <c r="L18" s="40"/>
    </row>
    <row r="19" spans="1:13" x14ac:dyDescent="0.35">
      <c r="A19" t="s">
        <v>182</v>
      </c>
      <c r="B19" t="s">
        <v>192</v>
      </c>
      <c r="C19">
        <v>1.9690293835301956E-3</v>
      </c>
      <c r="D19">
        <v>8.4849701573521362E-3</v>
      </c>
      <c r="E19">
        <v>1.2790775908844266E-2</v>
      </c>
      <c r="F19">
        <v>3.8004000882459884E-3</v>
      </c>
      <c r="G19" s="40"/>
      <c r="H19" s="40"/>
      <c r="I19" s="40"/>
      <c r="J19" s="40"/>
      <c r="K19" s="40"/>
      <c r="L19" s="40"/>
    </row>
    <row r="20" spans="1:13" x14ac:dyDescent="0.35">
      <c r="A20" t="s">
        <v>182</v>
      </c>
      <c r="B20" t="s">
        <v>200</v>
      </c>
      <c r="C20">
        <v>2.3867661943319735E-3</v>
      </c>
      <c r="D20">
        <v>1.0285087719298203E-2</v>
      </c>
      <c r="E20">
        <v>1.5504385964912217E-2</v>
      </c>
      <c r="F20">
        <v>4.6066689158794222E-3</v>
      </c>
      <c r="G20" s="40"/>
      <c r="H20" s="40"/>
      <c r="I20" s="40"/>
      <c r="J20" s="40"/>
      <c r="K20" s="40"/>
      <c r="L20" s="40"/>
    </row>
    <row r="21" spans="1:13" x14ac:dyDescent="0.35">
      <c r="A21" t="s">
        <v>182</v>
      </c>
      <c r="B21" t="s">
        <v>197</v>
      </c>
      <c r="C21">
        <v>2.3867661943319735E-3</v>
      </c>
      <c r="D21">
        <v>1.0285087719298203E-2</v>
      </c>
      <c r="E21">
        <v>1.5504385964912217E-2</v>
      </c>
      <c r="F21">
        <v>4.6066689158794222E-3</v>
      </c>
      <c r="G21" s="40"/>
      <c r="H21" s="40"/>
      <c r="I21" s="40"/>
      <c r="J21" s="40"/>
      <c r="K21" s="40"/>
      <c r="L21" s="40"/>
    </row>
    <row r="22" spans="1:13" x14ac:dyDescent="0.35">
      <c r="A22" t="s">
        <v>182</v>
      </c>
      <c r="B22" t="s">
        <v>196</v>
      </c>
      <c r="C22">
        <v>2.3867661943319735E-3</v>
      </c>
      <c r="D22">
        <v>1.0285087719298203E-2</v>
      </c>
      <c r="E22">
        <v>1.5504385964912217E-2</v>
      </c>
      <c r="F22">
        <v>4.6066689158794222E-3</v>
      </c>
      <c r="G22" s="40"/>
      <c r="H22" s="40"/>
      <c r="I22" s="40"/>
      <c r="J22" s="40"/>
      <c r="K22" s="40"/>
      <c r="L22" s="40"/>
    </row>
    <row r="23" spans="1:13" x14ac:dyDescent="0.35">
      <c r="A23" t="s">
        <v>182</v>
      </c>
      <c r="B23" t="s">
        <v>199</v>
      </c>
      <c r="C23">
        <v>2.3867661943319735E-3</v>
      </c>
      <c r="D23">
        <v>1.0285087719298203E-2</v>
      </c>
      <c r="E23">
        <v>1.5504385964912217E-2</v>
      </c>
      <c r="F23">
        <v>4.6066689158794222E-3</v>
      </c>
      <c r="G23" s="40"/>
      <c r="H23" s="40"/>
      <c r="I23" s="40"/>
      <c r="J23" s="40"/>
      <c r="K23" s="40"/>
      <c r="L23" s="40"/>
    </row>
    <row r="24" spans="1:13" x14ac:dyDescent="0.35">
      <c r="A24" t="s">
        <v>182</v>
      </c>
      <c r="B24" t="s">
        <v>195</v>
      </c>
      <c r="C24">
        <v>2.3867661943319735E-3</v>
      </c>
      <c r="D24">
        <v>1.0285087719298203E-2</v>
      </c>
      <c r="E24">
        <v>1.5504385964912217E-2</v>
      </c>
      <c r="F24">
        <v>4.6066689158794222E-3</v>
      </c>
      <c r="G24" s="40"/>
      <c r="H24" s="40"/>
      <c r="I24" s="40"/>
      <c r="J24" s="40"/>
      <c r="K24" s="40"/>
      <c r="L24" s="40"/>
    </row>
    <row r="25" spans="1:13" x14ac:dyDescent="0.35">
      <c r="A25" t="s">
        <v>182</v>
      </c>
      <c r="B25" t="s">
        <v>198</v>
      </c>
      <c r="C25">
        <v>2.3867661943319735E-3</v>
      </c>
      <c r="D25">
        <v>1.0285087719298203E-2</v>
      </c>
      <c r="E25">
        <v>1.5504385964912217E-2</v>
      </c>
      <c r="F25">
        <v>4.6066689158794222E-3</v>
      </c>
      <c r="G25" s="40"/>
      <c r="H25" s="40"/>
      <c r="I25" s="40"/>
      <c r="J25" s="40"/>
      <c r="K25" s="40"/>
      <c r="L25" s="40"/>
      <c r="M25" s="40"/>
    </row>
    <row r="26" spans="1:13" x14ac:dyDescent="0.35">
      <c r="A26" t="s">
        <v>182</v>
      </c>
      <c r="B26" t="s">
        <v>208</v>
      </c>
      <c r="C26">
        <v>4.3221491446581769E-3</v>
      </c>
      <c r="D26">
        <v>1.8625068175620398E-2</v>
      </c>
      <c r="E26">
        <v>2.8076595309517314E-2</v>
      </c>
      <c r="F26">
        <v>8.342128425387901E-3</v>
      </c>
      <c r="G26" s="40"/>
      <c r="H26" s="40"/>
      <c r="I26" s="40"/>
      <c r="J26" s="40"/>
      <c r="K26" s="40"/>
      <c r="L26" s="40"/>
      <c r="M26" s="40"/>
    </row>
    <row r="27" spans="1:13" x14ac:dyDescent="0.35">
      <c r="A27" t="s">
        <v>182</v>
      </c>
      <c r="B27" t="s">
        <v>207</v>
      </c>
      <c r="C27">
        <v>4.3216505676817504E-3</v>
      </c>
      <c r="D27">
        <v>1.8622919700436884E-2</v>
      </c>
      <c r="E27">
        <v>2.8073356563345152E-2</v>
      </c>
      <c r="F27">
        <v>8.3411661279224284E-3</v>
      </c>
      <c r="G27" s="40"/>
      <c r="H27" s="40"/>
      <c r="I27" s="40"/>
      <c r="J27" s="40"/>
      <c r="K27" s="40"/>
      <c r="L27" s="40"/>
      <c r="M27" s="40"/>
    </row>
    <row r="28" spans="1:13" x14ac:dyDescent="0.35">
      <c r="A28" t="s">
        <v>182</v>
      </c>
      <c r="B28" t="s">
        <v>209</v>
      </c>
      <c r="C28">
        <v>4.2961791497975526E-3</v>
      </c>
      <c r="D28">
        <v>1.8513157894736766E-2</v>
      </c>
      <c r="E28">
        <v>2.7907894736841989E-2</v>
      </c>
      <c r="F28">
        <v>8.292004048582961E-3</v>
      </c>
      <c r="G28" s="40"/>
      <c r="H28" s="40"/>
      <c r="I28" s="40"/>
      <c r="J28" s="40"/>
      <c r="K28" s="40"/>
      <c r="L28" s="40"/>
      <c r="M28" s="40"/>
    </row>
    <row r="29" spans="1:13" x14ac:dyDescent="0.35">
      <c r="A29" t="s">
        <v>182</v>
      </c>
      <c r="B29" t="s">
        <v>212</v>
      </c>
      <c r="C29">
        <v>4.3216505676817504E-3</v>
      </c>
      <c r="D29">
        <v>1.8622919700436884E-2</v>
      </c>
      <c r="E29">
        <v>2.8073356563345152E-2</v>
      </c>
      <c r="F29">
        <v>8.3411661279224284E-3</v>
      </c>
      <c r="G29" s="40"/>
      <c r="H29" s="40"/>
      <c r="I29" s="40"/>
      <c r="J29" s="40"/>
      <c r="K29" s="40"/>
      <c r="L29" s="40"/>
      <c r="M29" s="40"/>
    </row>
    <row r="30" spans="1:13" x14ac:dyDescent="0.35">
      <c r="A30" t="s">
        <v>182</v>
      </c>
      <c r="B30" t="s">
        <v>211</v>
      </c>
      <c r="C30">
        <v>4.2961791497975526E-3</v>
      </c>
      <c r="D30">
        <v>1.8513157894736766E-2</v>
      </c>
      <c r="E30">
        <v>2.7907894736841989E-2</v>
      </c>
      <c r="F30">
        <v>8.292004048582961E-3</v>
      </c>
      <c r="G30" s="40"/>
      <c r="H30" s="40"/>
      <c r="I30" s="40"/>
      <c r="J30" s="40"/>
      <c r="K30" s="40"/>
      <c r="L30" s="40"/>
      <c r="M30" s="40"/>
    </row>
    <row r="31" spans="1:13" x14ac:dyDescent="0.35">
      <c r="A31" t="s">
        <v>182</v>
      </c>
      <c r="B31" t="s">
        <v>210</v>
      </c>
      <c r="C31">
        <v>4.3236307737579398E-3</v>
      </c>
      <c r="D31">
        <v>1.8631452833361366E-2</v>
      </c>
      <c r="E31">
        <v>2.8086219942828328E-2</v>
      </c>
      <c r="F31">
        <v>8.3449881000116442E-3</v>
      </c>
      <c r="G31" s="40"/>
      <c r="H31" s="40"/>
      <c r="I31" s="40"/>
      <c r="J31" s="40"/>
      <c r="K31" s="40"/>
      <c r="L31" s="40"/>
      <c r="M31" s="40"/>
    </row>
    <row r="32" spans="1:13" x14ac:dyDescent="0.35">
      <c r="A32" t="s">
        <v>182</v>
      </c>
      <c r="B32" t="s">
        <v>202</v>
      </c>
      <c r="C32">
        <v>3.4369433198380549E-3</v>
      </c>
      <c r="D32">
        <v>1.4810526315789468E-2</v>
      </c>
      <c r="E32">
        <v>2.2326315789473673E-2</v>
      </c>
      <c r="F32">
        <v>6.6336032388663929E-3</v>
      </c>
      <c r="G32" s="40"/>
      <c r="H32" s="40"/>
      <c r="I32" s="40"/>
      <c r="J32" s="40"/>
      <c r="K32" s="40"/>
      <c r="L32" s="40"/>
      <c r="M32" s="40"/>
    </row>
    <row r="33" spans="1:13" x14ac:dyDescent="0.35">
      <c r="A33" t="s">
        <v>182</v>
      </c>
      <c r="B33" t="s">
        <v>204</v>
      </c>
      <c r="C33">
        <v>3.1843883794026692E-3</v>
      </c>
      <c r="D33">
        <v>1.3722212880443911E-2</v>
      </c>
      <c r="E33">
        <v>2.0685723894400522E-2</v>
      </c>
      <c r="F33">
        <v>6.146149965722855E-3</v>
      </c>
      <c r="G33" s="40"/>
      <c r="H33" s="40"/>
      <c r="I33" s="40"/>
      <c r="J33" s="40"/>
      <c r="K33" s="40"/>
      <c r="L33" s="40"/>
      <c r="M33" s="40"/>
    </row>
    <row r="34" spans="1:13" x14ac:dyDescent="0.35">
      <c r="A34" t="s">
        <v>182</v>
      </c>
      <c r="B34" t="s">
        <v>203</v>
      </c>
      <c r="C34">
        <v>3.4369433198380549E-3</v>
      </c>
      <c r="D34">
        <v>1.4810526315789468E-2</v>
      </c>
      <c r="E34">
        <v>2.2326315789473673E-2</v>
      </c>
      <c r="F34">
        <v>6.6336032388663929E-3</v>
      </c>
      <c r="G34" s="40"/>
      <c r="H34" s="40"/>
      <c r="I34" s="40"/>
      <c r="J34" s="40"/>
      <c r="K34" s="40"/>
      <c r="L34" s="40"/>
      <c r="M34" s="40"/>
    </row>
    <row r="35" spans="1:13" x14ac:dyDescent="0.35">
      <c r="A35" t="s">
        <v>182</v>
      </c>
      <c r="B35" t="s">
        <v>206</v>
      </c>
      <c r="C35">
        <v>3.1846469265535476E-3</v>
      </c>
      <c r="D35">
        <v>1.3723327015599952E-2</v>
      </c>
      <c r="E35">
        <v>2.0687403411576048E-2</v>
      </c>
      <c r="F35">
        <v>6.1466489844897816E-3</v>
      </c>
      <c r="G35" s="40"/>
      <c r="H35" s="40"/>
      <c r="I35" s="40"/>
      <c r="J35" s="40"/>
      <c r="K35" s="40"/>
      <c r="L35" s="40"/>
      <c r="M35" s="40"/>
    </row>
    <row r="36" spans="1:13" x14ac:dyDescent="0.35">
      <c r="A36" t="s">
        <v>182</v>
      </c>
      <c r="B36" t="s">
        <v>205</v>
      </c>
      <c r="C36">
        <v>3.4369433198380549E-3</v>
      </c>
      <c r="D36">
        <v>1.4810526315789468E-2</v>
      </c>
      <c r="E36">
        <v>2.2326315789473673E-2</v>
      </c>
      <c r="F36">
        <v>6.6336032388663929E-3</v>
      </c>
      <c r="G36" s="40"/>
      <c r="H36" s="40"/>
      <c r="I36" s="40"/>
      <c r="J36" s="40"/>
      <c r="K36" s="40"/>
      <c r="L36" s="40"/>
      <c r="M36" s="40"/>
    </row>
    <row r="37" spans="1:13" x14ac:dyDescent="0.35">
      <c r="A37" t="s">
        <v>182</v>
      </c>
      <c r="B37" t="s">
        <v>201</v>
      </c>
      <c r="C37">
        <v>3.1840361698876993E-3</v>
      </c>
      <c r="D37">
        <v>1.3720695134061531E-2</v>
      </c>
      <c r="E37">
        <v>2.068343594836141E-2</v>
      </c>
      <c r="F37">
        <v>6.1454701703460212E-3</v>
      </c>
      <c r="G37" s="40"/>
      <c r="H37" s="40"/>
      <c r="I37" s="40"/>
      <c r="J37" s="40"/>
      <c r="K37" s="40"/>
      <c r="L37" s="40"/>
      <c r="M37" s="40"/>
    </row>
    <row r="38" spans="1:13" x14ac:dyDescent="0.35">
      <c r="A38" t="s">
        <v>182</v>
      </c>
      <c r="B38" t="s">
        <v>185</v>
      </c>
      <c r="C38">
        <v>2.0289270211611486E-3</v>
      </c>
      <c r="D38">
        <v>8.7430819316331992E-3</v>
      </c>
      <c r="E38">
        <v>1.3179869777536615E-2</v>
      </c>
      <c r="F38">
        <v>3.9160078030126833E-3</v>
      </c>
      <c r="G38" s="40"/>
      <c r="H38" s="40"/>
      <c r="I38" s="40"/>
      <c r="J38" s="40"/>
      <c r="K38" s="40"/>
      <c r="L38" s="40"/>
      <c r="M38" s="40"/>
    </row>
    <row r="39" spans="1:13" x14ac:dyDescent="0.35">
      <c r="A39" t="s">
        <v>182</v>
      </c>
      <c r="B39" t="s">
        <v>188</v>
      </c>
      <c r="C39">
        <v>2.0457995951416916E-3</v>
      </c>
      <c r="D39">
        <v>8.8157894736841744E-3</v>
      </c>
      <c r="E39">
        <v>1.3289473684210473E-2</v>
      </c>
      <c r="F39">
        <v>3.9485733564680768E-3</v>
      </c>
      <c r="G39" s="40"/>
      <c r="H39" s="40"/>
      <c r="I39" s="40"/>
      <c r="J39" s="40"/>
      <c r="K39" s="40"/>
      <c r="L39" s="40"/>
      <c r="M39" s="40"/>
    </row>
    <row r="40" spans="1:13" x14ac:dyDescent="0.35">
      <c r="A40" t="s">
        <v>182</v>
      </c>
      <c r="B40" t="s">
        <v>186</v>
      </c>
      <c r="C40">
        <v>2.0457995951416916E-3</v>
      </c>
      <c r="D40">
        <v>8.8157894736841744E-3</v>
      </c>
      <c r="E40">
        <v>1.3289473684210473E-2</v>
      </c>
      <c r="F40">
        <v>3.9485733564680768E-3</v>
      </c>
      <c r="G40" s="40"/>
      <c r="H40" s="40"/>
      <c r="I40" s="40"/>
      <c r="J40" s="40"/>
      <c r="K40" s="40"/>
      <c r="L40" s="40"/>
      <c r="M40" s="40"/>
    </row>
    <row r="41" spans="1:13" x14ac:dyDescent="0.35">
      <c r="A41" t="s">
        <v>182</v>
      </c>
      <c r="B41" t="s">
        <v>184</v>
      </c>
      <c r="C41">
        <v>2.0294331983805678E-3</v>
      </c>
      <c r="D41">
        <v>8.7452631578947421E-3</v>
      </c>
      <c r="E41">
        <v>1.3183157894736851E-2</v>
      </c>
      <c r="F41">
        <v>3.9169847696163508E-3</v>
      </c>
      <c r="G41" s="40"/>
      <c r="H41" s="40"/>
      <c r="I41" s="40"/>
      <c r="J41" s="40"/>
      <c r="K41" s="40"/>
      <c r="L41" s="40"/>
      <c r="M41" s="40"/>
    </row>
    <row r="42" spans="1:13" x14ac:dyDescent="0.35">
      <c r="A42" t="s">
        <v>182</v>
      </c>
      <c r="B42" t="s">
        <v>183</v>
      </c>
      <c r="C42">
        <v>2.0289270211611486E-3</v>
      </c>
      <c r="D42">
        <v>8.7430819316331992E-3</v>
      </c>
      <c r="E42">
        <v>1.3179869777536615E-2</v>
      </c>
      <c r="F42">
        <v>3.9160078030126833E-3</v>
      </c>
      <c r="G42" s="40"/>
      <c r="H42" s="40"/>
      <c r="I42" s="40"/>
      <c r="J42" s="40"/>
      <c r="K42" s="40"/>
      <c r="L42" s="40"/>
      <c r="M42" s="40"/>
    </row>
    <row r="43" spans="1:13" x14ac:dyDescent="0.35">
      <c r="A43" t="s">
        <v>182</v>
      </c>
      <c r="B43" t="s">
        <v>187</v>
      </c>
      <c r="C43">
        <v>2.0263157894736868E-3</v>
      </c>
      <c r="D43">
        <v>8.7318295739348493E-3</v>
      </c>
      <c r="E43">
        <v>1.3162907268170446E-2</v>
      </c>
      <c r="F43">
        <v>3.9109678959303078E-3</v>
      </c>
      <c r="G43" s="40"/>
      <c r="H43" s="40"/>
      <c r="I43" s="40"/>
      <c r="J43" s="40"/>
      <c r="K43" s="40"/>
      <c r="L43" s="40"/>
      <c r="M43" s="40"/>
    </row>
    <row r="44" spans="1:13" x14ac:dyDescent="0.35">
      <c r="A44" t="s">
        <v>182</v>
      </c>
      <c r="B44" t="s">
        <v>216</v>
      </c>
      <c r="C44">
        <v>2.0457995951416916E-3</v>
      </c>
      <c r="D44">
        <v>8.8157894736841744E-3</v>
      </c>
      <c r="E44">
        <v>1.3289473684210473E-2</v>
      </c>
      <c r="F44">
        <v>3.9485733564680768E-3</v>
      </c>
      <c r="G44" s="40"/>
      <c r="H44" s="40"/>
      <c r="I44" s="40"/>
      <c r="J44" s="40"/>
      <c r="K44" s="40"/>
      <c r="L44" s="40"/>
      <c r="M44" s="40"/>
    </row>
    <row r="45" spans="1:13" x14ac:dyDescent="0.35">
      <c r="A45" t="s">
        <v>182</v>
      </c>
      <c r="B45" t="s">
        <v>217</v>
      </c>
      <c r="C45">
        <v>2.0457995951416916E-3</v>
      </c>
      <c r="D45">
        <v>8.8157894736841744E-3</v>
      </c>
      <c r="E45">
        <v>1.3289473684210473E-2</v>
      </c>
      <c r="F45">
        <v>3.9485733564680768E-3</v>
      </c>
      <c r="G45" s="40"/>
      <c r="H45" s="40"/>
      <c r="I45" s="40"/>
      <c r="J45" s="40"/>
      <c r="K45" s="40"/>
      <c r="L45" s="40"/>
      <c r="M45" s="40"/>
    </row>
    <row r="46" spans="1:13" x14ac:dyDescent="0.35">
      <c r="A46" t="s">
        <v>182</v>
      </c>
      <c r="B46" t="s">
        <v>218</v>
      </c>
      <c r="C46">
        <v>2.0457995951416916E-3</v>
      </c>
      <c r="D46">
        <v>8.8157894736841744E-3</v>
      </c>
      <c r="E46">
        <v>1.3289473684210473E-2</v>
      </c>
      <c r="F46">
        <v>3.9485733564680768E-3</v>
      </c>
      <c r="G46" s="40"/>
      <c r="H46" s="40"/>
      <c r="I46" s="40"/>
      <c r="J46" s="40"/>
      <c r="K46" s="40"/>
      <c r="L46" s="40"/>
      <c r="M46" s="40"/>
    </row>
    <row r="47" spans="1:13" x14ac:dyDescent="0.35">
      <c r="A47" t="s">
        <v>182</v>
      </c>
      <c r="B47" t="s">
        <v>214</v>
      </c>
      <c r="C47">
        <v>2.0457995951416916E-3</v>
      </c>
      <c r="D47">
        <v>8.8157894736841744E-3</v>
      </c>
      <c r="E47">
        <v>1.3289473684210473E-2</v>
      </c>
      <c r="F47">
        <v>3.9485733564680768E-3</v>
      </c>
      <c r="G47" s="40"/>
      <c r="H47" s="40"/>
      <c r="I47" s="40"/>
      <c r="J47" s="40"/>
      <c r="K47" s="40"/>
      <c r="L47" s="40"/>
      <c r="M47" s="40"/>
    </row>
    <row r="48" spans="1:13" x14ac:dyDescent="0.35">
      <c r="A48" t="s">
        <v>182</v>
      </c>
      <c r="B48" t="s">
        <v>213</v>
      </c>
      <c r="C48">
        <v>2.0457995951416916E-3</v>
      </c>
      <c r="D48">
        <v>8.8157894736841744E-3</v>
      </c>
      <c r="E48">
        <v>1.3289473684210473E-2</v>
      </c>
      <c r="F48">
        <v>3.9485733564680768E-3</v>
      </c>
      <c r="G48" s="40"/>
      <c r="H48" s="40"/>
      <c r="I48" s="40"/>
      <c r="J48" s="40"/>
      <c r="K48" s="40"/>
      <c r="L48" s="40"/>
      <c r="M48" s="40"/>
    </row>
    <row r="49" spans="1:20" x14ac:dyDescent="0.35">
      <c r="A49" t="s">
        <v>182</v>
      </c>
      <c r="B49" t="s">
        <v>215</v>
      </c>
      <c r="C49">
        <v>2.0457995951416916E-3</v>
      </c>
      <c r="D49">
        <v>8.8157894736841744E-3</v>
      </c>
      <c r="E49">
        <v>1.3289473684210473E-2</v>
      </c>
      <c r="F49">
        <v>3.9485733564680768E-3</v>
      </c>
      <c r="G49" s="40"/>
      <c r="H49" s="40"/>
      <c r="I49" s="40"/>
      <c r="J49" s="40"/>
      <c r="K49" s="40"/>
      <c r="L49" s="40"/>
      <c r="M49" s="40"/>
    </row>
    <row r="50" spans="1:20" x14ac:dyDescent="0.35">
      <c r="N50" s="40"/>
      <c r="O50" s="40"/>
      <c r="P50" s="40"/>
      <c r="Q50" s="40"/>
      <c r="R50" s="40"/>
      <c r="S50" s="40"/>
      <c r="T50" s="40"/>
    </row>
    <row r="51" spans="1:20" x14ac:dyDescent="0.35">
      <c r="N51" s="40"/>
      <c r="O51" s="40"/>
      <c r="P51" s="40"/>
      <c r="Q51" s="40"/>
      <c r="R51" s="40"/>
      <c r="S51" s="40"/>
      <c r="T51" s="40"/>
    </row>
    <row r="52" spans="1:20" x14ac:dyDescent="0.35">
      <c r="N52" s="40"/>
      <c r="O52" s="40"/>
      <c r="P52" s="40"/>
      <c r="Q52" s="40"/>
      <c r="R52" s="40"/>
      <c r="S52" s="40"/>
      <c r="T52" s="40"/>
    </row>
    <row r="53" spans="1:20" x14ac:dyDescent="0.35">
      <c r="N53" s="40"/>
      <c r="O53" s="40"/>
      <c r="P53" s="40"/>
      <c r="Q53" s="40"/>
      <c r="R53" s="40"/>
      <c r="S53" s="40"/>
      <c r="T53" s="40"/>
    </row>
    <row r="54" spans="1:20" x14ac:dyDescent="0.35">
      <c r="N54" s="40"/>
      <c r="O54" s="40"/>
      <c r="P54" s="40"/>
      <c r="Q54" s="40"/>
      <c r="R54" s="40"/>
      <c r="S54" s="40"/>
      <c r="T54" s="40"/>
    </row>
    <row r="55" spans="1:20" x14ac:dyDescent="0.35">
      <c r="N55" s="40"/>
      <c r="O55" s="40"/>
      <c r="P55" s="40"/>
      <c r="Q55" s="40"/>
      <c r="R55" s="40"/>
      <c r="S55" s="40"/>
      <c r="T55" s="40"/>
    </row>
    <row r="56" spans="1:20" x14ac:dyDescent="0.35">
      <c r="N56" s="40"/>
      <c r="O56" s="40"/>
      <c r="P56" s="40"/>
      <c r="Q56" s="40"/>
      <c r="R56" s="40"/>
      <c r="S56" s="40"/>
      <c r="T56" s="40"/>
    </row>
    <row r="57" spans="1:20" x14ac:dyDescent="0.35">
      <c r="N57" s="40"/>
      <c r="O57" s="40"/>
      <c r="P57" s="40"/>
      <c r="Q57" s="40"/>
      <c r="R57" s="40"/>
      <c r="S57" s="40"/>
      <c r="T57" s="40"/>
    </row>
    <row r="58" spans="1:20" x14ac:dyDescent="0.35">
      <c r="N58" s="40"/>
      <c r="O58" s="40"/>
      <c r="P58" s="40"/>
      <c r="Q58" s="40"/>
      <c r="R58" s="40"/>
      <c r="S58" s="40"/>
      <c r="T58" s="40"/>
    </row>
    <row r="59" spans="1:20" x14ac:dyDescent="0.35">
      <c r="N59" s="40"/>
      <c r="O59" s="40"/>
      <c r="P59" s="40"/>
      <c r="Q59" s="40"/>
      <c r="R59" s="40"/>
      <c r="S59" s="40"/>
      <c r="T59" s="40"/>
    </row>
    <row r="60" spans="1:20" x14ac:dyDescent="0.35">
      <c r="N60" s="40"/>
      <c r="O60" s="40"/>
      <c r="P60" s="40"/>
      <c r="Q60" s="40"/>
      <c r="R60" s="40"/>
      <c r="S60" s="40"/>
      <c r="T60" s="40"/>
    </row>
    <row r="61" spans="1:20" x14ac:dyDescent="0.35">
      <c r="N61" s="40"/>
      <c r="O61" s="40"/>
      <c r="P61" s="40"/>
      <c r="Q61" s="40"/>
      <c r="R61" s="40"/>
      <c r="S61" s="40"/>
      <c r="T61" s="40"/>
    </row>
    <row r="62" spans="1:20" x14ac:dyDescent="0.35">
      <c r="N62" s="40"/>
      <c r="O62" s="40"/>
      <c r="P62" s="40"/>
      <c r="Q62" s="40"/>
      <c r="R62" s="40"/>
      <c r="S62" s="40"/>
      <c r="T62" s="40"/>
    </row>
    <row r="63" spans="1:20" x14ac:dyDescent="0.35">
      <c r="N63" s="40"/>
      <c r="O63" s="40"/>
      <c r="P63" s="40"/>
      <c r="Q63" s="40"/>
      <c r="R63" s="40"/>
      <c r="S63" s="40"/>
      <c r="T63" s="40"/>
    </row>
    <row r="64" spans="1:20" x14ac:dyDescent="0.35">
      <c r="N64" s="40"/>
      <c r="O64" s="40"/>
      <c r="P64" s="40"/>
      <c r="Q64" s="40"/>
      <c r="R64" s="40"/>
      <c r="S64" s="40"/>
      <c r="T64" s="40"/>
    </row>
    <row r="65" spans="14:20" x14ac:dyDescent="0.35">
      <c r="N65" s="40"/>
      <c r="O65" s="40"/>
      <c r="P65" s="40"/>
      <c r="Q65" s="40"/>
      <c r="R65" s="40"/>
      <c r="S65" s="40"/>
      <c r="T65" s="40"/>
    </row>
    <row r="66" spans="14:20" x14ac:dyDescent="0.35">
      <c r="N66" s="40"/>
      <c r="O66" s="40"/>
      <c r="P66" s="40"/>
      <c r="Q66" s="40"/>
      <c r="R66" s="40"/>
      <c r="S66" s="40"/>
      <c r="T66" s="40"/>
    </row>
    <row r="67" spans="14:20" x14ac:dyDescent="0.35">
      <c r="N67" s="40"/>
      <c r="O67" s="40"/>
      <c r="P67" s="40"/>
      <c r="Q67" s="40"/>
      <c r="R67" s="40"/>
      <c r="S67" s="40"/>
      <c r="T67" s="40"/>
    </row>
    <row r="68" spans="14:20" x14ac:dyDescent="0.35">
      <c r="N68" s="40"/>
      <c r="O68" s="40"/>
      <c r="P68" s="40"/>
      <c r="Q68" s="40"/>
      <c r="R68" s="40"/>
      <c r="S68" s="40"/>
      <c r="T68" s="40"/>
    </row>
    <row r="69" spans="14:20" x14ac:dyDescent="0.35">
      <c r="N69" s="40"/>
      <c r="O69" s="40"/>
      <c r="P69" s="40"/>
      <c r="Q69" s="40"/>
      <c r="R69" s="40"/>
      <c r="S69" s="40"/>
      <c r="T69" s="40"/>
    </row>
    <row r="70" spans="14:20" x14ac:dyDescent="0.35">
      <c r="N70" s="40"/>
      <c r="O70" s="40"/>
      <c r="P70" s="40"/>
      <c r="Q70" s="40"/>
      <c r="R70" s="40"/>
      <c r="S70" s="40"/>
      <c r="T70" s="40"/>
    </row>
    <row r="71" spans="14:20" x14ac:dyDescent="0.35">
      <c r="N71" s="40"/>
      <c r="O71" s="40"/>
      <c r="P71" s="40"/>
      <c r="Q71" s="40"/>
      <c r="R71" s="40"/>
      <c r="S71" s="40"/>
      <c r="T71" s="40"/>
    </row>
    <row r="72" spans="14:20" x14ac:dyDescent="0.35">
      <c r="N72" s="40"/>
      <c r="O72" s="40"/>
      <c r="P72" s="40"/>
      <c r="Q72" s="40"/>
      <c r="R72" s="40"/>
      <c r="S72" s="40"/>
      <c r="T72" s="40"/>
    </row>
    <row r="73" spans="14:20" x14ac:dyDescent="0.35">
      <c r="N73" s="40"/>
      <c r="O73" s="40"/>
      <c r="P73" s="40"/>
      <c r="Q73" s="40"/>
      <c r="R73" s="40"/>
      <c r="S73" s="40"/>
      <c r="T73" s="40"/>
    </row>
    <row r="74" spans="14:20" x14ac:dyDescent="0.35">
      <c r="N74" s="40"/>
      <c r="O74" s="40"/>
      <c r="P74" s="40"/>
      <c r="Q74" s="40"/>
      <c r="R74" s="40"/>
      <c r="S74" s="40"/>
      <c r="T74" s="40"/>
    </row>
    <row r="75" spans="14:20" x14ac:dyDescent="0.35">
      <c r="N75" s="40"/>
      <c r="O75" s="40"/>
      <c r="P75" s="40"/>
      <c r="Q75" s="40"/>
      <c r="R75" s="40"/>
      <c r="S75" s="40"/>
      <c r="T75" s="40"/>
    </row>
    <row r="76" spans="14:20" x14ac:dyDescent="0.35">
      <c r="N76" s="40"/>
      <c r="O76" s="40"/>
      <c r="P76" s="40"/>
      <c r="Q76" s="40"/>
      <c r="R76" s="40"/>
      <c r="S76" s="40"/>
      <c r="T76" s="40"/>
    </row>
    <row r="77" spans="14:20" x14ac:dyDescent="0.35">
      <c r="N77" s="40"/>
      <c r="O77" s="40"/>
      <c r="P77" s="40"/>
      <c r="Q77" s="40"/>
      <c r="R77" s="40"/>
      <c r="S77" s="40"/>
      <c r="T77" s="40"/>
    </row>
    <row r="78" spans="14:20" x14ac:dyDescent="0.35">
      <c r="N78" s="40"/>
      <c r="O78" s="40"/>
      <c r="P78" s="40"/>
      <c r="Q78" s="40"/>
      <c r="R78" s="40"/>
      <c r="S78" s="40"/>
      <c r="T78" s="40"/>
    </row>
    <row r="79" spans="14:20" x14ac:dyDescent="0.35">
      <c r="N79" s="40"/>
      <c r="O79" s="40"/>
      <c r="P79" s="40"/>
      <c r="Q79" s="40"/>
      <c r="R79" s="40"/>
      <c r="S79" s="40"/>
      <c r="T79" s="40"/>
    </row>
    <row r="80" spans="14:20" x14ac:dyDescent="0.35">
      <c r="N80" s="40"/>
      <c r="O80" s="40"/>
      <c r="P80" s="40"/>
      <c r="Q80" s="40"/>
      <c r="R80" s="40"/>
      <c r="S80" s="40"/>
      <c r="T80" s="40"/>
    </row>
    <row r="81" spans="14:20" x14ac:dyDescent="0.35">
      <c r="N81" s="40"/>
      <c r="O81" s="40"/>
      <c r="P81" s="40"/>
      <c r="Q81" s="40"/>
      <c r="R81" s="40"/>
      <c r="S81" s="40"/>
      <c r="T81" s="40"/>
    </row>
    <row r="82" spans="14:20" x14ac:dyDescent="0.35">
      <c r="N82" s="40"/>
      <c r="O82" s="40"/>
      <c r="P82" s="40"/>
      <c r="Q82" s="40"/>
      <c r="R82" s="40"/>
      <c r="S82" s="40"/>
      <c r="T82" s="40"/>
    </row>
    <row r="83" spans="14:20" x14ac:dyDescent="0.35">
      <c r="N83" s="40"/>
      <c r="O83" s="40"/>
      <c r="P83" s="40"/>
      <c r="Q83" s="40"/>
      <c r="R83" s="40"/>
      <c r="S83" s="40"/>
      <c r="T83" s="40"/>
    </row>
    <row r="84" spans="14:20" x14ac:dyDescent="0.35">
      <c r="N84" s="40"/>
      <c r="O84" s="40"/>
      <c r="P84" s="40"/>
      <c r="Q84" s="40"/>
      <c r="R84" s="40"/>
      <c r="S84" s="40"/>
      <c r="T84" s="40"/>
    </row>
    <row r="85" spans="14:20" x14ac:dyDescent="0.35">
      <c r="N85" s="40"/>
      <c r="O85" s="40"/>
      <c r="P85" s="40"/>
      <c r="Q85" s="40"/>
      <c r="R85" s="40"/>
      <c r="S85" s="40"/>
      <c r="T85" s="40"/>
    </row>
    <row r="86" spans="14:20" x14ac:dyDescent="0.35">
      <c r="N86" s="40"/>
      <c r="O86" s="40"/>
      <c r="P86" s="40"/>
      <c r="Q86" s="40"/>
      <c r="R86" s="40"/>
      <c r="S86" s="40"/>
      <c r="T86" s="40"/>
    </row>
    <row r="87" spans="14:20" x14ac:dyDescent="0.35">
      <c r="N87" s="40"/>
      <c r="O87" s="40"/>
      <c r="P87" s="40"/>
      <c r="Q87" s="40"/>
      <c r="R87" s="40"/>
      <c r="S87" s="40"/>
      <c r="T87" s="40"/>
    </row>
    <row r="88" spans="14:20" x14ac:dyDescent="0.35">
      <c r="N88" s="40"/>
      <c r="O88" s="40"/>
      <c r="P88" s="40"/>
      <c r="Q88" s="40"/>
      <c r="R88" s="40"/>
      <c r="S88" s="40"/>
      <c r="T88" s="40"/>
    </row>
    <row r="89" spans="14:20" x14ac:dyDescent="0.35">
      <c r="N89" s="40"/>
      <c r="O89" s="40"/>
      <c r="P89" s="40"/>
      <c r="Q89" s="40"/>
      <c r="R89" s="40"/>
      <c r="S89" s="40"/>
      <c r="T89" s="40"/>
    </row>
    <row r="90" spans="14:20" x14ac:dyDescent="0.35">
      <c r="N90" s="40"/>
      <c r="O90" s="40"/>
      <c r="P90" s="40"/>
      <c r="Q90" s="40"/>
      <c r="R90" s="40"/>
      <c r="S90" s="40"/>
      <c r="T90" s="40"/>
    </row>
    <row r="91" spans="14:20" x14ac:dyDescent="0.35">
      <c r="N91" s="40"/>
      <c r="O91" s="40"/>
      <c r="P91" s="40"/>
      <c r="Q91" s="40"/>
      <c r="R91" s="40"/>
      <c r="S91" s="40"/>
      <c r="T91" s="40"/>
    </row>
    <row r="92" spans="14:20" x14ac:dyDescent="0.35">
      <c r="N92" s="40"/>
      <c r="O92" s="40"/>
      <c r="P92" s="40"/>
      <c r="Q92" s="40"/>
      <c r="R92" s="40"/>
      <c r="S92" s="40"/>
      <c r="T92" s="40"/>
    </row>
    <row r="93" spans="14:20" x14ac:dyDescent="0.35">
      <c r="N93" s="40"/>
      <c r="O93" s="40"/>
      <c r="P93" s="40"/>
      <c r="Q93" s="40"/>
      <c r="R93" s="40"/>
      <c r="S93" s="40"/>
      <c r="T93" s="40"/>
    </row>
    <row r="94" spans="14:20" x14ac:dyDescent="0.35">
      <c r="N94" s="40"/>
      <c r="O94" s="40"/>
      <c r="P94" s="40"/>
      <c r="Q94" s="40"/>
      <c r="R94" s="40"/>
      <c r="S94" s="40"/>
      <c r="T94" s="40"/>
    </row>
    <row r="95" spans="14:20" x14ac:dyDescent="0.35">
      <c r="N95" s="40"/>
      <c r="O95" s="40"/>
      <c r="P95" s="40"/>
      <c r="Q95" s="40"/>
      <c r="R95" s="40"/>
      <c r="S95" s="40"/>
      <c r="T95" s="40"/>
    </row>
    <row r="96" spans="14:20" x14ac:dyDescent="0.35">
      <c r="N96" s="40"/>
      <c r="O96" s="40"/>
      <c r="P96" s="40"/>
      <c r="Q96" s="40"/>
      <c r="R96" s="40"/>
      <c r="S96" s="40"/>
      <c r="T96" s="40"/>
    </row>
    <row r="97" spans="14:20" x14ac:dyDescent="0.35">
      <c r="N97" s="40"/>
      <c r="O97" s="40"/>
      <c r="P97" s="40"/>
      <c r="Q97" s="40"/>
      <c r="R97" s="40"/>
      <c r="S97" s="40"/>
      <c r="T97" s="40"/>
    </row>
    <row r="98" spans="14:20" x14ac:dyDescent="0.35">
      <c r="N98" s="40"/>
      <c r="O98" s="40"/>
      <c r="P98" s="40"/>
      <c r="Q98" s="40"/>
      <c r="R98" s="40"/>
      <c r="S98" s="40"/>
      <c r="T98" s="40"/>
    </row>
    <row r="99" spans="14:20" x14ac:dyDescent="0.35">
      <c r="N99" s="40"/>
      <c r="O99" s="40"/>
      <c r="P99" s="40"/>
      <c r="Q99" s="40"/>
      <c r="R99" s="40"/>
      <c r="S99" s="40"/>
      <c r="T99" s="40"/>
    </row>
    <row r="100" spans="14:20" x14ac:dyDescent="0.35">
      <c r="N100" s="40"/>
      <c r="O100" s="40"/>
      <c r="P100" s="40"/>
      <c r="Q100" s="40"/>
      <c r="R100" s="40"/>
      <c r="S100" s="40"/>
      <c r="T100" s="40"/>
    </row>
    <row r="101" spans="14:20" x14ac:dyDescent="0.35">
      <c r="N101" s="40"/>
      <c r="O101" s="40"/>
      <c r="P101" s="40"/>
      <c r="Q101" s="40"/>
      <c r="R101" s="40"/>
      <c r="S101" s="40"/>
      <c r="T101" s="40"/>
    </row>
    <row r="102" spans="14:20" x14ac:dyDescent="0.35">
      <c r="N102" s="40"/>
      <c r="O102" s="40"/>
      <c r="P102" s="40"/>
      <c r="Q102" s="40"/>
      <c r="R102" s="40"/>
      <c r="S102" s="40"/>
      <c r="T102" s="40"/>
    </row>
    <row r="103" spans="14:20" x14ac:dyDescent="0.35">
      <c r="N103" s="40"/>
      <c r="O103" s="40"/>
      <c r="P103" s="40"/>
      <c r="Q103" s="40"/>
      <c r="R103" s="40"/>
      <c r="S103" s="40"/>
      <c r="T103" s="40"/>
    </row>
    <row r="104" spans="14:20" x14ac:dyDescent="0.35">
      <c r="N104" s="40"/>
      <c r="O104" s="40"/>
      <c r="P104" s="40"/>
      <c r="Q104" s="40"/>
      <c r="R104" s="40"/>
      <c r="S104" s="40"/>
      <c r="T104" s="40"/>
    </row>
    <row r="105" spans="14:20" x14ac:dyDescent="0.35">
      <c r="N105" s="40"/>
      <c r="O105" s="40"/>
      <c r="P105" s="40"/>
      <c r="Q105" s="40"/>
      <c r="R105" s="40"/>
      <c r="S105" s="40"/>
      <c r="T105" s="40"/>
    </row>
    <row r="106" spans="14:20" x14ac:dyDescent="0.35">
      <c r="N106" s="40"/>
      <c r="O106" s="40"/>
      <c r="P106" s="40"/>
      <c r="Q106" s="40"/>
      <c r="R106" s="40"/>
      <c r="S106" s="40"/>
      <c r="T106" s="40"/>
    </row>
    <row r="107" spans="14:20" x14ac:dyDescent="0.35">
      <c r="N107" s="40"/>
      <c r="O107" s="40"/>
      <c r="P107" s="40"/>
      <c r="Q107" s="40"/>
      <c r="R107" s="40"/>
      <c r="S107" s="40"/>
      <c r="T107" s="40"/>
    </row>
    <row r="108" spans="14:20" x14ac:dyDescent="0.35">
      <c r="N108" s="40"/>
      <c r="O108" s="40"/>
      <c r="P108" s="40"/>
      <c r="Q108" s="40"/>
      <c r="R108" s="40"/>
      <c r="S108" s="40"/>
      <c r="T108" s="40"/>
    </row>
    <row r="109" spans="14:20" x14ac:dyDescent="0.35">
      <c r="N109" s="40"/>
      <c r="O109" s="40"/>
      <c r="P109" s="40"/>
      <c r="Q109" s="40"/>
      <c r="R109" s="40"/>
      <c r="S109" s="40"/>
      <c r="T109" s="40"/>
    </row>
    <row r="110" spans="14:20" x14ac:dyDescent="0.35">
      <c r="N110" s="40"/>
      <c r="O110" s="40"/>
      <c r="P110" s="40"/>
      <c r="Q110" s="40"/>
      <c r="R110" s="40"/>
      <c r="S110" s="40"/>
      <c r="T110" s="40"/>
    </row>
    <row r="111" spans="14:20" x14ac:dyDescent="0.35">
      <c r="N111" s="40"/>
      <c r="O111" s="40"/>
      <c r="P111" s="40"/>
      <c r="Q111" s="40"/>
      <c r="R111" s="40"/>
      <c r="S111" s="40"/>
      <c r="T111" s="40"/>
    </row>
    <row r="112" spans="14:20" x14ac:dyDescent="0.35">
      <c r="N112" s="40"/>
      <c r="O112" s="40"/>
      <c r="P112" s="40"/>
      <c r="Q112" s="40"/>
      <c r="R112" s="40"/>
      <c r="S112" s="40"/>
      <c r="T112" s="40"/>
    </row>
    <row r="113" spans="14:20" x14ac:dyDescent="0.35">
      <c r="N113" s="40"/>
      <c r="O113" s="40"/>
      <c r="P113" s="40"/>
      <c r="Q113" s="40"/>
      <c r="R113" s="40"/>
      <c r="S113" s="40"/>
      <c r="T113" s="40"/>
    </row>
    <row r="114" spans="14:20" x14ac:dyDescent="0.35">
      <c r="N114" s="40"/>
      <c r="O114" s="40"/>
      <c r="P114" s="40"/>
      <c r="Q114" s="40"/>
      <c r="R114" s="40"/>
      <c r="S114" s="40"/>
      <c r="T114" s="40"/>
    </row>
    <row r="115" spans="14:20" x14ac:dyDescent="0.35">
      <c r="N115" s="40"/>
      <c r="O115" s="40"/>
      <c r="P115" s="40"/>
      <c r="Q115" s="40"/>
      <c r="R115" s="40"/>
      <c r="S115" s="40"/>
      <c r="T115" s="40"/>
    </row>
    <row r="116" spans="14:20" x14ac:dyDescent="0.35">
      <c r="N116" s="40"/>
      <c r="O116" s="40"/>
      <c r="P116" s="40"/>
      <c r="Q116" s="40"/>
      <c r="R116" s="40"/>
      <c r="S116" s="40"/>
      <c r="T116" s="40"/>
    </row>
    <row r="117" spans="14:20" x14ac:dyDescent="0.35">
      <c r="N117" s="40"/>
      <c r="O117" s="40"/>
      <c r="P117" s="40"/>
      <c r="Q117" s="40"/>
      <c r="R117" s="40"/>
      <c r="S117" s="40"/>
      <c r="T117" s="40"/>
    </row>
    <row r="118" spans="14:20" x14ac:dyDescent="0.35">
      <c r="N118" s="40"/>
      <c r="O118" s="40"/>
      <c r="P118" s="40"/>
      <c r="Q118" s="40"/>
      <c r="R118" s="40"/>
      <c r="S118" s="40"/>
      <c r="T118" s="40"/>
    </row>
    <row r="119" spans="14:20" x14ac:dyDescent="0.35">
      <c r="N119" s="40"/>
      <c r="O119" s="40"/>
      <c r="P119" s="40"/>
      <c r="Q119" s="40"/>
      <c r="R119" s="40"/>
      <c r="S119" s="40"/>
      <c r="T119" s="40"/>
    </row>
    <row r="120" spans="14:20" x14ac:dyDescent="0.35">
      <c r="N120" s="40"/>
      <c r="O120" s="40"/>
      <c r="P120" s="40"/>
      <c r="Q120" s="40"/>
      <c r="R120" s="40"/>
      <c r="S120" s="40"/>
      <c r="T120" s="40"/>
    </row>
    <row r="121" spans="14:20" x14ac:dyDescent="0.35">
      <c r="N121" s="40"/>
      <c r="O121" s="40"/>
      <c r="P121" s="40"/>
      <c r="Q121" s="40"/>
      <c r="R121" s="40"/>
      <c r="S121" s="40"/>
      <c r="T121" s="40"/>
    </row>
    <row r="122" spans="14:20" x14ac:dyDescent="0.35">
      <c r="N122" s="40"/>
      <c r="O122" s="40"/>
      <c r="P122" s="40"/>
      <c r="Q122" s="40"/>
      <c r="R122" s="40"/>
      <c r="S122" s="40"/>
      <c r="T122" s="40"/>
    </row>
    <row r="123" spans="14:20" x14ac:dyDescent="0.35">
      <c r="N123" s="40"/>
      <c r="O123" s="40"/>
      <c r="P123" s="40"/>
      <c r="Q123" s="40"/>
      <c r="R123" s="40"/>
      <c r="S123" s="40"/>
      <c r="T123" s="40"/>
    </row>
    <row r="124" spans="14:20" x14ac:dyDescent="0.35">
      <c r="N124" s="40"/>
      <c r="O124" s="40"/>
      <c r="P124" s="40"/>
      <c r="Q124" s="40"/>
      <c r="R124" s="40"/>
      <c r="S124" s="40"/>
      <c r="T124" s="40"/>
    </row>
    <row r="125" spans="14:20" x14ac:dyDescent="0.35">
      <c r="N125" s="40"/>
      <c r="O125" s="40"/>
      <c r="P125" s="40"/>
      <c r="Q125" s="40"/>
      <c r="R125" s="40"/>
      <c r="S125" s="40"/>
      <c r="T125" s="40"/>
    </row>
    <row r="126" spans="14:20" x14ac:dyDescent="0.35">
      <c r="N126" s="40"/>
      <c r="O126" s="40"/>
      <c r="P126" s="40"/>
      <c r="Q126" s="40"/>
      <c r="R126" s="40"/>
      <c r="S126" s="40"/>
      <c r="T126" s="40"/>
    </row>
    <row r="127" spans="14:20" x14ac:dyDescent="0.35">
      <c r="N127" s="40"/>
      <c r="O127" s="40"/>
      <c r="P127" s="40"/>
      <c r="Q127" s="40"/>
      <c r="R127" s="40"/>
      <c r="S127" s="40"/>
      <c r="T127" s="40"/>
    </row>
    <row r="128" spans="14:20" x14ac:dyDescent="0.35">
      <c r="N128" s="40"/>
      <c r="O128" s="40"/>
      <c r="P128" s="40"/>
      <c r="Q128" s="40"/>
      <c r="R128" s="40"/>
      <c r="S128" s="40"/>
      <c r="T128" s="40"/>
    </row>
    <row r="129" spans="14:20" x14ac:dyDescent="0.35">
      <c r="N129" s="40"/>
      <c r="O129" s="40"/>
      <c r="P129" s="40"/>
      <c r="Q129" s="40"/>
      <c r="R129" s="40"/>
      <c r="S129" s="40"/>
      <c r="T129" s="40"/>
    </row>
    <row r="130" spans="14:20" x14ac:dyDescent="0.35">
      <c r="N130" s="40"/>
      <c r="O130" s="40"/>
      <c r="P130" s="40"/>
      <c r="Q130" s="40"/>
      <c r="R130" s="40"/>
      <c r="S130" s="40"/>
      <c r="T130" s="40"/>
    </row>
    <row r="131" spans="14:20" x14ac:dyDescent="0.35">
      <c r="N131" s="40"/>
      <c r="O131" s="40"/>
      <c r="P131" s="40"/>
      <c r="Q131" s="40"/>
      <c r="R131" s="40"/>
      <c r="S131" s="40"/>
      <c r="T131" s="40"/>
    </row>
    <row r="132" spans="14:20" x14ac:dyDescent="0.35">
      <c r="N132" s="40"/>
      <c r="O132" s="40"/>
      <c r="P132" s="40"/>
      <c r="Q132" s="40"/>
      <c r="R132" s="40"/>
      <c r="S132" s="40"/>
      <c r="T132" s="40"/>
    </row>
    <row r="133" spans="14:20" x14ac:dyDescent="0.35">
      <c r="N133" s="40"/>
      <c r="O133" s="40"/>
      <c r="P133" s="40"/>
      <c r="Q133" s="40"/>
      <c r="R133" s="40"/>
      <c r="S133" s="40"/>
      <c r="T133" s="40"/>
    </row>
    <row r="134" spans="14:20" x14ac:dyDescent="0.35">
      <c r="N134" s="40"/>
      <c r="O134" s="40"/>
      <c r="P134" s="40"/>
      <c r="Q134" s="40"/>
      <c r="R134" s="40"/>
      <c r="S134" s="40"/>
      <c r="T134" s="40"/>
    </row>
    <row r="135" spans="14:20" x14ac:dyDescent="0.35">
      <c r="N135" s="40"/>
      <c r="O135" s="40"/>
      <c r="P135" s="40"/>
      <c r="Q135" s="40"/>
      <c r="R135" s="40"/>
      <c r="S135" s="40"/>
      <c r="T135" s="40"/>
    </row>
    <row r="136" spans="14:20" x14ac:dyDescent="0.35">
      <c r="N136" s="40"/>
      <c r="O136" s="40"/>
      <c r="P136" s="40"/>
      <c r="Q136" s="40"/>
      <c r="R136" s="40"/>
      <c r="S136" s="40"/>
      <c r="T136" s="40"/>
    </row>
    <row r="137" spans="14:20" x14ac:dyDescent="0.35">
      <c r="N137" s="40"/>
      <c r="O137" s="40"/>
      <c r="P137" s="40"/>
      <c r="Q137" s="40"/>
      <c r="R137" s="40"/>
      <c r="S137" s="40"/>
      <c r="T137" s="40"/>
    </row>
    <row r="138" spans="14:20" x14ac:dyDescent="0.35">
      <c r="N138" s="40"/>
      <c r="O138" s="40"/>
      <c r="P138" s="40"/>
      <c r="Q138" s="40"/>
      <c r="R138" s="40"/>
      <c r="S138" s="40"/>
      <c r="T138" s="40"/>
    </row>
    <row r="139" spans="14:20" x14ac:dyDescent="0.35">
      <c r="N139" s="40"/>
      <c r="O139" s="40"/>
      <c r="P139" s="40"/>
      <c r="Q139" s="40"/>
      <c r="R139" s="40"/>
      <c r="S139" s="40"/>
      <c r="T139" s="40"/>
    </row>
    <row r="140" spans="14:20" x14ac:dyDescent="0.35">
      <c r="N140" s="40"/>
      <c r="O140" s="40"/>
      <c r="P140" s="40"/>
      <c r="Q140" s="40"/>
      <c r="R140" s="40"/>
      <c r="S140" s="40"/>
      <c r="T140" s="40"/>
    </row>
    <row r="141" spans="14:20" x14ac:dyDescent="0.35">
      <c r="N141" s="40"/>
      <c r="O141" s="40"/>
      <c r="P141" s="40"/>
      <c r="Q141" s="40"/>
      <c r="R141" s="40"/>
      <c r="S141" s="40"/>
      <c r="T141" s="40"/>
    </row>
    <row r="142" spans="14:20" x14ac:dyDescent="0.35">
      <c r="N142" s="40"/>
      <c r="O142" s="40"/>
      <c r="P142" s="40"/>
      <c r="Q142" s="40"/>
      <c r="R142" s="40"/>
      <c r="S142" s="40"/>
      <c r="T142" s="40"/>
    </row>
    <row r="143" spans="14:20" x14ac:dyDescent="0.35">
      <c r="N143" s="40"/>
      <c r="O143" s="40"/>
      <c r="P143" s="40"/>
      <c r="Q143" s="40"/>
      <c r="R143" s="40"/>
      <c r="S143" s="40"/>
      <c r="T143" s="40"/>
    </row>
    <row r="144" spans="14:20" x14ac:dyDescent="0.35">
      <c r="N144" s="40"/>
      <c r="O144" s="40"/>
      <c r="P144" s="40"/>
      <c r="Q144" s="40"/>
      <c r="R144" s="40"/>
      <c r="S144" s="40"/>
      <c r="T144" s="40"/>
    </row>
    <row r="145" spans="14:20" x14ac:dyDescent="0.35">
      <c r="N145" s="40"/>
      <c r="O145" s="40"/>
      <c r="P145" s="40"/>
      <c r="Q145" s="40"/>
      <c r="R145" s="40"/>
      <c r="S145" s="40"/>
      <c r="T145" s="40"/>
    </row>
    <row r="146" spans="14:20" x14ac:dyDescent="0.35">
      <c r="N146" s="40"/>
      <c r="O146" s="40"/>
      <c r="P146" s="40"/>
      <c r="Q146" s="40"/>
      <c r="R146" s="40"/>
      <c r="S146" s="40"/>
      <c r="T146" s="40"/>
    </row>
    <row r="147" spans="14:20" x14ac:dyDescent="0.35">
      <c r="N147" s="40"/>
      <c r="O147" s="40"/>
      <c r="P147" s="40"/>
      <c r="Q147" s="40"/>
      <c r="R147" s="40"/>
      <c r="S147" s="40"/>
      <c r="T147" s="40"/>
    </row>
    <row r="148" spans="14:20" x14ac:dyDescent="0.35">
      <c r="N148" s="40"/>
      <c r="O148" s="40"/>
      <c r="P148" s="40"/>
      <c r="Q148" s="40"/>
      <c r="R148" s="40"/>
      <c r="S148" s="40"/>
      <c r="T148" s="40"/>
    </row>
    <row r="149" spans="14:20" x14ac:dyDescent="0.35">
      <c r="N149" s="40"/>
      <c r="O149" s="40"/>
      <c r="P149" s="40"/>
      <c r="Q149" s="40"/>
      <c r="R149" s="40"/>
      <c r="S149" s="40"/>
      <c r="T149" s="40"/>
    </row>
    <row r="150" spans="14:20" x14ac:dyDescent="0.35">
      <c r="N150" s="40"/>
      <c r="O150" s="40"/>
      <c r="P150" s="40"/>
      <c r="Q150" s="40"/>
      <c r="R150" s="40"/>
      <c r="S150" s="40"/>
      <c r="T150" s="40"/>
    </row>
    <row r="151" spans="14:20" x14ac:dyDescent="0.35">
      <c r="N151" s="40"/>
      <c r="O151" s="40"/>
      <c r="P151" s="40"/>
      <c r="Q151" s="40"/>
      <c r="R151" s="40"/>
      <c r="S151" s="40"/>
      <c r="T151" s="40"/>
    </row>
    <row r="152" spans="14:20" x14ac:dyDescent="0.35">
      <c r="N152" s="40"/>
      <c r="O152" s="40"/>
      <c r="P152" s="40"/>
      <c r="Q152" s="40"/>
      <c r="R152" s="40"/>
      <c r="S152" s="40"/>
      <c r="T152" s="40"/>
    </row>
    <row r="153" spans="14:20" x14ac:dyDescent="0.35">
      <c r="N153" s="40"/>
      <c r="O153" s="40"/>
      <c r="P153" s="40"/>
      <c r="Q153" s="40"/>
      <c r="R153" s="40"/>
      <c r="S153" s="40"/>
      <c r="T153" s="40"/>
    </row>
    <row r="154" spans="14:20" x14ac:dyDescent="0.35">
      <c r="N154" s="40"/>
      <c r="O154" s="40"/>
      <c r="P154" s="40"/>
      <c r="Q154" s="40"/>
      <c r="R154" s="40"/>
      <c r="S154" s="40"/>
      <c r="T154" s="40"/>
    </row>
    <row r="155" spans="14:20" x14ac:dyDescent="0.35">
      <c r="N155" s="40"/>
      <c r="O155" s="40"/>
      <c r="P155" s="40"/>
      <c r="Q155" s="40"/>
      <c r="R155" s="40"/>
      <c r="S155" s="40"/>
      <c r="T155" s="40"/>
    </row>
    <row r="156" spans="14:20" x14ac:dyDescent="0.35">
      <c r="N156" s="40"/>
      <c r="O156" s="40"/>
      <c r="P156" s="40"/>
      <c r="Q156" s="40"/>
      <c r="R156" s="40"/>
      <c r="S156" s="40"/>
      <c r="T156" s="40"/>
    </row>
    <row r="157" spans="14:20" x14ac:dyDescent="0.35">
      <c r="N157" s="40"/>
      <c r="O157" s="40"/>
      <c r="P157" s="40"/>
      <c r="Q157" s="40"/>
      <c r="R157" s="40"/>
      <c r="S157" s="40"/>
      <c r="T157" s="40"/>
    </row>
    <row r="158" spans="14:20" x14ac:dyDescent="0.35">
      <c r="N158" s="40"/>
      <c r="O158" s="40"/>
      <c r="P158" s="40"/>
      <c r="Q158" s="40"/>
      <c r="R158" s="40"/>
      <c r="S158" s="40"/>
      <c r="T158" s="40"/>
    </row>
    <row r="159" spans="14:20" x14ac:dyDescent="0.35">
      <c r="N159" s="40"/>
      <c r="O159" s="40"/>
      <c r="P159" s="40"/>
      <c r="Q159" s="40"/>
      <c r="R159" s="40"/>
      <c r="S159" s="40"/>
      <c r="T159" s="40"/>
    </row>
    <row r="160" spans="14:20" x14ac:dyDescent="0.35">
      <c r="N160" s="40"/>
      <c r="O160" s="40"/>
      <c r="P160" s="40"/>
      <c r="Q160" s="40"/>
      <c r="R160" s="40"/>
      <c r="S160" s="40"/>
      <c r="T160" s="40"/>
    </row>
    <row r="161" spans="14:20" x14ac:dyDescent="0.35">
      <c r="N161" s="40"/>
      <c r="O161" s="40"/>
      <c r="P161" s="40"/>
      <c r="Q161" s="40"/>
      <c r="R161" s="40"/>
      <c r="S161" s="40"/>
      <c r="T161" s="40"/>
    </row>
    <row r="162" spans="14:20" x14ac:dyDescent="0.35">
      <c r="N162" s="40"/>
      <c r="O162" s="40"/>
      <c r="P162" s="40"/>
      <c r="Q162" s="40"/>
      <c r="R162" s="40"/>
      <c r="S162" s="40"/>
      <c r="T162" s="40"/>
    </row>
    <row r="163" spans="14:20" x14ac:dyDescent="0.35">
      <c r="N163" s="40"/>
      <c r="O163" s="40"/>
      <c r="P163" s="40"/>
      <c r="Q163" s="40"/>
      <c r="R163" s="40"/>
      <c r="S163" s="40"/>
      <c r="T163" s="40"/>
    </row>
    <row r="164" spans="14:20" x14ac:dyDescent="0.35">
      <c r="N164" s="40"/>
      <c r="O164" s="40"/>
      <c r="P164" s="40"/>
      <c r="Q164" s="40"/>
      <c r="R164" s="40"/>
      <c r="S164" s="40"/>
      <c r="T164" s="40"/>
    </row>
    <row r="165" spans="14:20" x14ac:dyDescent="0.35">
      <c r="N165" s="40"/>
      <c r="O165" s="40"/>
      <c r="P165" s="40"/>
      <c r="Q165" s="40"/>
      <c r="R165" s="40"/>
      <c r="S165" s="40"/>
      <c r="T165" s="40"/>
    </row>
    <row r="166" spans="14:20" x14ac:dyDescent="0.35">
      <c r="N166" s="40"/>
      <c r="O166" s="40"/>
      <c r="P166" s="40"/>
      <c r="Q166" s="40"/>
      <c r="R166" s="40"/>
      <c r="S166" s="40"/>
      <c r="T166" s="40"/>
    </row>
    <row r="167" spans="14:20" x14ac:dyDescent="0.35">
      <c r="N167" s="40"/>
      <c r="O167" s="40"/>
      <c r="P167" s="40"/>
      <c r="Q167" s="40"/>
      <c r="R167" s="40"/>
      <c r="S167" s="40"/>
      <c r="T167" s="40"/>
    </row>
    <row r="168" spans="14:20" x14ac:dyDescent="0.35">
      <c r="N168" s="40"/>
      <c r="O168" s="40"/>
      <c r="P168" s="40"/>
      <c r="Q168" s="40"/>
      <c r="R168" s="40"/>
      <c r="S168" s="40"/>
      <c r="T168" s="40"/>
    </row>
    <row r="169" spans="14:20" x14ac:dyDescent="0.35">
      <c r="N169" s="40"/>
      <c r="O169" s="40"/>
      <c r="P169" s="40"/>
      <c r="Q169" s="40"/>
      <c r="R169" s="40"/>
      <c r="S169" s="40"/>
      <c r="T169" s="40"/>
    </row>
    <row r="170" spans="14:20" x14ac:dyDescent="0.35">
      <c r="N170" s="40"/>
      <c r="O170" s="40"/>
      <c r="P170" s="40"/>
      <c r="Q170" s="40"/>
      <c r="R170" s="40"/>
      <c r="S170" s="40"/>
      <c r="T170" s="40"/>
    </row>
    <row r="171" spans="14:20" x14ac:dyDescent="0.35">
      <c r="N171" s="40"/>
      <c r="O171" s="40"/>
      <c r="P171" s="40"/>
      <c r="Q171" s="40"/>
      <c r="R171" s="40"/>
      <c r="S171" s="40"/>
      <c r="T171" s="40"/>
    </row>
    <row r="172" spans="14:20" x14ac:dyDescent="0.35">
      <c r="N172" s="40"/>
      <c r="O172" s="40"/>
      <c r="P172" s="40"/>
      <c r="Q172" s="40"/>
      <c r="R172" s="40"/>
      <c r="S172" s="40"/>
      <c r="T172" s="40"/>
    </row>
    <row r="173" spans="14:20" x14ac:dyDescent="0.35">
      <c r="N173" s="40"/>
      <c r="O173" s="40"/>
      <c r="P173" s="40"/>
      <c r="Q173" s="40"/>
      <c r="R173" s="40"/>
      <c r="S173" s="40"/>
      <c r="T173" s="40"/>
    </row>
    <row r="174" spans="14:20" x14ac:dyDescent="0.35">
      <c r="N174" s="40"/>
      <c r="O174" s="40"/>
      <c r="P174" s="40"/>
      <c r="Q174" s="40"/>
      <c r="R174" s="40"/>
      <c r="S174" s="40"/>
      <c r="T174" s="40"/>
    </row>
    <row r="175" spans="14:20" x14ac:dyDescent="0.35">
      <c r="N175" s="40"/>
      <c r="O175" s="40"/>
      <c r="P175" s="40"/>
      <c r="Q175" s="40"/>
      <c r="R175" s="40"/>
      <c r="S175" s="40"/>
      <c r="T175" s="40"/>
    </row>
    <row r="176" spans="14:20" x14ac:dyDescent="0.35">
      <c r="N176" s="40"/>
      <c r="O176" s="40"/>
      <c r="P176" s="40"/>
      <c r="Q176" s="40"/>
      <c r="R176" s="40"/>
      <c r="S176" s="40"/>
      <c r="T176" s="40"/>
    </row>
    <row r="177" spans="14:20" x14ac:dyDescent="0.35">
      <c r="N177" s="40"/>
      <c r="O177" s="40"/>
      <c r="P177" s="40"/>
      <c r="Q177" s="40"/>
      <c r="R177" s="40"/>
      <c r="S177" s="40"/>
      <c r="T177" s="40"/>
    </row>
    <row r="178" spans="14:20" x14ac:dyDescent="0.35">
      <c r="N178" s="40"/>
      <c r="O178" s="40"/>
      <c r="P178" s="40"/>
      <c r="Q178" s="40"/>
      <c r="R178" s="40"/>
      <c r="S178" s="40"/>
      <c r="T178" s="40"/>
    </row>
    <row r="179" spans="14:20" x14ac:dyDescent="0.35">
      <c r="N179" s="40"/>
      <c r="O179" s="40"/>
      <c r="P179" s="40"/>
      <c r="Q179" s="40"/>
      <c r="R179" s="40"/>
      <c r="S179" s="40"/>
      <c r="T179" s="40"/>
    </row>
    <row r="180" spans="14:20" x14ac:dyDescent="0.35">
      <c r="N180" s="40"/>
      <c r="O180" s="40"/>
      <c r="P180" s="40"/>
      <c r="Q180" s="40"/>
      <c r="R180" s="40"/>
      <c r="S180" s="40"/>
      <c r="T180" s="40"/>
    </row>
    <row r="181" spans="14:20" x14ac:dyDescent="0.35">
      <c r="N181" s="40"/>
      <c r="O181" s="40"/>
      <c r="P181" s="40"/>
      <c r="Q181" s="40"/>
      <c r="R181" s="40"/>
      <c r="S181" s="40"/>
      <c r="T181" s="40"/>
    </row>
    <row r="182" spans="14:20" x14ac:dyDescent="0.35">
      <c r="N182" s="40"/>
      <c r="O182" s="40"/>
      <c r="P182" s="40"/>
      <c r="Q182" s="40"/>
      <c r="R182" s="40"/>
      <c r="S182" s="40"/>
      <c r="T182" s="40"/>
    </row>
    <row r="183" spans="14:20" x14ac:dyDescent="0.35">
      <c r="N183" s="40"/>
      <c r="O183" s="40"/>
      <c r="P183" s="40"/>
      <c r="Q183" s="40"/>
      <c r="R183" s="40"/>
      <c r="S183" s="40"/>
      <c r="T183" s="40"/>
    </row>
    <row r="184" spans="14:20" x14ac:dyDescent="0.35">
      <c r="N184" s="40"/>
      <c r="O184" s="40"/>
      <c r="P184" s="40"/>
      <c r="Q184" s="40"/>
      <c r="R184" s="40"/>
      <c r="S184" s="40"/>
      <c r="T184" s="40"/>
    </row>
    <row r="185" spans="14:20" x14ac:dyDescent="0.35">
      <c r="N185" s="40"/>
      <c r="O185" s="40"/>
      <c r="P185" s="40"/>
      <c r="Q185" s="40"/>
      <c r="R185" s="40"/>
      <c r="S185" s="40"/>
      <c r="T185" s="40"/>
    </row>
    <row r="186" spans="14:20" x14ac:dyDescent="0.35">
      <c r="N186" s="40"/>
      <c r="O186" s="40"/>
      <c r="P186" s="40"/>
      <c r="Q186" s="40"/>
      <c r="R186" s="40"/>
      <c r="S186" s="40"/>
      <c r="T186" s="40"/>
    </row>
    <row r="187" spans="14:20" x14ac:dyDescent="0.35">
      <c r="N187" s="40"/>
      <c r="O187" s="40"/>
      <c r="P187" s="40"/>
      <c r="Q187" s="40"/>
      <c r="R187" s="40"/>
      <c r="S187" s="40"/>
      <c r="T187" s="40"/>
    </row>
    <row r="188" spans="14:20" x14ac:dyDescent="0.35">
      <c r="N188" s="40"/>
      <c r="O188" s="40"/>
      <c r="P188" s="40"/>
      <c r="Q188" s="40"/>
      <c r="R188" s="40"/>
      <c r="S188" s="40"/>
      <c r="T188" s="40"/>
    </row>
    <row r="189" spans="14:20" x14ac:dyDescent="0.35">
      <c r="N189" s="40"/>
      <c r="O189" s="40"/>
      <c r="P189" s="40"/>
      <c r="Q189" s="40"/>
      <c r="R189" s="40"/>
      <c r="S189" s="40"/>
      <c r="T189" s="40"/>
    </row>
    <row r="190" spans="14:20" x14ac:dyDescent="0.35">
      <c r="N190" s="40"/>
      <c r="O190" s="40"/>
      <c r="P190" s="40"/>
      <c r="Q190" s="40"/>
      <c r="R190" s="40"/>
      <c r="S190" s="40"/>
      <c r="T190" s="40"/>
    </row>
    <row r="191" spans="14:20" x14ac:dyDescent="0.35">
      <c r="N191" s="40"/>
      <c r="O191" s="40"/>
      <c r="P191" s="40"/>
      <c r="Q191" s="40"/>
      <c r="R191" s="40"/>
      <c r="S191" s="40"/>
      <c r="T191" s="40"/>
    </row>
    <row r="192" spans="14:20" x14ac:dyDescent="0.35">
      <c r="N192" s="40"/>
      <c r="O192" s="40"/>
      <c r="P192" s="40"/>
      <c r="Q192" s="40"/>
      <c r="R192" s="40"/>
      <c r="S192" s="40"/>
      <c r="T192" s="40"/>
    </row>
    <row r="193" spans="14:20" x14ac:dyDescent="0.35">
      <c r="N193" s="40"/>
      <c r="O193" s="40"/>
      <c r="P193" s="40"/>
      <c r="Q193" s="40"/>
      <c r="R193" s="40"/>
      <c r="S193" s="40"/>
      <c r="T193" s="40"/>
    </row>
    <row r="194" spans="14:20" x14ac:dyDescent="0.35">
      <c r="N194" s="40"/>
      <c r="O194" s="40"/>
      <c r="P194" s="40"/>
      <c r="Q194" s="40"/>
      <c r="R194" s="40"/>
      <c r="S194" s="40"/>
      <c r="T194" s="40"/>
    </row>
    <row r="195" spans="14:20" x14ac:dyDescent="0.35">
      <c r="N195" s="40"/>
      <c r="O195" s="40"/>
      <c r="P195" s="40"/>
      <c r="Q195" s="40"/>
      <c r="R195" s="40"/>
      <c r="S195" s="40"/>
      <c r="T195" s="40"/>
    </row>
    <row r="196" spans="14:20" x14ac:dyDescent="0.35">
      <c r="N196" s="40"/>
      <c r="O196" s="40"/>
      <c r="P196" s="40"/>
      <c r="Q196" s="40"/>
      <c r="R196" s="40"/>
      <c r="S196" s="40"/>
      <c r="T196" s="40"/>
    </row>
    <row r="197" spans="14:20" x14ac:dyDescent="0.35">
      <c r="N197" s="40"/>
      <c r="O197" s="40"/>
      <c r="P197" s="40"/>
      <c r="Q197" s="40"/>
      <c r="R197" s="40"/>
      <c r="S197" s="40"/>
      <c r="T197" s="40"/>
    </row>
    <row r="198" spans="14:20" x14ac:dyDescent="0.35">
      <c r="N198" s="40"/>
      <c r="O198" s="40"/>
      <c r="P198" s="40"/>
      <c r="Q198" s="40"/>
      <c r="R198" s="40"/>
      <c r="S198" s="40"/>
      <c r="T198" s="40"/>
    </row>
    <row r="199" spans="14:20" x14ac:dyDescent="0.35">
      <c r="N199" s="40"/>
      <c r="O199" s="40"/>
      <c r="P199" s="40"/>
      <c r="Q199" s="40"/>
      <c r="R199" s="40"/>
      <c r="S199" s="40"/>
      <c r="T199" s="40"/>
    </row>
    <row r="200" spans="14:20" x14ac:dyDescent="0.35">
      <c r="N200" s="40"/>
      <c r="O200" s="40"/>
      <c r="P200" s="40"/>
      <c r="Q200" s="40"/>
      <c r="R200" s="40"/>
      <c r="S200" s="40"/>
      <c r="T200" s="40"/>
    </row>
    <row r="201" spans="14:20" x14ac:dyDescent="0.35">
      <c r="N201" s="40"/>
      <c r="O201" s="40"/>
      <c r="P201" s="40"/>
      <c r="Q201" s="40"/>
      <c r="R201" s="40"/>
      <c r="S201" s="40"/>
      <c r="T201" s="40"/>
    </row>
    <row r="202" spans="14:20" x14ac:dyDescent="0.35">
      <c r="N202" s="40"/>
      <c r="O202" s="40"/>
      <c r="P202" s="40"/>
      <c r="Q202" s="40"/>
      <c r="R202" s="40"/>
      <c r="S202" s="40"/>
      <c r="T202" s="40"/>
    </row>
    <row r="203" spans="14:20" x14ac:dyDescent="0.35">
      <c r="N203" s="40"/>
      <c r="O203" s="40"/>
      <c r="P203" s="40"/>
      <c r="Q203" s="40"/>
      <c r="R203" s="40"/>
      <c r="S203" s="40"/>
      <c r="T203" s="40"/>
    </row>
    <row r="204" spans="14:20" x14ac:dyDescent="0.35">
      <c r="N204" s="40"/>
      <c r="O204" s="40"/>
      <c r="P204" s="40"/>
      <c r="Q204" s="40"/>
      <c r="R204" s="40"/>
      <c r="S204" s="40"/>
      <c r="T204" s="40"/>
    </row>
    <row r="205" spans="14:20" x14ac:dyDescent="0.35">
      <c r="N205" s="40"/>
      <c r="O205" s="40"/>
      <c r="P205" s="40"/>
      <c r="Q205" s="40"/>
      <c r="R205" s="40"/>
      <c r="S205" s="40"/>
      <c r="T205" s="40"/>
    </row>
    <row r="206" spans="14:20" x14ac:dyDescent="0.35">
      <c r="N206" s="40"/>
      <c r="O206" s="40"/>
      <c r="P206" s="40"/>
      <c r="Q206" s="40"/>
      <c r="R206" s="40"/>
      <c r="S206" s="40"/>
      <c r="T206" s="40"/>
    </row>
    <row r="207" spans="14:20" x14ac:dyDescent="0.35">
      <c r="N207" s="40"/>
      <c r="O207" s="40"/>
      <c r="P207" s="40"/>
      <c r="Q207" s="40"/>
      <c r="R207" s="40"/>
      <c r="S207" s="40"/>
      <c r="T207" s="40"/>
    </row>
    <row r="208" spans="14:20" x14ac:dyDescent="0.35">
      <c r="N208" s="40"/>
      <c r="O208" s="40"/>
      <c r="P208" s="40"/>
      <c r="Q208" s="40"/>
      <c r="R208" s="40"/>
      <c r="S208" s="40"/>
      <c r="T208" s="40"/>
    </row>
    <row r="209" spans="14:20" x14ac:dyDescent="0.35">
      <c r="N209" s="40"/>
      <c r="O209" s="40"/>
      <c r="P209" s="40"/>
      <c r="Q209" s="40"/>
      <c r="R209" s="40"/>
      <c r="S209" s="40"/>
      <c r="T209" s="40"/>
    </row>
    <row r="210" spans="14:20" x14ac:dyDescent="0.35">
      <c r="N210" s="40"/>
      <c r="O210" s="40"/>
      <c r="P210" s="40"/>
      <c r="Q210" s="40"/>
      <c r="R210" s="40"/>
      <c r="S210" s="40"/>
      <c r="T210" s="40"/>
    </row>
    <row r="211" spans="14:20" x14ac:dyDescent="0.35">
      <c r="N211" s="40"/>
      <c r="O211" s="40"/>
      <c r="P211" s="40"/>
      <c r="Q211" s="40"/>
      <c r="R211" s="40"/>
      <c r="S211" s="40"/>
      <c r="T211" s="40"/>
    </row>
    <row r="212" spans="14:20" x14ac:dyDescent="0.35">
      <c r="N212" s="40"/>
      <c r="O212" s="40"/>
      <c r="P212" s="40"/>
      <c r="Q212" s="40"/>
      <c r="R212" s="40"/>
      <c r="S212" s="40"/>
      <c r="T212" s="40"/>
    </row>
    <row r="213" spans="14:20" x14ac:dyDescent="0.35">
      <c r="N213" s="40"/>
      <c r="O213" s="40"/>
      <c r="P213" s="40"/>
      <c r="Q213" s="40"/>
      <c r="R213" s="40"/>
      <c r="S213" s="40"/>
      <c r="T213" s="40"/>
    </row>
    <row r="214" spans="14:20" x14ac:dyDescent="0.35">
      <c r="N214" s="40"/>
      <c r="O214" s="40"/>
      <c r="P214" s="40"/>
      <c r="Q214" s="40"/>
      <c r="R214" s="40"/>
      <c r="S214" s="40"/>
      <c r="T214" s="40"/>
    </row>
    <row r="215" spans="14:20" x14ac:dyDescent="0.35">
      <c r="N215" s="40"/>
      <c r="O215" s="40"/>
      <c r="P215" s="40"/>
      <c r="Q215" s="40"/>
      <c r="R215" s="40"/>
      <c r="S215" s="40"/>
      <c r="T215" s="40"/>
    </row>
    <row r="216" spans="14:20" x14ac:dyDescent="0.35">
      <c r="N216" s="40"/>
      <c r="O216" s="40"/>
      <c r="P216" s="40"/>
      <c r="Q216" s="40"/>
      <c r="R216" s="40"/>
      <c r="S216" s="40"/>
      <c r="T216" s="40"/>
    </row>
    <row r="217" spans="14:20" x14ac:dyDescent="0.35">
      <c r="N217" s="40"/>
      <c r="O217" s="40"/>
      <c r="P217" s="40"/>
      <c r="Q217" s="40"/>
      <c r="R217" s="40"/>
      <c r="S217" s="40"/>
      <c r="T217" s="40"/>
    </row>
    <row r="218" spans="14:20" x14ac:dyDescent="0.35">
      <c r="N218" s="40"/>
      <c r="O218" s="40"/>
      <c r="P218" s="40"/>
      <c r="Q218" s="40"/>
      <c r="R218" s="40"/>
      <c r="S218" s="40"/>
      <c r="T218" s="40"/>
    </row>
    <row r="219" spans="14:20" x14ac:dyDescent="0.35">
      <c r="N219" s="40"/>
      <c r="O219" s="40"/>
      <c r="P219" s="40"/>
      <c r="Q219" s="40"/>
      <c r="R219" s="40"/>
      <c r="S219" s="40"/>
      <c r="T219" s="40"/>
    </row>
    <row r="220" spans="14:20" x14ac:dyDescent="0.35">
      <c r="N220" s="40"/>
      <c r="O220" s="40"/>
      <c r="P220" s="40"/>
      <c r="Q220" s="40"/>
      <c r="R220" s="40"/>
      <c r="S220" s="40"/>
      <c r="T220" s="40"/>
    </row>
    <row r="221" spans="14:20" x14ac:dyDescent="0.35">
      <c r="N221" s="40"/>
      <c r="O221" s="40"/>
      <c r="P221" s="40"/>
      <c r="Q221" s="40"/>
      <c r="R221" s="40"/>
      <c r="S221" s="40"/>
      <c r="T221" s="40"/>
    </row>
    <row r="222" spans="14:20" x14ac:dyDescent="0.35">
      <c r="N222" s="40"/>
      <c r="O222" s="40"/>
      <c r="P222" s="40"/>
      <c r="Q222" s="40"/>
      <c r="R222" s="40"/>
      <c r="S222" s="40"/>
      <c r="T222" s="40"/>
    </row>
    <row r="223" spans="14:20" x14ac:dyDescent="0.35">
      <c r="N223" s="40"/>
      <c r="O223" s="40"/>
      <c r="P223" s="40"/>
      <c r="Q223" s="40"/>
      <c r="R223" s="40"/>
      <c r="S223" s="40"/>
      <c r="T223" s="40"/>
    </row>
    <row r="224" spans="14:20" x14ac:dyDescent="0.35">
      <c r="N224" s="40"/>
      <c r="O224" s="40"/>
      <c r="P224" s="40"/>
      <c r="Q224" s="40"/>
      <c r="R224" s="40"/>
      <c r="S224" s="40"/>
      <c r="T224" s="40"/>
    </row>
    <row r="225" spans="14:20" x14ac:dyDescent="0.35">
      <c r="N225" s="40"/>
      <c r="O225" s="40"/>
      <c r="P225" s="40"/>
      <c r="Q225" s="40"/>
      <c r="R225" s="40"/>
      <c r="S225" s="40"/>
      <c r="T225" s="40"/>
    </row>
    <row r="226" spans="14:20" x14ac:dyDescent="0.35">
      <c r="N226" s="40"/>
      <c r="O226" s="40"/>
      <c r="P226" s="40"/>
      <c r="Q226" s="40"/>
      <c r="R226" s="40"/>
      <c r="S226" s="40"/>
      <c r="T226" s="40"/>
    </row>
    <row r="227" spans="14:20" x14ac:dyDescent="0.35">
      <c r="N227" s="40"/>
      <c r="O227" s="40"/>
      <c r="P227" s="40"/>
      <c r="Q227" s="40"/>
      <c r="R227" s="40"/>
      <c r="S227" s="40"/>
      <c r="T227" s="40"/>
    </row>
    <row r="228" spans="14:20" x14ac:dyDescent="0.35">
      <c r="N228" s="40"/>
      <c r="O228" s="40"/>
      <c r="P228" s="40"/>
      <c r="Q228" s="40"/>
      <c r="R228" s="40"/>
      <c r="S228" s="40"/>
      <c r="T228" s="40"/>
    </row>
    <row r="229" spans="14:20" x14ac:dyDescent="0.35">
      <c r="N229" s="40"/>
      <c r="O229" s="40"/>
      <c r="P229" s="40"/>
      <c r="Q229" s="40"/>
      <c r="R229" s="40"/>
      <c r="S229" s="40"/>
      <c r="T229" s="40"/>
    </row>
    <row r="230" spans="14:20" x14ac:dyDescent="0.35">
      <c r="N230" s="40"/>
      <c r="O230" s="40"/>
      <c r="P230" s="40"/>
      <c r="Q230" s="40"/>
      <c r="R230" s="40"/>
      <c r="S230" s="40"/>
      <c r="T230" s="40"/>
    </row>
    <row r="231" spans="14:20" x14ac:dyDescent="0.35">
      <c r="N231" s="40"/>
      <c r="O231" s="40"/>
      <c r="P231" s="40"/>
      <c r="Q231" s="40"/>
      <c r="R231" s="40"/>
      <c r="S231" s="40"/>
      <c r="T231" s="40"/>
    </row>
    <row r="232" spans="14:20" x14ac:dyDescent="0.35">
      <c r="N232" s="40"/>
      <c r="O232" s="40"/>
      <c r="P232" s="40"/>
      <c r="Q232" s="40"/>
      <c r="R232" s="40"/>
      <c r="S232" s="40"/>
      <c r="T232" s="40"/>
    </row>
    <row r="233" spans="14:20" x14ac:dyDescent="0.35">
      <c r="N233" s="40"/>
      <c r="O233" s="40"/>
      <c r="P233" s="40"/>
      <c r="Q233" s="40"/>
      <c r="R233" s="40"/>
      <c r="S233" s="40"/>
      <c r="T233" s="40"/>
    </row>
    <row r="234" spans="14:20" x14ac:dyDescent="0.35">
      <c r="N234" s="40"/>
      <c r="O234" s="40"/>
      <c r="P234" s="40"/>
      <c r="Q234" s="40"/>
      <c r="R234" s="40"/>
      <c r="S234" s="40"/>
      <c r="T234" s="40"/>
    </row>
    <row r="235" spans="14:20" x14ac:dyDescent="0.35">
      <c r="N235" s="40"/>
      <c r="O235" s="40"/>
      <c r="P235" s="40"/>
      <c r="Q235" s="40"/>
      <c r="R235" s="40"/>
      <c r="S235" s="40"/>
      <c r="T235" s="40"/>
    </row>
    <row r="236" spans="14:20" x14ac:dyDescent="0.35">
      <c r="N236" s="40"/>
      <c r="O236" s="40"/>
      <c r="P236" s="40"/>
      <c r="Q236" s="40"/>
      <c r="R236" s="40"/>
      <c r="S236" s="40"/>
      <c r="T236" s="40"/>
    </row>
    <row r="237" spans="14:20" x14ac:dyDescent="0.35">
      <c r="N237" s="40"/>
      <c r="O237" s="40"/>
      <c r="P237" s="40"/>
      <c r="Q237" s="40"/>
      <c r="R237" s="40"/>
      <c r="S237" s="40"/>
      <c r="T237" s="40"/>
    </row>
    <row r="238" spans="14:20" x14ac:dyDescent="0.35">
      <c r="N238" s="40"/>
      <c r="O238" s="40"/>
      <c r="P238" s="40"/>
      <c r="Q238" s="40"/>
      <c r="R238" s="40"/>
      <c r="S238" s="40"/>
      <c r="T238" s="40"/>
    </row>
    <row r="239" spans="14:20" x14ac:dyDescent="0.35">
      <c r="N239" s="40"/>
      <c r="O239" s="40"/>
      <c r="P239" s="40"/>
      <c r="Q239" s="40"/>
      <c r="R239" s="40"/>
      <c r="S239" s="40"/>
      <c r="T239" s="40"/>
    </row>
    <row r="240" spans="14:20" x14ac:dyDescent="0.35">
      <c r="N240" s="40"/>
      <c r="O240" s="40"/>
      <c r="P240" s="40"/>
      <c r="Q240" s="40"/>
      <c r="R240" s="40"/>
      <c r="S240" s="40"/>
      <c r="T240" s="40"/>
    </row>
    <row r="241" spans="14:20" x14ac:dyDescent="0.35">
      <c r="N241" s="40"/>
      <c r="O241" s="40"/>
      <c r="P241" s="40"/>
      <c r="Q241" s="40"/>
      <c r="R241" s="40"/>
      <c r="S241" s="40"/>
      <c r="T241" s="40"/>
    </row>
    <row r="242" spans="14:20" x14ac:dyDescent="0.35">
      <c r="N242" s="40"/>
      <c r="O242" s="40"/>
      <c r="P242" s="40"/>
      <c r="Q242" s="40"/>
      <c r="R242" s="40"/>
      <c r="S242" s="40"/>
      <c r="T242" s="40"/>
    </row>
    <row r="243" spans="14:20" x14ac:dyDescent="0.35">
      <c r="N243" s="40"/>
      <c r="O243" s="40"/>
      <c r="P243" s="40"/>
      <c r="Q243" s="40"/>
      <c r="R243" s="40"/>
      <c r="S243" s="40"/>
      <c r="T243" s="40"/>
    </row>
    <row r="244" spans="14:20" x14ac:dyDescent="0.35">
      <c r="N244" s="40"/>
      <c r="O244" s="40"/>
      <c r="P244" s="40"/>
      <c r="Q244" s="40"/>
      <c r="R244" s="40"/>
      <c r="S244" s="40"/>
      <c r="T244" s="40"/>
    </row>
    <row r="245" spans="14:20" x14ac:dyDescent="0.35">
      <c r="N245" s="40"/>
      <c r="O245" s="40"/>
      <c r="P245" s="40"/>
      <c r="Q245" s="40"/>
      <c r="R245" s="40"/>
      <c r="S245" s="40"/>
      <c r="T245" s="40"/>
    </row>
    <row r="246" spans="14:20" x14ac:dyDescent="0.35">
      <c r="N246" s="40"/>
      <c r="O246" s="40"/>
      <c r="P246" s="40"/>
      <c r="Q246" s="40"/>
      <c r="R246" s="40"/>
      <c r="S246" s="40"/>
      <c r="T246" s="40"/>
    </row>
    <row r="247" spans="14:20" x14ac:dyDescent="0.35">
      <c r="N247" s="40"/>
      <c r="O247" s="40"/>
      <c r="P247" s="40"/>
      <c r="Q247" s="40"/>
      <c r="R247" s="40"/>
      <c r="S247" s="40"/>
      <c r="T247" s="40"/>
    </row>
    <row r="248" spans="14:20" x14ac:dyDescent="0.35">
      <c r="N248" s="40"/>
      <c r="O248" s="40"/>
      <c r="P248" s="40"/>
      <c r="Q248" s="40"/>
      <c r="R248" s="40"/>
      <c r="S248" s="40"/>
      <c r="T248" s="40"/>
    </row>
    <row r="249" spans="14:20" x14ac:dyDescent="0.35">
      <c r="N249" s="40"/>
      <c r="O249" s="40"/>
      <c r="P249" s="40"/>
      <c r="Q249" s="40"/>
      <c r="R249" s="40"/>
      <c r="S249" s="40"/>
      <c r="T249" s="40"/>
    </row>
    <row r="250" spans="14:20" x14ac:dyDescent="0.35">
      <c r="N250" s="40"/>
      <c r="O250" s="40"/>
      <c r="P250" s="40"/>
      <c r="Q250" s="40"/>
      <c r="R250" s="40"/>
      <c r="S250" s="40"/>
      <c r="T250" s="40"/>
    </row>
    <row r="251" spans="14:20" x14ac:dyDescent="0.35">
      <c r="N251" s="40"/>
      <c r="O251" s="40"/>
      <c r="P251" s="40"/>
      <c r="Q251" s="40"/>
      <c r="R251" s="40"/>
      <c r="S251" s="40"/>
      <c r="T251" s="40"/>
    </row>
    <row r="252" spans="14:20" x14ac:dyDescent="0.35">
      <c r="N252" s="40"/>
      <c r="O252" s="40"/>
      <c r="P252" s="40"/>
      <c r="Q252" s="40"/>
      <c r="R252" s="40"/>
      <c r="S252" s="40"/>
      <c r="T252" s="40"/>
    </row>
    <row r="253" spans="14:20" x14ac:dyDescent="0.35">
      <c r="N253" s="40"/>
      <c r="O253" s="40"/>
      <c r="P253" s="40"/>
      <c r="Q253" s="40"/>
      <c r="R253" s="40"/>
      <c r="S253" s="40"/>
      <c r="T253" s="40"/>
    </row>
    <row r="254" spans="14:20" x14ac:dyDescent="0.35">
      <c r="N254" s="40"/>
      <c r="O254" s="40"/>
      <c r="P254" s="40"/>
      <c r="Q254" s="40"/>
      <c r="R254" s="40"/>
      <c r="S254" s="40"/>
      <c r="T254" s="40"/>
    </row>
    <row r="255" spans="14:20" x14ac:dyDescent="0.35">
      <c r="N255" s="40"/>
      <c r="O255" s="40"/>
      <c r="P255" s="40"/>
      <c r="Q255" s="40"/>
      <c r="R255" s="40"/>
      <c r="S255" s="40"/>
      <c r="T255" s="40"/>
    </row>
    <row r="256" spans="14:20" x14ac:dyDescent="0.35">
      <c r="N256" s="40"/>
      <c r="O256" s="40"/>
      <c r="P256" s="40"/>
      <c r="Q256" s="40"/>
      <c r="R256" s="40"/>
      <c r="S256" s="40"/>
      <c r="T256" s="40"/>
    </row>
    <row r="257" spans="14:20" x14ac:dyDescent="0.35">
      <c r="N257" s="40"/>
      <c r="O257" s="40"/>
      <c r="P257" s="40"/>
      <c r="Q257" s="40"/>
      <c r="R257" s="40"/>
      <c r="S257" s="40"/>
      <c r="T257" s="40"/>
    </row>
    <row r="258" spans="14:20" x14ac:dyDescent="0.35">
      <c r="N258" s="40"/>
      <c r="O258" s="40"/>
      <c r="P258" s="40"/>
      <c r="Q258" s="40"/>
      <c r="R258" s="40"/>
      <c r="S258" s="40"/>
      <c r="T258" s="40"/>
    </row>
    <row r="259" spans="14:20" x14ac:dyDescent="0.35">
      <c r="N259" s="40"/>
      <c r="O259" s="40"/>
      <c r="P259" s="40"/>
      <c r="Q259" s="40"/>
      <c r="R259" s="40"/>
      <c r="S259" s="40"/>
      <c r="T259" s="40"/>
    </row>
    <row r="260" spans="14:20" x14ac:dyDescent="0.35">
      <c r="N260" s="40"/>
      <c r="O260" s="40"/>
      <c r="P260" s="40"/>
      <c r="Q260" s="40"/>
      <c r="R260" s="40"/>
      <c r="S260" s="40"/>
      <c r="T260" s="40"/>
    </row>
    <row r="261" spans="14:20" x14ac:dyDescent="0.35">
      <c r="N261" s="40"/>
      <c r="O261" s="40"/>
      <c r="P261" s="40"/>
      <c r="Q261" s="40"/>
      <c r="R261" s="40"/>
      <c r="S261" s="40"/>
      <c r="T261" s="40"/>
    </row>
    <row r="262" spans="14:20" x14ac:dyDescent="0.35">
      <c r="N262" s="40"/>
      <c r="O262" s="40"/>
      <c r="P262" s="40"/>
      <c r="Q262" s="40"/>
      <c r="R262" s="40"/>
      <c r="S262" s="40"/>
      <c r="T262" s="40"/>
    </row>
    <row r="263" spans="14:20" x14ac:dyDescent="0.35">
      <c r="N263" s="40"/>
      <c r="O263" s="40"/>
      <c r="P263" s="40"/>
      <c r="Q263" s="40"/>
      <c r="R263" s="40"/>
      <c r="S263" s="40"/>
      <c r="T263" s="40"/>
    </row>
    <row r="264" spans="14:20" x14ac:dyDescent="0.35">
      <c r="N264" s="40"/>
      <c r="O264" s="40"/>
      <c r="P264" s="40"/>
      <c r="Q264" s="40"/>
      <c r="R264" s="40"/>
      <c r="S264" s="40"/>
      <c r="T264" s="40"/>
    </row>
    <row r="265" spans="14:20" x14ac:dyDescent="0.35">
      <c r="N265" s="40"/>
      <c r="O265" s="40"/>
      <c r="P265" s="40"/>
      <c r="Q265" s="40"/>
      <c r="R265" s="40"/>
      <c r="S265" s="40"/>
      <c r="T265" s="40"/>
    </row>
    <row r="266" spans="14:20" x14ac:dyDescent="0.35">
      <c r="N266" s="40"/>
      <c r="O266" s="40"/>
      <c r="P266" s="40"/>
      <c r="Q266" s="40"/>
      <c r="R266" s="40"/>
      <c r="S266" s="40"/>
      <c r="T266" s="40"/>
    </row>
    <row r="267" spans="14:20" x14ac:dyDescent="0.35">
      <c r="N267" s="40"/>
      <c r="O267" s="40"/>
      <c r="P267" s="40"/>
      <c r="Q267" s="40"/>
      <c r="R267" s="40"/>
      <c r="S267" s="40"/>
      <c r="T267" s="40"/>
    </row>
    <row r="268" spans="14:20" x14ac:dyDescent="0.35">
      <c r="N268" s="40"/>
      <c r="O268" s="40"/>
      <c r="P268" s="40"/>
      <c r="Q268" s="40"/>
      <c r="R268" s="40"/>
      <c r="S268" s="40"/>
      <c r="T268" s="40"/>
    </row>
    <row r="269" spans="14:20" x14ac:dyDescent="0.35">
      <c r="N269" s="40"/>
      <c r="O269" s="40"/>
      <c r="P269" s="40"/>
      <c r="Q269" s="40"/>
      <c r="R269" s="40"/>
      <c r="S269" s="40"/>
      <c r="T269" s="40"/>
    </row>
    <row r="270" spans="14:20" x14ac:dyDescent="0.35">
      <c r="N270" s="40"/>
      <c r="O270" s="40"/>
      <c r="P270" s="40"/>
      <c r="Q270" s="40"/>
      <c r="R270" s="40"/>
      <c r="S270" s="40"/>
      <c r="T270" s="40"/>
    </row>
    <row r="271" spans="14:20" x14ac:dyDescent="0.35">
      <c r="N271" s="40"/>
      <c r="O271" s="40"/>
      <c r="P271" s="40"/>
      <c r="Q271" s="40"/>
      <c r="R271" s="40"/>
      <c r="S271" s="40"/>
      <c r="T271" s="40"/>
    </row>
    <row r="272" spans="14:20" x14ac:dyDescent="0.35">
      <c r="N272" s="40"/>
      <c r="O272" s="40"/>
      <c r="P272" s="40"/>
      <c r="Q272" s="40"/>
      <c r="R272" s="40"/>
      <c r="S272" s="40"/>
      <c r="T272" s="40"/>
    </row>
    <row r="273" spans="14:20" x14ac:dyDescent="0.35">
      <c r="N273" s="40"/>
      <c r="O273" s="40"/>
      <c r="P273" s="40"/>
      <c r="Q273" s="40"/>
      <c r="R273" s="40"/>
      <c r="S273" s="40"/>
      <c r="T273" s="40"/>
    </row>
    <row r="274" spans="14:20" x14ac:dyDescent="0.35">
      <c r="N274" s="40"/>
      <c r="O274" s="40"/>
      <c r="P274" s="40"/>
      <c r="Q274" s="40"/>
      <c r="R274" s="40"/>
      <c r="S274" s="40"/>
      <c r="T274" s="40"/>
    </row>
    <row r="275" spans="14:20" x14ac:dyDescent="0.35">
      <c r="N275" s="40"/>
      <c r="O275" s="40"/>
      <c r="P275" s="40"/>
      <c r="Q275" s="40"/>
      <c r="R275" s="40"/>
      <c r="S275" s="40"/>
      <c r="T275" s="40"/>
    </row>
    <row r="276" spans="14:20" x14ac:dyDescent="0.35">
      <c r="N276" s="40"/>
      <c r="O276" s="40"/>
      <c r="P276" s="40"/>
      <c r="Q276" s="40"/>
      <c r="R276" s="40"/>
      <c r="S276" s="40"/>
      <c r="T276" s="40"/>
    </row>
    <row r="277" spans="14:20" x14ac:dyDescent="0.35">
      <c r="N277" s="40"/>
      <c r="O277" s="40"/>
      <c r="P277" s="40"/>
      <c r="Q277" s="40"/>
      <c r="R277" s="40"/>
      <c r="S277" s="40"/>
      <c r="T277" s="40"/>
    </row>
    <row r="278" spans="14:20" x14ac:dyDescent="0.35">
      <c r="N278" s="40"/>
      <c r="O278" s="40"/>
      <c r="P278" s="40"/>
      <c r="Q278" s="40"/>
      <c r="R278" s="40"/>
      <c r="S278" s="40"/>
      <c r="T278" s="40"/>
    </row>
    <row r="279" spans="14:20" x14ac:dyDescent="0.35">
      <c r="N279" s="40"/>
      <c r="O279" s="40"/>
      <c r="P279" s="40"/>
      <c r="Q279" s="40"/>
      <c r="R279" s="40"/>
      <c r="S279" s="40"/>
      <c r="T279" s="40"/>
    </row>
    <row r="280" spans="14:20" x14ac:dyDescent="0.35">
      <c r="N280" s="40"/>
      <c r="O280" s="40"/>
      <c r="P280" s="40"/>
      <c r="Q280" s="40"/>
      <c r="R280" s="40"/>
      <c r="S280" s="40"/>
      <c r="T280" s="40"/>
    </row>
    <row r="281" spans="14:20" x14ac:dyDescent="0.35">
      <c r="N281" s="40"/>
      <c r="O281" s="40"/>
      <c r="P281" s="40"/>
      <c r="Q281" s="40"/>
      <c r="R281" s="40"/>
      <c r="S281" s="40"/>
      <c r="T281" s="40"/>
    </row>
    <row r="282" spans="14:20" x14ac:dyDescent="0.35">
      <c r="N282" s="40"/>
      <c r="O282" s="40"/>
      <c r="P282" s="40"/>
      <c r="Q282" s="40"/>
      <c r="R282" s="40"/>
      <c r="S282" s="40"/>
      <c r="T282" s="40"/>
    </row>
    <row r="283" spans="14:20" x14ac:dyDescent="0.35">
      <c r="N283" s="40"/>
      <c r="O283" s="40"/>
      <c r="P283" s="40"/>
      <c r="Q283" s="40"/>
      <c r="R283" s="40"/>
      <c r="S283" s="40"/>
      <c r="T283" s="40"/>
    </row>
    <row r="284" spans="14:20" x14ac:dyDescent="0.35">
      <c r="N284" s="40"/>
      <c r="O284" s="40"/>
      <c r="P284" s="40"/>
      <c r="Q284" s="40"/>
      <c r="R284" s="40"/>
      <c r="S284" s="40"/>
      <c r="T284" s="40"/>
    </row>
    <row r="285" spans="14:20" x14ac:dyDescent="0.35">
      <c r="N285" s="40"/>
      <c r="O285" s="40"/>
      <c r="P285" s="40"/>
      <c r="Q285" s="40"/>
      <c r="R285" s="40"/>
      <c r="S285" s="40"/>
      <c r="T285" s="40"/>
    </row>
    <row r="286" spans="14:20" x14ac:dyDescent="0.35">
      <c r="N286" s="40"/>
      <c r="O286" s="40"/>
      <c r="P286" s="40"/>
      <c r="Q286" s="40"/>
      <c r="R286" s="40"/>
      <c r="S286" s="40"/>
      <c r="T286" s="40"/>
    </row>
    <row r="287" spans="14:20" x14ac:dyDescent="0.35">
      <c r="N287" s="40"/>
      <c r="O287" s="40"/>
      <c r="P287" s="40"/>
      <c r="Q287" s="40"/>
      <c r="R287" s="40"/>
      <c r="S287" s="40"/>
      <c r="T287" s="40"/>
    </row>
    <row r="288" spans="14:20" x14ac:dyDescent="0.35">
      <c r="N288" s="40"/>
      <c r="O288" s="40"/>
      <c r="P288" s="40"/>
      <c r="Q288" s="40"/>
      <c r="R288" s="40"/>
      <c r="S288" s="40"/>
      <c r="T288" s="40"/>
    </row>
    <row r="289" spans="14:20" x14ac:dyDescent="0.35">
      <c r="N289" s="40"/>
      <c r="O289" s="40"/>
      <c r="P289" s="40"/>
      <c r="Q289" s="40"/>
      <c r="R289" s="40"/>
      <c r="S289" s="40"/>
      <c r="T289" s="40"/>
    </row>
    <row r="290" spans="14:20" x14ac:dyDescent="0.35">
      <c r="N290" s="40"/>
      <c r="O290" s="40"/>
      <c r="P290" s="40"/>
      <c r="Q290" s="40"/>
      <c r="R290" s="40"/>
      <c r="S290" s="40"/>
      <c r="T290" s="40"/>
    </row>
    <row r="291" spans="14:20" x14ac:dyDescent="0.35">
      <c r="N291" s="40"/>
      <c r="O291" s="40"/>
      <c r="P291" s="40"/>
      <c r="Q291" s="40"/>
      <c r="R291" s="40"/>
      <c r="S291" s="40"/>
      <c r="T291" s="40"/>
    </row>
    <row r="292" spans="14:20" x14ac:dyDescent="0.35">
      <c r="N292" s="40"/>
      <c r="O292" s="40"/>
      <c r="P292" s="40"/>
      <c r="Q292" s="40"/>
      <c r="R292" s="40"/>
      <c r="S292" s="40"/>
      <c r="T292" s="40"/>
    </row>
    <row r="293" spans="14:20" x14ac:dyDescent="0.35">
      <c r="N293" s="40"/>
      <c r="O293" s="40"/>
      <c r="P293" s="40"/>
      <c r="Q293" s="40"/>
      <c r="R293" s="40"/>
      <c r="S293" s="40"/>
      <c r="T293" s="40"/>
    </row>
    <row r="294" spans="14:20" x14ac:dyDescent="0.35">
      <c r="N294" s="40"/>
      <c r="O294" s="40"/>
      <c r="P294" s="40"/>
      <c r="Q294" s="40"/>
      <c r="R294" s="40"/>
      <c r="S294" s="40"/>
      <c r="T294" s="40"/>
    </row>
    <row r="295" spans="14:20" x14ac:dyDescent="0.35">
      <c r="N295" s="40"/>
      <c r="O295" s="40"/>
      <c r="P295" s="40"/>
      <c r="Q295" s="40"/>
      <c r="R295" s="40"/>
      <c r="S295" s="40"/>
      <c r="T295" s="40"/>
    </row>
    <row r="296" spans="14:20" x14ac:dyDescent="0.35">
      <c r="N296" s="40"/>
      <c r="O296" s="40"/>
      <c r="P296" s="40"/>
      <c r="Q296" s="40"/>
      <c r="R296" s="40"/>
      <c r="S296" s="40"/>
      <c r="T296" s="40"/>
    </row>
    <row r="297" spans="14:20" x14ac:dyDescent="0.35">
      <c r="N297" s="40"/>
      <c r="O297" s="40"/>
      <c r="P297" s="40"/>
      <c r="Q297" s="40"/>
      <c r="R297" s="40"/>
      <c r="S297" s="40"/>
      <c r="T297" s="40"/>
    </row>
    <row r="298" spans="14:20" x14ac:dyDescent="0.35">
      <c r="N298" s="40"/>
      <c r="O298" s="40"/>
      <c r="P298" s="40"/>
      <c r="Q298" s="40"/>
      <c r="R298" s="40"/>
      <c r="S298" s="40"/>
      <c r="T298" s="40"/>
    </row>
    <row r="299" spans="14:20" x14ac:dyDescent="0.35">
      <c r="N299" s="40"/>
      <c r="O299" s="40"/>
      <c r="P299" s="40"/>
      <c r="Q299" s="40"/>
      <c r="R299" s="40"/>
      <c r="S299" s="40"/>
      <c r="T299" s="40"/>
    </row>
    <row r="300" spans="14:20" x14ac:dyDescent="0.35">
      <c r="N300" s="40"/>
      <c r="O300" s="40"/>
      <c r="P300" s="40"/>
      <c r="Q300" s="40"/>
      <c r="R300" s="40"/>
      <c r="S300" s="40"/>
      <c r="T300" s="40"/>
    </row>
    <row r="301" spans="14:20" x14ac:dyDescent="0.35">
      <c r="N301" s="40"/>
      <c r="O301" s="40"/>
      <c r="P301" s="40"/>
      <c r="Q301" s="40"/>
      <c r="R301" s="40"/>
      <c r="S301" s="40"/>
      <c r="T301" s="40"/>
    </row>
    <row r="302" spans="14:20" x14ac:dyDescent="0.35">
      <c r="N302" s="40"/>
      <c r="O302" s="40"/>
      <c r="P302" s="40"/>
      <c r="Q302" s="40"/>
      <c r="R302" s="40"/>
      <c r="S302" s="40"/>
      <c r="T302" s="40"/>
    </row>
    <row r="303" spans="14:20" x14ac:dyDescent="0.35">
      <c r="N303" s="40"/>
      <c r="O303" s="40"/>
      <c r="P303" s="40"/>
      <c r="Q303" s="40"/>
      <c r="R303" s="40"/>
      <c r="S303" s="40"/>
      <c r="T303" s="40"/>
    </row>
    <row r="304" spans="14:20" x14ac:dyDescent="0.35">
      <c r="N304" s="40"/>
      <c r="O304" s="40"/>
      <c r="P304" s="40"/>
      <c r="Q304" s="40"/>
      <c r="R304" s="40"/>
      <c r="S304" s="40"/>
      <c r="T304" s="40"/>
    </row>
    <row r="305" spans="14:20" x14ac:dyDescent="0.35">
      <c r="N305" s="40"/>
      <c r="O305" s="40"/>
      <c r="P305" s="40"/>
      <c r="Q305" s="40"/>
      <c r="R305" s="40"/>
      <c r="S305" s="40"/>
      <c r="T305" s="40"/>
    </row>
    <row r="306" spans="14:20" x14ac:dyDescent="0.35">
      <c r="N306" s="40"/>
      <c r="O306" s="40"/>
      <c r="P306" s="40"/>
      <c r="Q306" s="40"/>
      <c r="R306" s="40"/>
      <c r="S306" s="40"/>
      <c r="T306" s="40"/>
    </row>
    <row r="307" spans="14:20" x14ac:dyDescent="0.35">
      <c r="N307" s="40"/>
      <c r="O307" s="40"/>
      <c r="P307" s="40"/>
      <c r="Q307" s="40"/>
      <c r="R307" s="40"/>
      <c r="S307" s="40"/>
      <c r="T307" s="40"/>
    </row>
    <row r="308" spans="14:20" x14ac:dyDescent="0.35">
      <c r="N308" s="40"/>
      <c r="O308" s="40"/>
      <c r="P308" s="40"/>
      <c r="Q308" s="40"/>
      <c r="R308" s="40"/>
      <c r="S308" s="40"/>
      <c r="T308" s="40"/>
    </row>
    <row r="309" spans="14:20" x14ac:dyDescent="0.35">
      <c r="N309" s="40"/>
      <c r="O309" s="40"/>
      <c r="P309" s="40"/>
      <c r="Q309" s="40"/>
      <c r="R309" s="40"/>
      <c r="S309" s="40"/>
      <c r="T309" s="40"/>
    </row>
    <row r="310" spans="14:20" x14ac:dyDescent="0.35">
      <c r="N310" s="40"/>
      <c r="O310" s="40"/>
      <c r="P310" s="40"/>
      <c r="Q310" s="40"/>
      <c r="R310" s="40"/>
      <c r="S310" s="40"/>
      <c r="T310" s="40"/>
    </row>
    <row r="311" spans="14:20" x14ac:dyDescent="0.35">
      <c r="N311" s="40"/>
      <c r="O311" s="40"/>
      <c r="P311" s="40"/>
      <c r="Q311" s="40"/>
      <c r="R311" s="40"/>
      <c r="S311" s="40"/>
      <c r="T311" s="40"/>
    </row>
    <row r="312" spans="14:20" x14ac:dyDescent="0.35">
      <c r="N312" s="40"/>
      <c r="O312" s="40"/>
      <c r="P312" s="40"/>
      <c r="Q312" s="40"/>
      <c r="R312" s="40"/>
      <c r="S312" s="40"/>
      <c r="T312" s="40"/>
    </row>
    <row r="313" spans="14:20" x14ac:dyDescent="0.35">
      <c r="N313" s="40"/>
      <c r="O313" s="40"/>
      <c r="P313" s="40"/>
      <c r="Q313" s="40"/>
      <c r="R313" s="40"/>
      <c r="S313" s="40"/>
      <c r="T313" s="40"/>
    </row>
    <row r="314" spans="14:20" x14ac:dyDescent="0.35">
      <c r="N314" s="40"/>
      <c r="O314" s="40"/>
      <c r="P314" s="40"/>
      <c r="Q314" s="40"/>
      <c r="R314" s="40"/>
      <c r="S314" s="40"/>
      <c r="T314" s="40"/>
    </row>
    <row r="315" spans="14:20" x14ac:dyDescent="0.35">
      <c r="N315" s="40"/>
      <c r="O315" s="40"/>
      <c r="P315" s="40"/>
      <c r="Q315" s="40"/>
      <c r="R315" s="40"/>
      <c r="S315" s="40"/>
      <c r="T315" s="40"/>
    </row>
    <row r="316" spans="14:20" x14ac:dyDescent="0.35">
      <c r="N316" s="40"/>
      <c r="O316" s="40"/>
      <c r="P316" s="40"/>
      <c r="Q316" s="40"/>
      <c r="R316" s="40"/>
      <c r="S316" s="40"/>
      <c r="T316" s="40"/>
    </row>
    <row r="317" spans="14:20" x14ac:dyDescent="0.35">
      <c r="N317" s="40"/>
      <c r="O317" s="40"/>
      <c r="P317" s="40"/>
      <c r="Q317" s="40"/>
      <c r="R317" s="40"/>
      <c r="S317" s="40"/>
      <c r="T317" s="40"/>
    </row>
    <row r="318" spans="14:20" x14ac:dyDescent="0.35">
      <c r="N318" s="40"/>
      <c r="O318" s="40"/>
      <c r="P318" s="40"/>
      <c r="Q318" s="40"/>
      <c r="R318" s="40"/>
      <c r="S318" s="40"/>
      <c r="T318" s="40"/>
    </row>
    <row r="319" spans="14:20" x14ac:dyDescent="0.35">
      <c r="N319" s="40"/>
      <c r="O319" s="40"/>
      <c r="P319" s="40"/>
      <c r="Q319" s="40"/>
      <c r="R319" s="40"/>
      <c r="S319" s="40"/>
      <c r="T319" s="40"/>
    </row>
    <row r="320" spans="14:20" x14ac:dyDescent="0.35">
      <c r="N320" s="40"/>
      <c r="O320" s="40"/>
      <c r="P320" s="40"/>
      <c r="Q320" s="40"/>
      <c r="R320" s="40"/>
      <c r="S320" s="40"/>
      <c r="T320" s="40"/>
    </row>
    <row r="321" spans="14:20" x14ac:dyDescent="0.35">
      <c r="N321" s="40"/>
      <c r="O321" s="40"/>
      <c r="P321" s="40"/>
      <c r="Q321" s="40"/>
      <c r="R321" s="40"/>
      <c r="S321" s="40"/>
      <c r="T321" s="40"/>
    </row>
    <row r="322" spans="14:20" x14ac:dyDescent="0.35">
      <c r="N322" s="40"/>
      <c r="O322" s="40"/>
      <c r="P322" s="40"/>
      <c r="Q322" s="40"/>
      <c r="R322" s="40"/>
      <c r="S322" s="40"/>
      <c r="T322" s="40"/>
    </row>
    <row r="323" spans="14:20" x14ac:dyDescent="0.35">
      <c r="N323" s="40"/>
      <c r="O323" s="40"/>
      <c r="P323" s="40"/>
      <c r="Q323" s="40"/>
      <c r="R323" s="40"/>
      <c r="S323" s="40"/>
      <c r="T323" s="40"/>
    </row>
    <row r="324" spans="14:20" x14ac:dyDescent="0.35">
      <c r="N324" s="40"/>
      <c r="O324" s="40"/>
      <c r="P324" s="40"/>
      <c r="Q324" s="40"/>
      <c r="R324" s="40"/>
      <c r="S324" s="40"/>
      <c r="T324" s="40"/>
    </row>
    <row r="325" spans="14:20" x14ac:dyDescent="0.35">
      <c r="N325" s="40"/>
      <c r="O325" s="40"/>
      <c r="P325" s="40"/>
      <c r="Q325" s="40"/>
      <c r="R325" s="40"/>
      <c r="S325" s="40"/>
      <c r="T325" s="40"/>
    </row>
    <row r="326" spans="14:20" x14ac:dyDescent="0.35">
      <c r="N326" s="40"/>
      <c r="O326" s="40"/>
      <c r="P326" s="40"/>
      <c r="Q326" s="40"/>
      <c r="R326" s="40"/>
      <c r="S326" s="40"/>
      <c r="T326" s="40"/>
    </row>
    <row r="327" spans="14:20" x14ac:dyDescent="0.35">
      <c r="N327" s="40"/>
      <c r="O327" s="40"/>
      <c r="P327" s="40"/>
      <c r="Q327" s="40"/>
      <c r="R327" s="40"/>
      <c r="S327" s="40"/>
      <c r="T327" s="40"/>
    </row>
    <row r="328" spans="14:20" x14ac:dyDescent="0.35">
      <c r="N328" s="40"/>
      <c r="O328" s="40"/>
      <c r="P328" s="40"/>
      <c r="Q328" s="40"/>
      <c r="R328" s="40"/>
      <c r="S328" s="40"/>
      <c r="T328" s="40"/>
    </row>
    <row r="329" spans="14:20" x14ac:dyDescent="0.35">
      <c r="N329" s="40"/>
      <c r="P329" s="40"/>
      <c r="Q329" s="40"/>
      <c r="R329" s="40"/>
      <c r="S329" s="40"/>
      <c r="T329" s="40"/>
    </row>
    <row r="330" spans="14:20" x14ac:dyDescent="0.35">
      <c r="N330" s="40"/>
      <c r="P330" s="40"/>
      <c r="Q330" s="40"/>
      <c r="R330" s="40"/>
      <c r="S330" s="40"/>
      <c r="T330" s="40"/>
    </row>
    <row r="331" spans="14:20" x14ac:dyDescent="0.35">
      <c r="N331" s="40"/>
      <c r="P331" s="40"/>
      <c r="Q331" s="40"/>
      <c r="R331" s="40"/>
      <c r="S331" s="40"/>
      <c r="T331" s="40"/>
    </row>
    <row r="332" spans="14:20" x14ac:dyDescent="0.35">
      <c r="N332" s="40"/>
      <c r="P332" s="40"/>
      <c r="Q332" s="40"/>
      <c r="R332" s="40"/>
      <c r="S332" s="40"/>
      <c r="T332" s="40"/>
    </row>
    <row r="333" spans="14:20" x14ac:dyDescent="0.35">
      <c r="N333" s="40"/>
      <c r="P333" s="40"/>
      <c r="Q333" s="40"/>
      <c r="R333" s="40"/>
      <c r="S333" s="40"/>
      <c r="T333" s="40"/>
    </row>
    <row r="334" spans="14:20" x14ac:dyDescent="0.35">
      <c r="N334" s="40"/>
      <c r="P334" s="40"/>
      <c r="Q334" s="40"/>
      <c r="R334" s="40"/>
      <c r="S334" s="40"/>
      <c r="T334" s="40"/>
    </row>
    <row r="335" spans="14:20" x14ac:dyDescent="0.35">
      <c r="T335" s="40"/>
    </row>
    <row r="336" spans="14:20" x14ac:dyDescent="0.35">
      <c r="T336" s="40"/>
    </row>
    <row r="337" spans="20:20" x14ac:dyDescent="0.35">
      <c r="T337" s="40"/>
    </row>
    <row r="338" spans="20:20" x14ac:dyDescent="0.35">
      <c r="T338" s="40"/>
    </row>
    <row r="339" spans="20:20" x14ac:dyDescent="0.35">
      <c r="T339" s="40"/>
    </row>
    <row r="340" spans="20:20" x14ac:dyDescent="0.35">
      <c r="T340" s="40"/>
    </row>
    <row r="341" spans="20:20" x14ac:dyDescent="0.35">
      <c r="T341" s="40"/>
    </row>
    <row r="342" spans="20:20" x14ac:dyDescent="0.35">
      <c r="T342" s="40"/>
    </row>
    <row r="343" spans="20:20" x14ac:dyDescent="0.35">
      <c r="T343" s="40"/>
    </row>
    <row r="344" spans="20:20" x14ac:dyDescent="0.35">
      <c r="T344" s="40"/>
    </row>
    <row r="345" spans="20:20" x14ac:dyDescent="0.35">
      <c r="T345" s="40"/>
    </row>
    <row r="346" spans="20:20" x14ac:dyDescent="0.35">
      <c r="T346" s="40"/>
    </row>
    <row r="347" spans="20:20" x14ac:dyDescent="0.35">
      <c r="T347" s="40"/>
    </row>
    <row r="348" spans="20:20" x14ac:dyDescent="0.35">
      <c r="T348" s="40"/>
    </row>
    <row r="349" spans="20:20" x14ac:dyDescent="0.35">
      <c r="T349" s="40"/>
    </row>
    <row r="350" spans="20:20" x14ac:dyDescent="0.35">
      <c r="T350" s="40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I9:I49 H2:H8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46"/>
  <sheetViews>
    <sheetView workbookViewId="0">
      <selection activeCell="B34" sqref="B34"/>
    </sheetView>
    <sheetView workbookViewId="1"/>
  </sheetViews>
  <sheetFormatPr defaultRowHeight="14.5" x14ac:dyDescent="0.35"/>
  <cols>
    <col min="1" max="1" width="48.81640625" bestFit="1" customWidth="1"/>
    <col min="2" max="2" width="67.36328125" bestFit="1" customWidth="1"/>
    <col min="4" max="4" width="9.26953125" bestFit="1" customWidth="1"/>
  </cols>
  <sheetData>
    <row r="1" spans="1:4" x14ac:dyDescent="0.35">
      <c r="A1" t="s">
        <v>58</v>
      </c>
      <c r="B1" t="s">
        <v>57</v>
      </c>
      <c r="C1" t="s">
        <v>59</v>
      </c>
      <c r="D1" t="s">
        <v>17</v>
      </c>
    </row>
    <row r="2" spans="1:4" x14ac:dyDescent="0.35">
      <c r="A2" t="s">
        <v>239</v>
      </c>
      <c r="B2" t="s">
        <v>219</v>
      </c>
      <c r="C2" t="s">
        <v>19</v>
      </c>
      <c r="D2">
        <v>20039.21</v>
      </c>
    </row>
    <row r="3" spans="1:4" x14ac:dyDescent="0.35">
      <c r="A3" t="s">
        <v>239</v>
      </c>
      <c r="B3" t="s">
        <v>220</v>
      </c>
      <c r="C3" t="s">
        <v>19</v>
      </c>
      <c r="D3">
        <v>12.11</v>
      </c>
    </row>
    <row r="4" spans="1:4" x14ac:dyDescent="0.35">
      <c r="A4" t="s">
        <v>239</v>
      </c>
      <c r="B4" t="s">
        <v>221</v>
      </c>
      <c r="C4" t="s">
        <v>19</v>
      </c>
      <c r="D4">
        <v>6430.61</v>
      </c>
    </row>
    <row r="5" spans="1:4" x14ac:dyDescent="0.35">
      <c r="A5" t="s">
        <v>239</v>
      </c>
      <c r="B5" t="s">
        <v>222</v>
      </c>
      <c r="C5" t="s">
        <v>19</v>
      </c>
      <c r="D5">
        <v>1494.65</v>
      </c>
    </row>
    <row r="6" spans="1:4" x14ac:dyDescent="0.35">
      <c r="A6" t="s">
        <v>239</v>
      </c>
      <c r="B6" t="s">
        <v>223</v>
      </c>
      <c r="C6" t="s">
        <v>19</v>
      </c>
      <c r="D6">
        <v>889.17</v>
      </c>
    </row>
    <row r="7" spans="1:4" x14ac:dyDescent="0.35">
      <c r="A7" t="s">
        <v>239</v>
      </c>
      <c r="B7" t="s">
        <v>224</v>
      </c>
      <c r="C7" t="s">
        <v>19</v>
      </c>
      <c r="D7">
        <v>316.35000000000002</v>
      </c>
    </row>
    <row r="8" spans="1:4" x14ac:dyDescent="0.35">
      <c r="A8" t="s">
        <v>239</v>
      </c>
      <c r="B8" t="s">
        <v>225</v>
      </c>
      <c r="C8" t="s">
        <v>19</v>
      </c>
      <c r="D8">
        <v>0.59</v>
      </c>
    </row>
    <row r="9" spans="1:4" x14ac:dyDescent="0.35">
      <c r="A9" t="s">
        <v>239</v>
      </c>
      <c r="B9" t="s">
        <v>226</v>
      </c>
      <c r="C9" t="s">
        <v>19</v>
      </c>
      <c r="D9">
        <v>3.96</v>
      </c>
    </row>
    <row r="10" spans="1:4" x14ac:dyDescent="0.35">
      <c r="A10" t="s">
        <v>239</v>
      </c>
      <c r="B10" t="s">
        <v>227</v>
      </c>
      <c r="C10" t="s">
        <v>19</v>
      </c>
      <c r="D10">
        <v>4.82</v>
      </c>
    </row>
    <row r="11" spans="1:4" x14ac:dyDescent="0.35">
      <c r="A11" t="s">
        <v>239</v>
      </c>
      <c r="B11" t="s">
        <v>228</v>
      </c>
      <c r="C11" t="s">
        <v>19</v>
      </c>
      <c r="D11">
        <v>1.74</v>
      </c>
    </row>
    <row r="12" spans="1:4" x14ac:dyDescent="0.35">
      <c r="A12" t="s">
        <v>239</v>
      </c>
      <c r="B12" t="s">
        <v>229</v>
      </c>
      <c r="C12" t="s">
        <v>19</v>
      </c>
      <c r="D12">
        <v>0.31</v>
      </c>
    </row>
    <row r="13" spans="1:4" x14ac:dyDescent="0.35">
      <c r="A13" t="s">
        <v>239</v>
      </c>
      <c r="B13" t="s">
        <v>230</v>
      </c>
      <c r="C13" t="s">
        <v>19</v>
      </c>
      <c r="D13">
        <v>3.39</v>
      </c>
    </row>
    <row r="14" spans="1:4" x14ac:dyDescent="0.35">
      <c r="A14" t="s">
        <v>239</v>
      </c>
      <c r="B14" t="s">
        <v>231</v>
      </c>
      <c r="C14" t="s">
        <v>19</v>
      </c>
      <c r="D14">
        <v>3.33</v>
      </c>
    </row>
    <row r="15" spans="1:4" x14ac:dyDescent="0.35">
      <c r="A15" t="s">
        <v>239</v>
      </c>
      <c r="B15" t="s">
        <v>232</v>
      </c>
      <c r="C15" t="s">
        <v>19</v>
      </c>
      <c r="D15">
        <v>37.049999999999997</v>
      </c>
    </row>
    <row r="16" spans="1:4" x14ac:dyDescent="0.35">
      <c r="A16" t="s">
        <v>239</v>
      </c>
      <c r="B16" t="s">
        <v>233</v>
      </c>
      <c r="C16" t="s">
        <v>19</v>
      </c>
      <c r="D16">
        <v>0</v>
      </c>
    </row>
    <row r="17" spans="1:4" x14ac:dyDescent="0.35">
      <c r="A17" t="s">
        <v>239</v>
      </c>
      <c r="B17" t="s">
        <v>234</v>
      </c>
      <c r="C17" t="s">
        <v>19</v>
      </c>
      <c r="D17">
        <v>0</v>
      </c>
    </row>
    <row r="18" spans="1:4" x14ac:dyDescent="0.35">
      <c r="A18" t="s">
        <v>239</v>
      </c>
      <c r="B18" t="s">
        <v>235</v>
      </c>
      <c r="C18" t="s">
        <v>19</v>
      </c>
      <c r="D18">
        <v>0.28000000000000003</v>
      </c>
    </row>
    <row r="19" spans="1:4" x14ac:dyDescent="0.35">
      <c r="A19" t="s">
        <v>239</v>
      </c>
      <c r="B19" t="s">
        <v>236</v>
      </c>
      <c r="C19" t="s">
        <v>19</v>
      </c>
      <c r="D19">
        <v>0.6</v>
      </c>
    </row>
    <row r="20" spans="1:4" x14ac:dyDescent="0.35">
      <c r="A20" t="s">
        <v>239</v>
      </c>
      <c r="B20" t="s">
        <v>237</v>
      </c>
      <c r="C20" t="s">
        <v>19</v>
      </c>
      <c r="D20">
        <v>3.42</v>
      </c>
    </row>
    <row r="21" spans="1:4" x14ac:dyDescent="0.35">
      <c r="A21" t="s">
        <v>239</v>
      </c>
      <c r="B21" t="s">
        <v>238</v>
      </c>
      <c r="C21" t="s">
        <v>19</v>
      </c>
      <c r="D21">
        <v>2797.18</v>
      </c>
    </row>
    <row r="22" spans="1:4" x14ac:dyDescent="0.35">
      <c r="A22" t="s">
        <v>245</v>
      </c>
      <c r="B22" t="s">
        <v>240</v>
      </c>
      <c r="C22" t="s">
        <v>19</v>
      </c>
      <c r="D22">
        <v>2226.58</v>
      </c>
    </row>
    <row r="23" spans="1:4" x14ac:dyDescent="0.35">
      <c r="A23" t="s">
        <v>245</v>
      </c>
      <c r="B23" t="s">
        <v>220</v>
      </c>
      <c r="C23" t="s">
        <v>19</v>
      </c>
      <c r="D23">
        <v>12.11</v>
      </c>
    </row>
    <row r="24" spans="1:4" x14ac:dyDescent="0.35">
      <c r="A24" t="s">
        <v>245</v>
      </c>
      <c r="B24" t="s">
        <v>221</v>
      </c>
      <c r="C24" t="s">
        <v>19</v>
      </c>
      <c r="D24">
        <v>6430.61</v>
      </c>
    </row>
    <row r="25" spans="1:4" x14ac:dyDescent="0.35">
      <c r="A25" t="s">
        <v>245</v>
      </c>
      <c r="B25" t="s">
        <v>222</v>
      </c>
      <c r="C25" t="s">
        <v>19</v>
      </c>
      <c r="D25">
        <v>1494.65</v>
      </c>
    </row>
    <row r="26" spans="1:4" x14ac:dyDescent="0.35">
      <c r="A26" t="s">
        <v>245</v>
      </c>
      <c r="B26" t="s">
        <v>223</v>
      </c>
      <c r="C26" t="s">
        <v>19</v>
      </c>
      <c r="D26">
        <v>889.17</v>
      </c>
    </row>
    <row r="27" spans="1:4" x14ac:dyDescent="0.35">
      <c r="A27" t="s">
        <v>245</v>
      </c>
      <c r="B27" t="s">
        <v>224</v>
      </c>
      <c r="C27" t="s">
        <v>19</v>
      </c>
      <c r="D27">
        <v>316.35000000000002</v>
      </c>
    </row>
    <row r="28" spans="1:4" x14ac:dyDescent="0.35">
      <c r="A28" t="s">
        <v>245</v>
      </c>
      <c r="B28" t="s">
        <v>225</v>
      </c>
      <c r="C28" t="s">
        <v>19</v>
      </c>
      <c r="D28">
        <v>0.59</v>
      </c>
    </row>
    <row r="29" spans="1:4" x14ac:dyDescent="0.35">
      <c r="A29" t="s">
        <v>245</v>
      </c>
      <c r="B29" t="s">
        <v>226</v>
      </c>
      <c r="C29" t="s">
        <v>19</v>
      </c>
      <c r="D29">
        <v>3.96</v>
      </c>
    </row>
    <row r="30" spans="1:4" x14ac:dyDescent="0.35">
      <c r="A30" t="s">
        <v>245</v>
      </c>
      <c r="B30" t="s">
        <v>227</v>
      </c>
      <c r="C30" t="s">
        <v>19</v>
      </c>
      <c r="D30">
        <v>4.82</v>
      </c>
    </row>
    <row r="31" spans="1:4" x14ac:dyDescent="0.35">
      <c r="A31" t="s">
        <v>245</v>
      </c>
      <c r="B31" t="s">
        <v>228</v>
      </c>
      <c r="C31" t="s">
        <v>19</v>
      </c>
      <c r="D31">
        <v>1.74</v>
      </c>
    </row>
    <row r="32" spans="1:4" x14ac:dyDescent="0.35">
      <c r="A32" t="s">
        <v>245</v>
      </c>
      <c r="B32" t="s">
        <v>229</v>
      </c>
      <c r="C32" t="s">
        <v>19</v>
      </c>
      <c r="D32">
        <v>0.31</v>
      </c>
    </row>
    <row r="33" spans="1:4" x14ac:dyDescent="0.35">
      <c r="A33" t="s">
        <v>245</v>
      </c>
      <c r="B33" t="s">
        <v>230</v>
      </c>
      <c r="C33" t="s">
        <v>19</v>
      </c>
      <c r="D33">
        <v>3.39</v>
      </c>
    </row>
    <row r="34" spans="1:4" x14ac:dyDescent="0.35">
      <c r="A34" t="s">
        <v>245</v>
      </c>
      <c r="B34" t="s">
        <v>231</v>
      </c>
      <c r="C34" t="s">
        <v>19</v>
      </c>
      <c r="D34">
        <v>3.33</v>
      </c>
    </row>
    <row r="35" spans="1:4" x14ac:dyDescent="0.35">
      <c r="A35" t="s">
        <v>245</v>
      </c>
      <c r="B35" t="s">
        <v>232</v>
      </c>
      <c r="C35" t="s">
        <v>19</v>
      </c>
      <c r="D35">
        <v>37.049999999999997</v>
      </c>
    </row>
    <row r="36" spans="1:4" x14ac:dyDescent="0.35">
      <c r="A36" t="s">
        <v>245</v>
      </c>
      <c r="B36" t="s">
        <v>233</v>
      </c>
      <c r="C36" t="s">
        <v>19</v>
      </c>
      <c r="D36">
        <v>0</v>
      </c>
    </row>
    <row r="37" spans="1:4" x14ac:dyDescent="0.35">
      <c r="A37" t="s">
        <v>245</v>
      </c>
      <c r="B37" t="s">
        <v>234</v>
      </c>
      <c r="C37" t="s">
        <v>19</v>
      </c>
      <c r="D37">
        <v>0</v>
      </c>
    </row>
    <row r="38" spans="1:4" x14ac:dyDescent="0.35">
      <c r="A38" t="s">
        <v>245</v>
      </c>
      <c r="B38" t="s">
        <v>235</v>
      </c>
      <c r="C38" t="s">
        <v>19</v>
      </c>
      <c r="D38">
        <v>0.28000000000000003</v>
      </c>
    </row>
    <row r="39" spans="1:4" x14ac:dyDescent="0.35">
      <c r="A39" t="s">
        <v>245</v>
      </c>
      <c r="B39" t="s">
        <v>236</v>
      </c>
      <c r="C39" t="s">
        <v>19</v>
      </c>
      <c r="D39">
        <v>0.6</v>
      </c>
    </row>
    <row r="40" spans="1:4" x14ac:dyDescent="0.35">
      <c r="A40" t="s">
        <v>245</v>
      </c>
      <c r="B40" t="s">
        <v>237</v>
      </c>
      <c r="C40" t="s">
        <v>19</v>
      </c>
      <c r="D40">
        <v>3.42</v>
      </c>
    </row>
    <row r="41" spans="1:4" x14ac:dyDescent="0.35">
      <c r="A41" t="s">
        <v>245</v>
      </c>
      <c r="B41" t="s">
        <v>238</v>
      </c>
      <c r="C41" t="s">
        <v>19</v>
      </c>
      <c r="D41">
        <v>2797.18</v>
      </c>
    </row>
    <row r="42" spans="1:4" x14ac:dyDescent="0.35">
      <c r="A42" t="s">
        <v>245</v>
      </c>
      <c r="B42" t="s">
        <v>241</v>
      </c>
      <c r="C42" t="s">
        <v>19</v>
      </c>
      <c r="D42">
        <v>3.7</v>
      </c>
    </row>
    <row r="43" spans="1:4" x14ac:dyDescent="0.35">
      <c r="A43" t="s">
        <v>245</v>
      </c>
      <c r="B43" t="s">
        <v>242</v>
      </c>
      <c r="C43" t="s">
        <v>19</v>
      </c>
      <c r="D43">
        <v>0.28000000000000003</v>
      </c>
    </row>
    <row r="44" spans="1:4" x14ac:dyDescent="0.35">
      <c r="A44" t="s">
        <v>245</v>
      </c>
      <c r="B44" t="s">
        <v>243</v>
      </c>
      <c r="C44" t="s">
        <v>19</v>
      </c>
      <c r="D44">
        <v>0.16</v>
      </c>
    </row>
    <row r="45" spans="1:4" x14ac:dyDescent="0.35">
      <c r="A45" t="s">
        <v>245</v>
      </c>
      <c r="B45" t="s">
        <v>244</v>
      </c>
      <c r="C45" t="s">
        <v>19</v>
      </c>
      <c r="D45">
        <v>1.1599999999999999</v>
      </c>
    </row>
    <row r="46" spans="1:4" x14ac:dyDescent="0.35">
      <c r="A46" t="s">
        <v>239</v>
      </c>
      <c r="B46" s="61" t="s">
        <v>246</v>
      </c>
      <c r="D46">
        <v>4359.5999999999995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AI251"/>
  <sheetViews>
    <sheetView workbookViewId="0">
      <selection activeCell="F30" sqref="F30"/>
    </sheetView>
    <sheetView workbookViewId="1"/>
  </sheetViews>
  <sheetFormatPr defaultRowHeight="14.5" x14ac:dyDescent="0.35"/>
  <cols>
    <col min="1" max="1" width="18.36328125" bestFit="1" customWidth="1"/>
    <col min="2" max="2" width="12.90625" customWidth="1"/>
    <col min="3" max="3" width="11.81640625" bestFit="1" customWidth="1"/>
    <col min="11" max="11" width="9.453125" bestFit="1" customWidth="1"/>
  </cols>
  <sheetData>
    <row r="1" spans="1:35" x14ac:dyDescent="0.35">
      <c r="A1" s="70" t="s">
        <v>292</v>
      </c>
      <c r="B1" s="71" t="s">
        <v>420</v>
      </c>
      <c r="C1" s="64" t="s">
        <v>293</v>
      </c>
      <c r="D1" s="64" t="s">
        <v>294</v>
      </c>
      <c r="E1" s="64" t="s">
        <v>295</v>
      </c>
      <c r="F1" s="64" t="s">
        <v>296</v>
      </c>
      <c r="G1" s="64" t="s">
        <v>297</v>
      </c>
      <c r="H1" s="64" t="s">
        <v>298</v>
      </c>
      <c r="I1" s="64" t="s">
        <v>299</v>
      </c>
      <c r="J1" s="64" t="s">
        <v>300</v>
      </c>
      <c r="K1" s="64" t="s">
        <v>301</v>
      </c>
      <c r="L1" s="64" t="s">
        <v>302</v>
      </c>
      <c r="M1" s="64" t="s">
        <v>303</v>
      </c>
      <c r="N1" s="64" t="s">
        <v>304</v>
      </c>
      <c r="O1" s="64" t="s">
        <v>305</v>
      </c>
      <c r="P1" s="64" t="s">
        <v>306</v>
      </c>
      <c r="Q1" s="64" t="s">
        <v>307</v>
      </c>
      <c r="R1" s="64" t="s">
        <v>308</v>
      </c>
      <c r="S1" s="64" t="s">
        <v>309</v>
      </c>
      <c r="T1" s="64" t="s">
        <v>310</v>
      </c>
      <c r="U1" s="64" t="s">
        <v>311</v>
      </c>
      <c r="V1" s="64" t="s">
        <v>312</v>
      </c>
      <c r="W1" s="64" t="s">
        <v>313</v>
      </c>
      <c r="X1" s="64" t="s">
        <v>314</v>
      </c>
      <c r="Y1" s="64" t="s">
        <v>315</v>
      </c>
      <c r="Z1" s="64" t="s">
        <v>316</v>
      </c>
      <c r="AA1" s="64" t="s">
        <v>317</v>
      </c>
      <c r="AB1" s="64" t="s">
        <v>318</v>
      </c>
      <c r="AC1" s="64" t="s">
        <v>319</v>
      </c>
      <c r="AD1" s="64" t="s">
        <v>320</v>
      </c>
      <c r="AE1" s="64" t="s">
        <v>321</v>
      </c>
      <c r="AF1" s="64" t="s">
        <v>322</v>
      </c>
      <c r="AG1" s="64" t="s">
        <v>323</v>
      </c>
      <c r="AH1" s="64" t="s">
        <v>324</v>
      </c>
      <c r="AI1" s="64" t="s">
        <v>325</v>
      </c>
    </row>
    <row r="2" spans="1:35" x14ac:dyDescent="0.35">
      <c r="A2" s="72" t="s">
        <v>421</v>
      </c>
      <c r="B2" s="73" t="s">
        <v>422</v>
      </c>
      <c r="C2" s="64">
        <v>1</v>
      </c>
      <c r="D2" s="64">
        <v>2</v>
      </c>
      <c r="E2" s="64">
        <v>3</v>
      </c>
      <c r="F2" s="64">
        <v>4</v>
      </c>
      <c r="G2" s="64">
        <v>5</v>
      </c>
      <c r="H2" s="64">
        <v>6</v>
      </c>
      <c r="I2" s="64">
        <v>7</v>
      </c>
      <c r="J2" s="64">
        <v>8</v>
      </c>
      <c r="K2" s="64">
        <v>9</v>
      </c>
      <c r="L2" s="64">
        <v>10</v>
      </c>
      <c r="M2" s="64">
        <v>11</v>
      </c>
      <c r="N2" s="64">
        <v>12</v>
      </c>
      <c r="O2" s="64">
        <v>13</v>
      </c>
      <c r="P2" s="64">
        <v>14</v>
      </c>
      <c r="Q2" s="64">
        <v>15</v>
      </c>
      <c r="R2" s="64">
        <v>16</v>
      </c>
      <c r="S2" s="64">
        <v>17</v>
      </c>
      <c r="T2" s="64">
        <v>18</v>
      </c>
      <c r="U2" s="64">
        <v>19</v>
      </c>
      <c r="V2" s="64">
        <v>20</v>
      </c>
      <c r="W2" s="64">
        <v>21</v>
      </c>
      <c r="X2" s="64">
        <v>22</v>
      </c>
      <c r="Y2" s="64">
        <v>23</v>
      </c>
      <c r="Z2" s="64">
        <v>24</v>
      </c>
      <c r="AA2" s="64">
        <v>25</v>
      </c>
      <c r="AB2" s="64">
        <v>26</v>
      </c>
      <c r="AC2" s="64">
        <v>27</v>
      </c>
      <c r="AD2" s="64">
        <v>28</v>
      </c>
      <c r="AE2" s="64">
        <v>29</v>
      </c>
      <c r="AF2" s="64">
        <v>30</v>
      </c>
      <c r="AG2" s="64">
        <v>31</v>
      </c>
      <c r="AH2" s="64">
        <v>32</v>
      </c>
      <c r="AI2" s="64">
        <v>33</v>
      </c>
    </row>
    <row r="3" spans="1:35" x14ac:dyDescent="0.35">
      <c r="A3" s="65" t="s">
        <v>326</v>
      </c>
      <c r="B3" s="65">
        <v>1</v>
      </c>
      <c r="C3" s="66">
        <v>84</v>
      </c>
      <c r="D3" s="67">
        <v>101.85000000000001</v>
      </c>
      <c r="E3" s="67">
        <v>114.45</v>
      </c>
      <c r="F3" s="67">
        <v>128.1</v>
      </c>
      <c r="G3" s="67">
        <v>135.45000000000002</v>
      </c>
      <c r="H3" s="67">
        <v>140.70000000000002</v>
      </c>
      <c r="I3" s="67">
        <v>149.76</v>
      </c>
      <c r="J3" s="67">
        <v>157.04</v>
      </c>
      <c r="K3" s="67">
        <v>163.28</v>
      </c>
      <c r="L3" s="67">
        <v>169.52</v>
      </c>
      <c r="M3" s="67">
        <v>172.64000000000001</v>
      </c>
      <c r="N3" s="67">
        <v>175.76000000000002</v>
      </c>
      <c r="O3" s="67">
        <v>183.04000000000002</v>
      </c>
      <c r="P3" s="67">
        <v>192.4</v>
      </c>
      <c r="Q3" s="67">
        <v>197.6</v>
      </c>
      <c r="R3" s="67">
        <v>203.84</v>
      </c>
      <c r="S3" s="67">
        <v>206.96</v>
      </c>
      <c r="T3" s="67">
        <v>214.24</v>
      </c>
      <c r="U3" s="67">
        <v>218.4</v>
      </c>
      <c r="V3" s="67">
        <v>226.72</v>
      </c>
      <c r="W3" s="67">
        <v>232.96</v>
      </c>
      <c r="X3" s="67">
        <v>240.24</v>
      </c>
      <c r="Y3" s="67">
        <v>248.56</v>
      </c>
      <c r="Z3" s="67">
        <v>251.68</v>
      </c>
      <c r="AA3" s="67">
        <v>255.84</v>
      </c>
      <c r="AB3" s="67">
        <v>263.12</v>
      </c>
      <c r="AC3" s="67">
        <v>269.36</v>
      </c>
      <c r="AD3" s="67">
        <v>277.68</v>
      </c>
      <c r="AE3" s="67">
        <v>282.88</v>
      </c>
      <c r="AF3" s="67">
        <v>293.28000000000003</v>
      </c>
      <c r="AG3" s="67">
        <v>303.68</v>
      </c>
      <c r="AH3" s="67">
        <v>303.68</v>
      </c>
      <c r="AI3" s="67">
        <v>303.68</v>
      </c>
    </row>
    <row r="4" spans="1:35" x14ac:dyDescent="0.35">
      <c r="A4" s="65" t="s">
        <v>327</v>
      </c>
      <c r="B4" s="65">
        <v>2</v>
      </c>
      <c r="C4" s="68">
        <v>145.95000000000002</v>
      </c>
      <c r="D4" s="69">
        <v>175.35</v>
      </c>
      <c r="E4" s="69">
        <v>211.05</v>
      </c>
      <c r="F4" s="69">
        <v>235.20000000000002</v>
      </c>
      <c r="G4" s="69">
        <v>271.95</v>
      </c>
      <c r="H4" s="69">
        <v>292.95</v>
      </c>
      <c r="I4" s="69">
        <v>313.04000000000002</v>
      </c>
      <c r="J4" s="69">
        <v>330.72</v>
      </c>
      <c r="K4" s="69">
        <v>352.56</v>
      </c>
      <c r="L4" s="69">
        <v>365.04</v>
      </c>
      <c r="M4" s="69">
        <v>386.88</v>
      </c>
      <c r="N4" s="69">
        <v>402.48</v>
      </c>
      <c r="O4" s="69">
        <v>425.36</v>
      </c>
      <c r="P4" s="69">
        <v>454.48</v>
      </c>
      <c r="Q4" s="69">
        <v>469.04</v>
      </c>
      <c r="R4" s="69">
        <v>483.6</v>
      </c>
      <c r="S4" s="69">
        <v>512.72</v>
      </c>
      <c r="T4" s="69">
        <v>527.28</v>
      </c>
      <c r="U4" s="69">
        <v>535.6</v>
      </c>
      <c r="V4" s="69">
        <v>557.44000000000005</v>
      </c>
      <c r="W4" s="69">
        <v>585.52</v>
      </c>
      <c r="X4" s="69">
        <v>608.4</v>
      </c>
      <c r="Y4" s="69">
        <v>639.6</v>
      </c>
      <c r="Z4" s="69">
        <v>659.36</v>
      </c>
      <c r="AA4" s="69">
        <v>682.24</v>
      </c>
      <c r="AB4" s="69">
        <v>695.76</v>
      </c>
      <c r="AC4" s="69">
        <v>709.28</v>
      </c>
      <c r="AD4" s="69">
        <v>732.16000000000008</v>
      </c>
      <c r="AE4" s="69">
        <v>755.04000000000008</v>
      </c>
      <c r="AF4" s="69">
        <v>770.64</v>
      </c>
      <c r="AG4" s="69">
        <v>782.08</v>
      </c>
      <c r="AH4" s="69">
        <v>782.08</v>
      </c>
      <c r="AI4" s="69">
        <v>782.08</v>
      </c>
    </row>
    <row r="5" spans="1:35" x14ac:dyDescent="0.35">
      <c r="A5" s="65" t="s">
        <v>328</v>
      </c>
      <c r="B5" s="65">
        <v>3</v>
      </c>
      <c r="C5" s="68">
        <v>111.30000000000001</v>
      </c>
      <c r="D5" s="69">
        <v>142.80000000000001</v>
      </c>
      <c r="E5" s="69">
        <v>172.20000000000002</v>
      </c>
      <c r="F5" s="69">
        <v>199.5</v>
      </c>
      <c r="G5" s="69">
        <v>217.35000000000002</v>
      </c>
      <c r="H5" s="69">
        <v>231</v>
      </c>
      <c r="I5" s="69">
        <v>242.32000000000002</v>
      </c>
      <c r="J5" s="69">
        <v>250.64000000000001</v>
      </c>
      <c r="K5" s="69">
        <v>261.04000000000002</v>
      </c>
      <c r="L5" s="69">
        <v>272.48</v>
      </c>
      <c r="M5" s="69">
        <v>276.64</v>
      </c>
      <c r="N5" s="69">
        <v>286</v>
      </c>
      <c r="O5" s="69">
        <v>298.48</v>
      </c>
      <c r="P5" s="69">
        <v>307.84000000000003</v>
      </c>
      <c r="Q5" s="69">
        <v>310.96000000000004</v>
      </c>
      <c r="R5" s="69">
        <v>320.32</v>
      </c>
      <c r="S5" s="69">
        <v>324.48</v>
      </c>
      <c r="T5" s="69">
        <v>339.04</v>
      </c>
      <c r="U5" s="69">
        <v>346.32</v>
      </c>
      <c r="V5" s="69">
        <v>347.36</v>
      </c>
      <c r="W5" s="69">
        <v>360.88</v>
      </c>
      <c r="X5" s="69">
        <v>364</v>
      </c>
      <c r="Y5" s="69">
        <v>375.44</v>
      </c>
      <c r="Z5" s="69">
        <v>380.64</v>
      </c>
      <c r="AA5" s="69">
        <v>387.92</v>
      </c>
      <c r="AB5" s="69">
        <v>399.36</v>
      </c>
      <c r="AC5" s="69">
        <v>408.72</v>
      </c>
      <c r="AD5" s="69">
        <v>423.28000000000003</v>
      </c>
      <c r="AE5" s="69">
        <v>430.56</v>
      </c>
      <c r="AF5" s="69">
        <v>447.2</v>
      </c>
      <c r="AG5" s="69">
        <v>464.88</v>
      </c>
      <c r="AH5" s="69">
        <v>464.88</v>
      </c>
      <c r="AI5" s="69">
        <v>464.88</v>
      </c>
    </row>
    <row r="6" spans="1:35" x14ac:dyDescent="0.35">
      <c r="A6" s="65" t="s">
        <v>329</v>
      </c>
      <c r="B6" s="65">
        <v>4</v>
      </c>
      <c r="C6" s="68">
        <v>161.70000000000002</v>
      </c>
      <c r="D6" s="69">
        <v>212.10000000000002</v>
      </c>
      <c r="E6" s="69">
        <v>243.60000000000002</v>
      </c>
      <c r="F6" s="69">
        <v>274.05</v>
      </c>
      <c r="G6" s="69">
        <v>301.35000000000002</v>
      </c>
      <c r="H6" s="69">
        <v>318.15000000000003</v>
      </c>
      <c r="I6" s="69">
        <v>341.12</v>
      </c>
      <c r="J6" s="69">
        <v>361.92</v>
      </c>
      <c r="K6" s="69">
        <v>385.84000000000003</v>
      </c>
      <c r="L6" s="69">
        <v>401.44</v>
      </c>
      <c r="M6" s="69">
        <v>420.16</v>
      </c>
      <c r="N6" s="69">
        <v>429.52000000000004</v>
      </c>
      <c r="O6" s="69">
        <v>438.88</v>
      </c>
      <c r="P6" s="69">
        <v>449.28000000000003</v>
      </c>
      <c r="Q6" s="69">
        <v>468</v>
      </c>
      <c r="R6" s="69">
        <v>483.6</v>
      </c>
      <c r="S6" s="69">
        <v>494</v>
      </c>
      <c r="T6" s="69">
        <v>509.6</v>
      </c>
      <c r="U6" s="69">
        <v>527.28</v>
      </c>
      <c r="V6" s="69">
        <v>538.72</v>
      </c>
      <c r="W6" s="69">
        <v>559.52</v>
      </c>
      <c r="X6" s="69">
        <v>575.12</v>
      </c>
      <c r="Y6" s="69">
        <v>604.24</v>
      </c>
      <c r="Z6" s="69">
        <v>621.92000000000007</v>
      </c>
      <c r="AA6" s="69">
        <v>647.92000000000007</v>
      </c>
      <c r="AB6" s="69">
        <v>663.52</v>
      </c>
      <c r="AC6" s="69">
        <v>673.92000000000007</v>
      </c>
      <c r="AD6" s="69">
        <v>694.72</v>
      </c>
      <c r="AE6" s="69">
        <v>722.80000000000007</v>
      </c>
      <c r="AF6" s="69">
        <v>747.76</v>
      </c>
      <c r="AG6" s="69">
        <v>765.44</v>
      </c>
      <c r="AH6" s="69">
        <v>765.44</v>
      </c>
      <c r="AI6" s="69">
        <v>765.44</v>
      </c>
    </row>
    <row r="7" spans="1:35" x14ac:dyDescent="0.35">
      <c r="A7" s="65" t="s">
        <v>330</v>
      </c>
      <c r="B7" s="65">
        <v>5</v>
      </c>
      <c r="C7" s="68">
        <v>161.70000000000002</v>
      </c>
      <c r="D7" s="69">
        <v>212.10000000000002</v>
      </c>
      <c r="E7" s="69">
        <v>243.60000000000002</v>
      </c>
      <c r="F7" s="69">
        <v>274.05</v>
      </c>
      <c r="G7" s="69">
        <v>301.35000000000002</v>
      </c>
      <c r="H7" s="69">
        <v>318.15000000000003</v>
      </c>
      <c r="I7" s="69">
        <v>341.12</v>
      </c>
      <c r="J7" s="69">
        <v>361.92</v>
      </c>
      <c r="K7" s="69">
        <v>385.84000000000003</v>
      </c>
      <c r="L7" s="69">
        <v>401.44</v>
      </c>
      <c r="M7" s="69">
        <v>420.16</v>
      </c>
      <c r="N7" s="69">
        <v>429.52000000000004</v>
      </c>
      <c r="O7" s="69">
        <v>438.88</v>
      </c>
      <c r="P7" s="69">
        <v>449.28000000000003</v>
      </c>
      <c r="Q7" s="69">
        <v>468</v>
      </c>
      <c r="R7" s="69">
        <v>483.6</v>
      </c>
      <c r="S7" s="69">
        <v>494</v>
      </c>
      <c r="T7" s="69">
        <v>509.6</v>
      </c>
      <c r="U7" s="69">
        <v>527.28</v>
      </c>
      <c r="V7" s="69">
        <v>538.72</v>
      </c>
      <c r="W7" s="69">
        <v>559.52</v>
      </c>
      <c r="X7" s="69">
        <v>575.12</v>
      </c>
      <c r="Y7" s="69">
        <v>604.24</v>
      </c>
      <c r="Z7" s="69">
        <v>621.92000000000007</v>
      </c>
      <c r="AA7" s="69">
        <v>647.92000000000007</v>
      </c>
      <c r="AB7" s="69">
        <v>663.52</v>
      </c>
      <c r="AC7" s="69">
        <v>673.92000000000007</v>
      </c>
      <c r="AD7" s="69">
        <v>694.72</v>
      </c>
      <c r="AE7" s="69">
        <v>722.80000000000007</v>
      </c>
      <c r="AF7" s="69">
        <v>747.76</v>
      </c>
      <c r="AG7" s="69">
        <v>765.44</v>
      </c>
      <c r="AH7" s="69">
        <v>765.44</v>
      </c>
      <c r="AI7" s="69">
        <v>765.44</v>
      </c>
    </row>
    <row r="8" spans="1:35" x14ac:dyDescent="0.35">
      <c r="A8" s="65" t="s">
        <v>331</v>
      </c>
      <c r="B8" s="65">
        <v>6</v>
      </c>
      <c r="C8" s="68">
        <v>169.05</v>
      </c>
      <c r="D8" s="69">
        <v>225.75</v>
      </c>
      <c r="E8" s="69">
        <v>255.15</v>
      </c>
      <c r="F8" s="69">
        <v>284.55</v>
      </c>
      <c r="G8" s="69">
        <v>308.7</v>
      </c>
      <c r="H8" s="69">
        <v>321.3</v>
      </c>
      <c r="I8" s="69">
        <v>346.32</v>
      </c>
      <c r="J8" s="69">
        <v>366.08000000000004</v>
      </c>
      <c r="K8" s="69">
        <v>377.52000000000004</v>
      </c>
      <c r="L8" s="69">
        <v>397.28000000000003</v>
      </c>
      <c r="M8" s="69">
        <v>426.40000000000003</v>
      </c>
      <c r="N8" s="69">
        <v>446.16</v>
      </c>
      <c r="O8" s="69">
        <v>461.76</v>
      </c>
      <c r="P8" s="69">
        <v>489.84000000000003</v>
      </c>
      <c r="Q8" s="69">
        <v>512.72</v>
      </c>
      <c r="R8" s="69">
        <v>544.96</v>
      </c>
      <c r="S8" s="69">
        <v>566.80000000000007</v>
      </c>
      <c r="T8" s="69">
        <v>589.68000000000006</v>
      </c>
      <c r="U8" s="69">
        <v>609.44000000000005</v>
      </c>
      <c r="V8" s="69">
        <v>629.20000000000005</v>
      </c>
      <c r="W8" s="69">
        <v>641.68000000000006</v>
      </c>
      <c r="X8" s="69">
        <v>665.6</v>
      </c>
      <c r="Y8" s="69">
        <v>677.04000000000008</v>
      </c>
      <c r="Z8" s="69">
        <v>692.64</v>
      </c>
      <c r="AA8" s="69">
        <v>707.2</v>
      </c>
      <c r="AB8" s="69">
        <v>732.16000000000008</v>
      </c>
      <c r="AC8" s="69">
        <v>754</v>
      </c>
      <c r="AD8" s="69">
        <v>790.4</v>
      </c>
      <c r="AE8" s="69">
        <v>810.16000000000008</v>
      </c>
      <c r="AF8" s="69">
        <v>845.52</v>
      </c>
      <c r="AG8" s="69">
        <v>876.72</v>
      </c>
      <c r="AH8" s="69">
        <v>876.72</v>
      </c>
      <c r="AI8" s="69">
        <v>876.72</v>
      </c>
    </row>
    <row r="9" spans="1:35" x14ac:dyDescent="0.35">
      <c r="A9" s="65" t="s">
        <v>332</v>
      </c>
      <c r="B9" s="65">
        <v>7</v>
      </c>
      <c r="C9" s="68">
        <v>137.55000000000001</v>
      </c>
      <c r="D9" s="69">
        <v>157.5</v>
      </c>
      <c r="E9" s="69">
        <v>184.8</v>
      </c>
      <c r="F9" s="69">
        <v>204.75</v>
      </c>
      <c r="G9" s="69">
        <v>221.55</v>
      </c>
      <c r="H9" s="69">
        <v>232.05</v>
      </c>
      <c r="I9" s="69">
        <v>243.36</v>
      </c>
      <c r="J9" s="69">
        <v>250.64000000000001</v>
      </c>
      <c r="K9" s="69">
        <v>260</v>
      </c>
      <c r="L9" s="69">
        <v>267.28000000000003</v>
      </c>
      <c r="M9" s="69">
        <v>273.52</v>
      </c>
      <c r="N9" s="69">
        <v>283.92</v>
      </c>
      <c r="O9" s="69">
        <v>290.16000000000003</v>
      </c>
      <c r="P9" s="69">
        <v>299.52</v>
      </c>
      <c r="Q9" s="69">
        <v>300.56</v>
      </c>
      <c r="R9" s="69">
        <v>310.96000000000004</v>
      </c>
      <c r="S9" s="69">
        <v>317.2</v>
      </c>
      <c r="T9" s="69">
        <v>320.32</v>
      </c>
      <c r="U9" s="69">
        <v>328.64</v>
      </c>
      <c r="V9" s="69">
        <v>334.88</v>
      </c>
      <c r="W9" s="69">
        <v>342.16</v>
      </c>
      <c r="X9" s="69">
        <v>346.32</v>
      </c>
      <c r="Y9" s="69">
        <v>354.64</v>
      </c>
      <c r="Z9" s="69">
        <v>364</v>
      </c>
      <c r="AA9" s="69">
        <v>372.32</v>
      </c>
      <c r="AB9" s="69">
        <v>380.64</v>
      </c>
      <c r="AC9" s="69">
        <v>386.88</v>
      </c>
      <c r="AD9" s="69">
        <v>401.44</v>
      </c>
      <c r="AE9" s="69">
        <v>402.48</v>
      </c>
      <c r="AF9" s="69">
        <v>416</v>
      </c>
      <c r="AG9" s="69">
        <v>432.64</v>
      </c>
      <c r="AH9" s="69">
        <v>432.64</v>
      </c>
      <c r="AI9" s="69">
        <v>432.64</v>
      </c>
    </row>
    <row r="10" spans="1:35" x14ac:dyDescent="0.35">
      <c r="A10" s="65" t="s">
        <v>333</v>
      </c>
      <c r="B10" s="65">
        <v>8</v>
      </c>
      <c r="C10" s="68">
        <v>169.05</v>
      </c>
      <c r="D10" s="69">
        <v>212.10000000000002</v>
      </c>
      <c r="E10" s="69">
        <v>240.45000000000002</v>
      </c>
      <c r="F10" s="69">
        <v>283.5</v>
      </c>
      <c r="G10" s="69">
        <v>322.35000000000002</v>
      </c>
      <c r="H10" s="69">
        <v>344.40000000000003</v>
      </c>
      <c r="I10" s="69">
        <v>369.2</v>
      </c>
      <c r="J10" s="69">
        <v>381.68</v>
      </c>
      <c r="K10" s="69">
        <v>402.48</v>
      </c>
      <c r="L10" s="69">
        <v>421.2</v>
      </c>
      <c r="M10" s="69">
        <v>438.88</v>
      </c>
      <c r="N10" s="69">
        <v>458.64000000000004</v>
      </c>
      <c r="O10" s="69">
        <v>479.44</v>
      </c>
      <c r="P10" s="69">
        <v>499.20000000000005</v>
      </c>
      <c r="Q10" s="69">
        <v>516.88</v>
      </c>
      <c r="R10" s="69">
        <v>532.48</v>
      </c>
      <c r="S10" s="69">
        <v>548.08000000000004</v>
      </c>
      <c r="T10" s="69">
        <v>579.28</v>
      </c>
      <c r="U10" s="69">
        <v>606.32000000000005</v>
      </c>
      <c r="V10" s="69">
        <v>616.72</v>
      </c>
      <c r="W10" s="69">
        <v>639.6</v>
      </c>
      <c r="X10" s="69">
        <v>670.80000000000007</v>
      </c>
      <c r="Y10" s="69">
        <v>688.48</v>
      </c>
      <c r="Z10" s="69">
        <v>717.6</v>
      </c>
      <c r="AA10" s="69">
        <v>744.64</v>
      </c>
      <c r="AB10" s="69">
        <v>773.76</v>
      </c>
      <c r="AC10" s="69">
        <v>804.96</v>
      </c>
      <c r="AD10" s="69">
        <v>837.2</v>
      </c>
      <c r="AE10" s="69">
        <v>849.68000000000006</v>
      </c>
      <c r="AF10" s="69">
        <v>862.16000000000008</v>
      </c>
      <c r="AG10" s="69">
        <v>876.72</v>
      </c>
      <c r="AH10" s="69">
        <v>876.72</v>
      </c>
      <c r="AI10" s="69">
        <v>876.72</v>
      </c>
    </row>
    <row r="11" spans="1:35" x14ac:dyDescent="0.35">
      <c r="A11" s="65" t="s">
        <v>334</v>
      </c>
      <c r="B11" s="65">
        <v>9</v>
      </c>
      <c r="C11" s="68">
        <v>187.95000000000002</v>
      </c>
      <c r="D11" s="69">
        <v>233.10000000000002</v>
      </c>
      <c r="E11" s="69">
        <v>246.75</v>
      </c>
      <c r="F11" s="69">
        <v>299.25</v>
      </c>
      <c r="G11" s="69">
        <v>345.45</v>
      </c>
      <c r="H11" s="69">
        <v>372.75</v>
      </c>
      <c r="I11" s="69">
        <v>414.96000000000004</v>
      </c>
      <c r="J11" s="69">
        <v>447.2</v>
      </c>
      <c r="K11" s="69">
        <v>476.32</v>
      </c>
      <c r="L11" s="69">
        <v>482.56</v>
      </c>
      <c r="M11" s="69">
        <v>492.96000000000004</v>
      </c>
      <c r="N11" s="69">
        <v>510.64000000000004</v>
      </c>
      <c r="O11" s="69">
        <v>528.32000000000005</v>
      </c>
      <c r="P11" s="69">
        <v>544.96</v>
      </c>
      <c r="Q11" s="69">
        <v>562.64</v>
      </c>
      <c r="R11" s="69">
        <v>585.52</v>
      </c>
      <c r="S11" s="69">
        <v>610.48</v>
      </c>
      <c r="T11" s="69">
        <v>636.48</v>
      </c>
      <c r="U11" s="69">
        <v>655.20000000000005</v>
      </c>
      <c r="V11" s="69">
        <v>683.28</v>
      </c>
      <c r="W11" s="69">
        <v>715.52</v>
      </c>
      <c r="X11" s="69">
        <v>761.28</v>
      </c>
      <c r="Y11" s="69">
        <v>795.6</v>
      </c>
      <c r="Z11" s="69">
        <v>837.2</v>
      </c>
      <c r="AA11" s="69">
        <v>885.04000000000008</v>
      </c>
      <c r="AB11" s="69">
        <v>904.80000000000007</v>
      </c>
      <c r="AC11" s="69">
        <v>922.48</v>
      </c>
      <c r="AD11" s="69">
        <v>951.6</v>
      </c>
      <c r="AE11" s="69">
        <v>986.96</v>
      </c>
      <c r="AF11" s="69">
        <v>1004.64</v>
      </c>
      <c r="AG11" s="69">
        <v>1019.2</v>
      </c>
      <c r="AH11" s="69">
        <v>1019.2</v>
      </c>
      <c r="AI11" s="69">
        <v>1019.2</v>
      </c>
    </row>
    <row r="12" spans="1:35" x14ac:dyDescent="0.35">
      <c r="A12" s="65" t="s">
        <v>335</v>
      </c>
      <c r="B12" s="65">
        <v>10</v>
      </c>
      <c r="C12" s="68">
        <v>131.25</v>
      </c>
      <c r="D12" s="69">
        <v>165.9</v>
      </c>
      <c r="E12" s="69">
        <v>192.15</v>
      </c>
      <c r="F12" s="69">
        <v>212.10000000000002</v>
      </c>
      <c r="G12" s="69">
        <v>245.70000000000002</v>
      </c>
      <c r="H12" s="69">
        <v>256.2</v>
      </c>
      <c r="I12" s="69">
        <v>278.72000000000003</v>
      </c>
      <c r="J12" s="69">
        <v>289.12</v>
      </c>
      <c r="K12" s="69">
        <v>303.68</v>
      </c>
      <c r="L12" s="69">
        <v>313.04000000000002</v>
      </c>
      <c r="M12" s="69">
        <v>324.48</v>
      </c>
      <c r="N12" s="69">
        <v>338</v>
      </c>
      <c r="O12" s="69">
        <v>343.2</v>
      </c>
      <c r="P12" s="69">
        <v>360.88</v>
      </c>
      <c r="Q12" s="69">
        <v>369.2</v>
      </c>
      <c r="R12" s="69">
        <v>380.64</v>
      </c>
      <c r="S12" s="69">
        <v>391.04</v>
      </c>
      <c r="T12" s="69">
        <v>402.48</v>
      </c>
      <c r="U12" s="69">
        <v>418.08000000000004</v>
      </c>
      <c r="V12" s="69">
        <v>434.72</v>
      </c>
      <c r="W12" s="69">
        <v>444.08000000000004</v>
      </c>
      <c r="X12" s="69">
        <v>456.56</v>
      </c>
      <c r="Y12" s="69">
        <v>472.16</v>
      </c>
      <c r="Z12" s="69">
        <v>481.52000000000004</v>
      </c>
      <c r="AA12" s="69">
        <v>489.84000000000003</v>
      </c>
      <c r="AB12" s="69">
        <v>505.44</v>
      </c>
      <c r="AC12" s="69">
        <v>516.88</v>
      </c>
      <c r="AD12" s="69">
        <v>537.68000000000006</v>
      </c>
      <c r="AE12" s="69">
        <v>551.20000000000005</v>
      </c>
      <c r="AF12" s="69">
        <v>573.04</v>
      </c>
      <c r="AG12" s="69">
        <v>591.76</v>
      </c>
      <c r="AH12" s="69">
        <v>591.76</v>
      </c>
      <c r="AI12" s="69">
        <v>591.76</v>
      </c>
    </row>
    <row r="13" spans="1:35" x14ac:dyDescent="0.35">
      <c r="A13" s="65" t="s">
        <v>336</v>
      </c>
      <c r="B13" s="65">
        <v>11</v>
      </c>
      <c r="C13" s="68">
        <v>161.70000000000002</v>
      </c>
      <c r="D13" s="69">
        <v>202.65</v>
      </c>
      <c r="E13" s="69">
        <v>222.60000000000002</v>
      </c>
      <c r="F13" s="69">
        <v>271.95</v>
      </c>
      <c r="G13" s="69">
        <v>277.2</v>
      </c>
      <c r="H13" s="69">
        <v>297.15000000000003</v>
      </c>
      <c r="I13" s="69">
        <v>324.48</v>
      </c>
      <c r="J13" s="69">
        <v>343.2</v>
      </c>
      <c r="K13" s="69">
        <v>358.8</v>
      </c>
      <c r="L13" s="69">
        <v>374.40000000000003</v>
      </c>
      <c r="M13" s="69">
        <v>380.64</v>
      </c>
      <c r="N13" s="69">
        <v>397.28000000000003</v>
      </c>
      <c r="O13" s="69">
        <v>402.48</v>
      </c>
      <c r="P13" s="69">
        <v>426.40000000000003</v>
      </c>
      <c r="Q13" s="69">
        <v>450.32</v>
      </c>
      <c r="R13" s="69">
        <v>468</v>
      </c>
      <c r="S13" s="69">
        <v>488.8</v>
      </c>
      <c r="T13" s="69">
        <v>503.36</v>
      </c>
      <c r="U13" s="69">
        <v>526.24</v>
      </c>
      <c r="V13" s="69">
        <v>543.92000000000007</v>
      </c>
      <c r="W13" s="69">
        <v>568.88</v>
      </c>
      <c r="X13" s="69">
        <v>590.72</v>
      </c>
      <c r="Y13" s="69">
        <v>613.6</v>
      </c>
      <c r="Z13" s="69">
        <v>636.48</v>
      </c>
      <c r="AA13" s="69">
        <v>654.16</v>
      </c>
      <c r="AB13" s="69">
        <v>672.88</v>
      </c>
      <c r="AC13" s="69">
        <v>685.36</v>
      </c>
      <c r="AD13" s="69">
        <v>707.2</v>
      </c>
      <c r="AE13" s="69">
        <v>738.4</v>
      </c>
      <c r="AF13" s="69">
        <v>754</v>
      </c>
      <c r="AG13" s="69">
        <v>765.44</v>
      </c>
      <c r="AH13" s="69">
        <v>765.44</v>
      </c>
      <c r="AI13" s="69">
        <v>765.44</v>
      </c>
    </row>
    <row r="14" spans="1:35" x14ac:dyDescent="0.35">
      <c r="A14" s="65" t="s">
        <v>337</v>
      </c>
      <c r="B14" s="65">
        <v>12</v>
      </c>
      <c r="C14" s="68">
        <v>149.1</v>
      </c>
      <c r="D14" s="69">
        <v>164.85</v>
      </c>
      <c r="E14" s="69">
        <v>214.20000000000002</v>
      </c>
      <c r="F14" s="69">
        <v>249.9</v>
      </c>
      <c r="G14" s="69">
        <v>263.55</v>
      </c>
      <c r="H14" s="69">
        <v>273</v>
      </c>
      <c r="I14" s="69">
        <v>297.44</v>
      </c>
      <c r="J14" s="69">
        <v>316.16000000000003</v>
      </c>
      <c r="K14" s="69">
        <v>334.88</v>
      </c>
      <c r="L14" s="69">
        <v>343.2</v>
      </c>
      <c r="M14" s="69">
        <v>356.72</v>
      </c>
      <c r="N14" s="69">
        <v>361.92</v>
      </c>
      <c r="O14" s="69">
        <v>368.16</v>
      </c>
      <c r="P14" s="69">
        <v>386.88</v>
      </c>
      <c r="Q14" s="69">
        <v>401.44</v>
      </c>
      <c r="R14" s="69">
        <v>414.96000000000004</v>
      </c>
      <c r="S14" s="69">
        <v>429.52000000000004</v>
      </c>
      <c r="T14" s="69">
        <v>447.2</v>
      </c>
      <c r="U14" s="69">
        <v>461.76</v>
      </c>
      <c r="V14" s="69">
        <v>483.6</v>
      </c>
      <c r="W14" s="69">
        <v>501.28000000000003</v>
      </c>
      <c r="X14" s="69">
        <v>524.16</v>
      </c>
      <c r="Y14" s="69">
        <v>535.6</v>
      </c>
      <c r="Z14" s="69">
        <v>555.36</v>
      </c>
      <c r="AA14" s="69">
        <v>574.08000000000004</v>
      </c>
      <c r="AB14" s="69">
        <v>589.68000000000006</v>
      </c>
      <c r="AC14" s="69">
        <v>602.16</v>
      </c>
      <c r="AD14" s="69">
        <v>621.92000000000007</v>
      </c>
      <c r="AE14" s="69">
        <v>651.04000000000008</v>
      </c>
      <c r="AF14" s="69">
        <v>665.6</v>
      </c>
      <c r="AG14" s="69">
        <v>676</v>
      </c>
      <c r="AH14" s="69">
        <v>676</v>
      </c>
      <c r="AI14" s="69">
        <v>676</v>
      </c>
    </row>
    <row r="15" spans="1:35" x14ac:dyDescent="0.35">
      <c r="A15" s="65" t="s">
        <v>338</v>
      </c>
      <c r="B15" s="65">
        <v>13</v>
      </c>
      <c r="C15" s="68">
        <v>130.20000000000002</v>
      </c>
      <c r="D15" s="69">
        <v>147</v>
      </c>
      <c r="E15" s="69">
        <v>179.55</v>
      </c>
      <c r="F15" s="69">
        <v>202.65</v>
      </c>
      <c r="G15" s="69">
        <v>221.55</v>
      </c>
      <c r="H15" s="69">
        <v>237.3</v>
      </c>
      <c r="I15" s="69">
        <v>250.64000000000001</v>
      </c>
      <c r="J15" s="69">
        <v>264.16000000000003</v>
      </c>
      <c r="K15" s="69">
        <v>278.72000000000003</v>
      </c>
      <c r="L15" s="69">
        <v>293.28000000000003</v>
      </c>
      <c r="M15" s="69">
        <v>301.60000000000002</v>
      </c>
      <c r="N15" s="69">
        <v>316.16000000000003</v>
      </c>
      <c r="O15" s="69">
        <v>324.48</v>
      </c>
      <c r="P15" s="69">
        <v>343.2</v>
      </c>
      <c r="Q15" s="69">
        <v>360.88</v>
      </c>
      <c r="R15" s="69">
        <v>368.16</v>
      </c>
      <c r="S15" s="69">
        <v>381.68</v>
      </c>
      <c r="T15" s="69">
        <v>398.32</v>
      </c>
      <c r="U15" s="69">
        <v>416</v>
      </c>
      <c r="V15" s="69">
        <v>431.6</v>
      </c>
      <c r="W15" s="69">
        <v>454.48</v>
      </c>
      <c r="X15" s="69">
        <v>473.2</v>
      </c>
      <c r="Y15" s="69">
        <v>494</v>
      </c>
      <c r="Z15" s="69">
        <v>510.64000000000004</v>
      </c>
      <c r="AA15" s="69">
        <v>528.32000000000005</v>
      </c>
      <c r="AB15" s="69">
        <v>539.76</v>
      </c>
      <c r="AC15" s="69">
        <v>562.64</v>
      </c>
      <c r="AD15" s="69">
        <v>585.52</v>
      </c>
      <c r="AE15" s="69">
        <v>601.12</v>
      </c>
      <c r="AF15" s="69">
        <v>629.20000000000005</v>
      </c>
      <c r="AG15" s="69">
        <v>654.16</v>
      </c>
      <c r="AH15" s="69">
        <v>654.16</v>
      </c>
      <c r="AI15" s="69">
        <v>654.16</v>
      </c>
    </row>
    <row r="16" spans="1:35" x14ac:dyDescent="0.35">
      <c r="A16" s="65" t="s">
        <v>339</v>
      </c>
      <c r="B16" s="65">
        <v>14</v>
      </c>
      <c r="C16" s="68">
        <v>191.1</v>
      </c>
      <c r="D16" s="69">
        <v>225.75</v>
      </c>
      <c r="E16" s="69">
        <v>258.3</v>
      </c>
      <c r="F16" s="69">
        <v>289.8</v>
      </c>
      <c r="G16" s="69">
        <v>301.35000000000002</v>
      </c>
      <c r="H16" s="69">
        <v>316.05</v>
      </c>
      <c r="I16" s="69">
        <v>338</v>
      </c>
      <c r="J16" s="69">
        <v>358.8</v>
      </c>
      <c r="K16" s="69">
        <v>379.6</v>
      </c>
      <c r="L16" s="69">
        <v>402.48</v>
      </c>
      <c r="M16" s="69">
        <v>414.96000000000004</v>
      </c>
      <c r="N16" s="69">
        <v>424.32</v>
      </c>
      <c r="O16" s="69">
        <v>442</v>
      </c>
      <c r="P16" s="69">
        <v>465.92</v>
      </c>
      <c r="Q16" s="69">
        <v>486.72</v>
      </c>
      <c r="R16" s="69">
        <v>511.68</v>
      </c>
      <c r="S16" s="69">
        <v>527.28</v>
      </c>
      <c r="T16" s="69">
        <v>550.16</v>
      </c>
      <c r="U16" s="69">
        <v>589.68000000000006</v>
      </c>
      <c r="V16" s="69">
        <v>618.80000000000007</v>
      </c>
      <c r="W16" s="69">
        <v>641.68000000000006</v>
      </c>
      <c r="X16" s="69">
        <v>679.12</v>
      </c>
      <c r="Y16" s="69">
        <v>712.4</v>
      </c>
      <c r="Z16" s="69">
        <v>744.64</v>
      </c>
      <c r="AA16" s="69">
        <v>778.96</v>
      </c>
      <c r="AB16" s="69">
        <v>813.28</v>
      </c>
      <c r="AC16" s="69">
        <v>839.28</v>
      </c>
      <c r="AD16" s="69">
        <v>895.44</v>
      </c>
      <c r="AE16" s="69">
        <v>917.28000000000009</v>
      </c>
      <c r="AF16" s="69">
        <v>952.64</v>
      </c>
      <c r="AG16" s="69">
        <v>985.92000000000007</v>
      </c>
      <c r="AH16" s="69">
        <v>985.92000000000007</v>
      </c>
      <c r="AI16" s="69">
        <v>985.92000000000007</v>
      </c>
    </row>
    <row r="17" spans="1:35" x14ac:dyDescent="0.35">
      <c r="A17" s="65" t="s">
        <v>340</v>
      </c>
      <c r="B17" s="65">
        <v>15</v>
      </c>
      <c r="C17" s="68">
        <v>153.30000000000001</v>
      </c>
      <c r="D17" s="69">
        <v>212.10000000000002</v>
      </c>
      <c r="E17" s="69">
        <v>250.95000000000002</v>
      </c>
      <c r="F17" s="69">
        <v>275.10000000000002</v>
      </c>
      <c r="G17" s="69">
        <v>296.10000000000002</v>
      </c>
      <c r="H17" s="69">
        <v>310.8</v>
      </c>
      <c r="I17" s="69">
        <v>340.08</v>
      </c>
      <c r="J17" s="69">
        <v>354.64</v>
      </c>
      <c r="K17" s="69">
        <v>361.92</v>
      </c>
      <c r="L17" s="69">
        <v>376.48</v>
      </c>
      <c r="M17" s="69">
        <v>388.96000000000004</v>
      </c>
      <c r="N17" s="69">
        <v>399.36</v>
      </c>
      <c r="O17" s="69">
        <v>402.48</v>
      </c>
      <c r="P17" s="69">
        <v>422.24</v>
      </c>
      <c r="Q17" s="69">
        <v>424.32</v>
      </c>
      <c r="R17" s="69">
        <v>440.96000000000004</v>
      </c>
      <c r="S17" s="69">
        <v>459.68</v>
      </c>
      <c r="T17" s="69">
        <v>470.08000000000004</v>
      </c>
      <c r="U17" s="69">
        <v>492.96000000000004</v>
      </c>
      <c r="V17" s="69">
        <v>504.40000000000003</v>
      </c>
      <c r="W17" s="69">
        <v>527.28</v>
      </c>
      <c r="X17" s="69">
        <v>539.76</v>
      </c>
      <c r="Y17" s="69">
        <v>572</v>
      </c>
      <c r="Z17" s="69">
        <v>586.56000000000006</v>
      </c>
      <c r="AA17" s="69">
        <v>609.44000000000005</v>
      </c>
      <c r="AB17" s="69">
        <v>621.92000000000007</v>
      </c>
      <c r="AC17" s="69">
        <v>642.72</v>
      </c>
      <c r="AD17" s="69">
        <v>662.48</v>
      </c>
      <c r="AE17" s="69">
        <v>670.80000000000007</v>
      </c>
      <c r="AF17" s="69">
        <v>682.24</v>
      </c>
      <c r="AG17" s="69">
        <v>692.64</v>
      </c>
      <c r="AH17" s="69">
        <v>692.64</v>
      </c>
      <c r="AI17" s="69">
        <v>692.64</v>
      </c>
    </row>
    <row r="18" spans="1:35" x14ac:dyDescent="0.35">
      <c r="A18" s="65" t="s">
        <v>341</v>
      </c>
      <c r="B18" s="65">
        <v>16</v>
      </c>
      <c r="C18" s="68">
        <v>168</v>
      </c>
      <c r="D18" s="69">
        <v>202.65</v>
      </c>
      <c r="E18" s="69">
        <v>256.2</v>
      </c>
      <c r="F18" s="69">
        <v>273</v>
      </c>
      <c r="G18" s="69">
        <v>302.40000000000003</v>
      </c>
      <c r="H18" s="69">
        <v>323.40000000000003</v>
      </c>
      <c r="I18" s="69">
        <v>356.72</v>
      </c>
      <c r="J18" s="69">
        <v>384.8</v>
      </c>
      <c r="K18" s="69">
        <v>407.68</v>
      </c>
      <c r="L18" s="69">
        <v>424.32</v>
      </c>
      <c r="M18" s="69">
        <v>440.96000000000004</v>
      </c>
      <c r="N18" s="69">
        <v>461.76</v>
      </c>
      <c r="O18" s="69">
        <v>478.40000000000003</v>
      </c>
      <c r="P18" s="69">
        <v>505.44</v>
      </c>
      <c r="Q18" s="69">
        <v>534.56000000000006</v>
      </c>
      <c r="R18" s="69">
        <v>568.88</v>
      </c>
      <c r="S18" s="69">
        <v>598</v>
      </c>
      <c r="T18" s="69">
        <v>626.08000000000004</v>
      </c>
      <c r="U18" s="69">
        <v>641.68000000000006</v>
      </c>
      <c r="V18" s="69">
        <v>663.52</v>
      </c>
      <c r="W18" s="69">
        <v>683.28</v>
      </c>
      <c r="X18" s="69">
        <v>704.08</v>
      </c>
      <c r="Y18" s="69">
        <v>717.6</v>
      </c>
      <c r="Z18" s="69">
        <v>742.56000000000006</v>
      </c>
      <c r="AA18" s="69">
        <v>772.72</v>
      </c>
      <c r="AB18" s="69">
        <v>800.80000000000007</v>
      </c>
      <c r="AC18" s="69">
        <v>835.12</v>
      </c>
      <c r="AD18" s="69">
        <v>879.84</v>
      </c>
      <c r="AE18" s="69">
        <v>914.16000000000008</v>
      </c>
      <c r="AF18" s="69">
        <v>953.68000000000006</v>
      </c>
      <c r="AG18" s="69">
        <v>985.92000000000007</v>
      </c>
      <c r="AH18" s="69">
        <v>985.92000000000007</v>
      </c>
      <c r="AI18" s="69">
        <v>985.92000000000007</v>
      </c>
    </row>
    <row r="19" spans="1:35" x14ac:dyDescent="0.35">
      <c r="A19" s="65" t="s">
        <v>342</v>
      </c>
      <c r="B19" s="65">
        <v>17</v>
      </c>
      <c r="C19" s="68">
        <v>174.3</v>
      </c>
      <c r="D19" s="69">
        <v>210</v>
      </c>
      <c r="E19" s="69">
        <v>258.3</v>
      </c>
      <c r="F19" s="69">
        <v>274.05</v>
      </c>
      <c r="G19" s="69">
        <v>306.60000000000002</v>
      </c>
      <c r="H19" s="69">
        <v>332.85</v>
      </c>
      <c r="I19" s="69">
        <v>361.92</v>
      </c>
      <c r="J19" s="69">
        <v>385.84000000000003</v>
      </c>
      <c r="K19" s="69">
        <v>421.2</v>
      </c>
      <c r="L19" s="69">
        <v>436.8</v>
      </c>
      <c r="M19" s="69">
        <v>446.16</v>
      </c>
      <c r="N19" s="69">
        <v>471.12</v>
      </c>
      <c r="O19" s="69">
        <v>491.92</v>
      </c>
      <c r="P19" s="69">
        <v>507.52000000000004</v>
      </c>
      <c r="Q19" s="69">
        <v>541.84</v>
      </c>
      <c r="R19" s="69">
        <v>572</v>
      </c>
      <c r="S19" s="69">
        <v>609.44000000000005</v>
      </c>
      <c r="T19" s="69">
        <v>629.20000000000005</v>
      </c>
      <c r="U19" s="69">
        <v>647.92000000000007</v>
      </c>
      <c r="V19" s="69">
        <v>670.80000000000007</v>
      </c>
      <c r="W19" s="69">
        <v>688.48</v>
      </c>
      <c r="X19" s="69">
        <v>707.2</v>
      </c>
      <c r="Y19" s="69">
        <v>729.04000000000008</v>
      </c>
      <c r="Z19" s="69">
        <v>750.88</v>
      </c>
      <c r="AA19" s="69">
        <v>780</v>
      </c>
      <c r="AB19" s="69">
        <v>813.28</v>
      </c>
      <c r="AC19" s="69">
        <v>837.2</v>
      </c>
      <c r="AD19" s="69">
        <v>880.88</v>
      </c>
      <c r="AE19" s="69">
        <v>917.28000000000009</v>
      </c>
      <c r="AF19" s="69">
        <v>955.76</v>
      </c>
      <c r="AG19" s="69">
        <v>985.92000000000007</v>
      </c>
      <c r="AH19" s="69">
        <v>985.92000000000007</v>
      </c>
      <c r="AI19" s="69">
        <v>985.92000000000007</v>
      </c>
    </row>
    <row r="20" spans="1:35" x14ac:dyDescent="0.35">
      <c r="A20" s="65" t="s">
        <v>343</v>
      </c>
      <c r="B20" s="65">
        <v>18</v>
      </c>
      <c r="C20" s="68">
        <v>129.15</v>
      </c>
      <c r="D20" s="69">
        <v>171.15</v>
      </c>
      <c r="E20" s="69">
        <v>192.15</v>
      </c>
      <c r="F20" s="69">
        <v>217.35000000000002</v>
      </c>
      <c r="G20" s="69">
        <v>220.5</v>
      </c>
      <c r="H20" s="69">
        <v>227.85000000000002</v>
      </c>
      <c r="I20" s="69">
        <v>240.24</v>
      </c>
      <c r="J20" s="69">
        <v>258.96000000000004</v>
      </c>
      <c r="K20" s="69">
        <v>272.48</v>
      </c>
      <c r="L20" s="69">
        <v>288.08</v>
      </c>
      <c r="M20" s="69">
        <v>301.60000000000002</v>
      </c>
      <c r="N20" s="69">
        <v>316.16000000000003</v>
      </c>
      <c r="O20" s="69">
        <v>323.44</v>
      </c>
      <c r="P20" s="69">
        <v>329.68</v>
      </c>
      <c r="Q20" s="69">
        <v>344.24</v>
      </c>
      <c r="R20" s="69">
        <v>352.56</v>
      </c>
      <c r="S20" s="69">
        <v>356.72</v>
      </c>
      <c r="T20" s="69">
        <v>368.16</v>
      </c>
      <c r="U20" s="69">
        <v>384.8</v>
      </c>
      <c r="V20" s="69">
        <v>397.28000000000003</v>
      </c>
      <c r="W20" s="69">
        <v>408.72</v>
      </c>
      <c r="X20" s="69">
        <v>418.08000000000004</v>
      </c>
      <c r="Y20" s="69">
        <v>430.56</v>
      </c>
      <c r="Z20" s="69">
        <v>444.08000000000004</v>
      </c>
      <c r="AA20" s="69">
        <v>455.52000000000004</v>
      </c>
      <c r="AB20" s="69">
        <v>470.08000000000004</v>
      </c>
      <c r="AC20" s="69">
        <v>483.6</v>
      </c>
      <c r="AD20" s="69">
        <v>503.36</v>
      </c>
      <c r="AE20" s="69">
        <v>525.20000000000005</v>
      </c>
      <c r="AF20" s="69">
        <v>557.44000000000005</v>
      </c>
      <c r="AG20" s="69">
        <v>580.32000000000005</v>
      </c>
      <c r="AH20" s="69">
        <v>580.32000000000005</v>
      </c>
      <c r="AI20" s="69">
        <v>580.32000000000005</v>
      </c>
    </row>
    <row r="21" spans="1:35" x14ac:dyDescent="0.35">
      <c r="A21" s="65" t="s">
        <v>344</v>
      </c>
      <c r="B21" s="65">
        <v>19</v>
      </c>
      <c r="C21" s="68">
        <v>139.65</v>
      </c>
      <c r="D21" s="69">
        <v>189</v>
      </c>
      <c r="E21" s="69">
        <v>189</v>
      </c>
      <c r="F21" s="69">
        <v>231</v>
      </c>
      <c r="G21" s="69">
        <v>265.65000000000003</v>
      </c>
      <c r="H21" s="69">
        <v>276.15000000000003</v>
      </c>
      <c r="I21" s="69">
        <v>299.52</v>
      </c>
      <c r="J21" s="69">
        <v>313.04000000000002</v>
      </c>
      <c r="K21" s="69">
        <v>327.60000000000002</v>
      </c>
      <c r="L21" s="69">
        <v>341.12</v>
      </c>
      <c r="M21" s="69">
        <v>353.6</v>
      </c>
      <c r="N21" s="69">
        <v>369.2</v>
      </c>
      <c r="O21" s="69">
        <v>378.56</v>
      </c>
      <c r="P21" s="69">
        <v>391.04</v>
      </c>
      <c r="Q21" s="69">
        <v>406.64</v>
      </c>
      <c r="R21" s="69">
        <v>419.12</v>
      </c>
      <c r="S21" s="69">
        <v>438.88</v>
      </c>
      <c r="T21" s="69">
        <v>452.40000000000003</v>
      </c>
      <c r="U21" s="69">
        <v>472.16</v>
      </c>
      <c r="V21" s="69">
        <v>483.6</v>
      </c>
      <c r="W21" s="69">
        <v>505.44</v>
      </c>
      <c r="X21" s="69">
        <v>528.32000000000005</v>
      </c>
      <c r="Y21" s="69">
        <v>543.92000000000007</v>
      </c>
      <c r="Z21" s="69">
        <v>559.52</v>
      </c>
      <c r="AA21" s="69">
        <v>579.28</v>
      </c>
      <c r="AB21" s="69">
        <v>599.04</v>
      </c>
      <c r="AC21" s="69">
        <v>617.76</v>
      </c>
      <c r="AD21" s="69">
        <v>638.56000000000006</v>
      </c>
      <c r="AE21" s="69">
        <v>660.4</v>
      </c>
      <c r="AF21" s="69">
        <v>679.12</v>
      </c>
      <c r="AG21" s="69">
        <v>689.52</v>
      </c>
      <c r="AH21" s="69">
        <v>689.52</v>
      </c>
      <c r="AI21" s="69">
        <v>689.52</v>
      </c>
    </row>
    <row r="22" spans="1:35" x14ac:dyDescent="0.35">
      <c r="A22" s="65" t="s">
        <v>345</v>
      </c>
      <c r="B22" s="65">
        <v>21</v>
      </c>
      <c r="C22" s="68">
        <v>105</v>
      </c>
      <c r="D22" s="69">
        <v>139.65</v>
      </c>
      <c r="E22" s="69">
        <v>162.75</v>
      </c>
      <c r="F22" s="69">
        <v>184.8</v>
      </c>
      <c r="G22" s="69">
        <v>196.35</v>
      </c>
      <c r="H22" s="69">
        <v>203.70000000000002</v>
      </c>
      <c r="I22" s="69">
        <v>216.32</v>
      </c>
      <c r="J22" s="69">
        <v>226.72</v>
      </c>
      <c r="K22" s="69">
        <v>235.04000000000002</v>
      </c>
      <c r="L22" s="69">
        <v>247.52</v>
      </c>
      <c r="M22" s="69">
        <v>252.72</v>
      </c>
      <c r="N22" s="69">
        <v>271.44</v>
      </c>
      <c r="O22" s="69">
        <v>278.72000000000003</v>
      </c>
      <c r="P22" s="69">
        <v>287.04000000000002</v>
      </c>
      <c r="Q22" s="69">
        <v>304.72000000000003</v>
      </c>
      <c r="R22" s="69">
        <v>309.92</v>
      </c>
      <c r="S22" s="69">
        <v>317.2</v>
      </c>
      <c r="T22" s="69">
        <v>323.44</v>
      </c>
      <c r="U22" s="69">
        <v>330.72</v>
      </c>
      <c r="V22" s="69">
        <v>338</v>
      </c>
      <c r="W22" s="69">
        <v>344.24</v>
      </c>
      <c r="X22" s="69">
        <v>351.52000000000004</v>
      </c>
      <c r="Y22" s="69">
        <v>358.8</v>
      </c>
      <c r="Z22" s="69">
        <v>367.12</v>
      </c>
      <c r="AA22" s="69">
        <v>373.36</v>
      </c>
      <c r="AB22" s="69">
        <v>381.68</v>
      </c>
      <c r="AC22" s="69">
        <v>390</v>
      </c>
      <c r="AD22" s="69">
        <v>400.40000000000003</v>
      </c>
      <c r="AE22" s="69">
        <v>402.48</v>
      </c>
      <c r="AF22" s="69">
        <v>420.16</v>
      </c>
      <c r="AG22" s="69">
        <v>437.84000000000003</v>
      </c>
      <c r="AH22" s="69">
        <v>437.84000000000003</v>
      </c>
      <c r="AI22" s="69">
        <v>437.84000000000003</v>
      </c>
    </row>
    <row r="23" spans="1:35" x14ac:dyDescent="0.35">
      <c r="A23" s="65" t="s">
        <v>346</v>
      </c>
      <c r="B23" s="65">
        <v>22</v>
      </c>
      <c r="C23" s="68">
        <v>186.9</v>
      </c>
      <c r="D23" s="69">
        <v>219.45000000000002</v>
      </c>
      <c r="E23" s="69">
        <v>252</v>
      </c>
      <c r="F23" s="69">
        <v>297.15000000000003</v>
      </c>
      <c r="G23" s="69">
        <v>315</v>
      </c>
      <c r="H23" s="69">
        <v>331.8</v>
      </c>
      <c r="I23" s="69">
        <v>349.44</v>
      </c>
      <c r="J23" s="69">
        <v>367.12</v>
      </c>
      <c r="K23" s="69">
        <v>391.04</v>
      </c>
      <c r="L23" s="69">
        <v>414.96000000000004</v>
      </c>
      <c r="M23" s="69">
        <v>435.76</v>
      </c>
      <c r="N23" s="69">
        <v>454.48</v>
      </c>
      <c r="O23" s="69">
        <v>487.76</v>
      </c>
      <c r="P23" s="69">
        <v>530.4</v>
      </c>
      <c r="Q23" s="69">
        <v>536.64</v>
      </c>
      <c r="R23" s="69">
        <v>569.92000000000007</v>
      </c>
      <c r="S23" s="69">
        <v>606.32000000000005</v>
      </c>
      <c r="T23" s="69">
        <v>640.64</v>
      </c>
      <c r="U23" s="69">
        <v>692.64</v>
      </c>
      <c r="V23" s="69">
        <v>716.56000000000006</v>
      </c>
      <c r="W23" s="69">
        <v>768.56000000000006</v>
      </c>
      <c r="X23" s="69">
        <v>810.16000000000008</v>
      </c>
      <c r="Y23" s="69">
        <v>854.88</v>
      </c>
      <c r="Z23" s="69">
        <v>884</v>
      </c>
      <c r="AA23" s="69">
        <v>932.88</v>
      </c>
      <c r="AB23" s="69">
        <v>970.32</v>
      </c>
      <c r="AC23" s="69">
        <v>999.44</v>
      </c>
      <c r="AD23" s="69">
        <v>1043.1200000000001</v>
      </c>
      <c r="AE23" s="69">
        <v>1077.44</v>
      </c>
      <c r="AF23" s="69">
        <v>1123.2</v>
      </c>
      <c r="AG23" s="69">
        <v>1163.76</v>
      </c>
      <c r="AH23" s="69">
        <v>1163.76</v>
      </c>
      <c r="AI23" s="69">
        <v>1163.76</v>
      </c>
    </row>
    <row r="24" spans="1:35" x14ac:dyDescent="0.35">
      <c r="A24" s="65" t="s">
        <v>347</v>
      </c>
      <c r="B24" s="65">
        <v>23</v>
      </c>
      <c r="C24" s="68">
        <v>130.20000000000002</v>
      </c>
      <c r="D24" s="69">
        <v>172.20000000000002</v>
      </c>
      <c r="E24" s="69">
        <v>192.15</v>
      </c>
      <c r="F24" s="69">
        <v>217.35000000000002</v>
      </c>
      <c r="G24" s="69">
        <v>243.60000000000002</v>
      </c>
      <c r="H24" s="69">
        <v>254.10000000000002</v>
      </c>
      <c r="I24" s="69">
        <v>273.52</v>
      </c>
      <c r="J24" s="69">
        <v>286</v>
      </c>
      <c r="K24" s="69">
        <v>297.44</v>
      </c>
      <c r="L24" s="69">
        <v>306.8</v>
      </c>
      <c r="M24" s="69">
        <v>318.24</v>
      </c>
      <c r="N24" s="69">
        <v>327.60000000000002</v>
      </c>
      <c r="O24" s="69">
        <v>331.76</v>
      </c>
      <c r="P24" s="69">
        <v>333.84000000000003</v>
      </c>
      <c r="Q24" s="69">
        <v>342.16</v>
      </c>
      <c r="R24" s="69">
        <v>361.92</v>
      </c>
      <c r="S24" s="69">
        <v>374.40000000000003</v>
      </c>
      <c r="T24" s="69">
        <v>391.04</v>
      </c>
      <c r="U24" s="69">
        <v>404.56</v>
      </c>
      <c r="V24" s="69">
        <v>429.52000000000004</v>
      </c>
      <c r="W24" s="69">
        <v>443.04</v>
      </c>
      <c r="X24" s="69">
        <v>458.64000000000004</v>
      </c>
      <c r="Y24" s="69">
        <v>472.16</v>
      </c>
      <c r="Z24" s="69">
        <v>482.56</v>
      </c>
      <c r="AA24" s="69">
        <v>496.08000000000004</v>
      </c>
      <c r="AB24" s="69">
        <v>511.68</v>
      </c>
      <c r="AC24" s="69">
        <v>527.28</v>
      </c>
      <c r="AD24" s="69">
        <v>549.12</v>
      </c>
      <c r="AE24" s="69">
        <v>575.12</v>
      </c>
      <c r="AF24" s="69">
        <v>592.80000000000007</v>
      </c>
      <c r="AG24" s="69">
        <v>602.16</v>
      </c>
      <c r="AH24" s="69">
        <v>602.16</v>
      </c>
      <c r="AI24" s="69">
        <v>602.16</v>
      </c>
    </row>
    <row r="25" spans="1:35" x14ac:dyDescent="0.35">
      <c r="A25" s="65" t="s">
        <v>348</v>
      </c>
      <c r="B25" s="65">
        <v>24</v>
      </c>
      <c r="C25" s="68">
        <v>168</v>
      </c>
      <c r="D25" s="69">
        <v>207.9</v>
      </c>
      <c r="E25" s="69">
        <v>249.9</v>
      </c>
      <c r="F25" s="69">
        <v>274.05</v>
      </c>
      <c r="G25" s="69">
        <v>292.95</v>
      </c>
      <c r="H25" s="69">
        <v>309.75</v>
      </c>
      <c r="I25" s="69">
        <v>334.88</v>
      </c>
      <c r="J25" s="69">
        <v>358.8</v>
      </c>
      <c r="K25" s="69">
        <v>381.68</v>
      </c>
      <c r="L25" s="69">
        <v>418.08000000000004</v>
      </c>
      <c r="M25" s="69">
        <v>434.72</v>
      </c>
      <c r="N25" s="69">
        <v>465.92</v>
      </c>
      <c r="O25" s="69">
        <v>472.16</v>
      </c>
      <c r="P25" s="69">
        <v>487.76</v>
      </c>
      <c r="Q25" s="69">
        <v>525.20000000000005</v>
      </c>
      <c r="R25" s="69">
        <v>547.04</v>
      </c>
      <c r="S25" s="69">
        <v>569.92000000000007</v>
      </c>
      <c r="T25" s="69">
        <v>589.68000000000006</v>
      </c>
      <c r="U25" s="69">
        <v>605.28</v>
      </c>
      <c r="V25" s="69">
        <v>614.64</v>
      </c>
      <c r="W25" s="69">
        <v>642.72</v>
      </c>
      <c r="X25" s="69">
        <v>658.32</v>
      </c>
      <c r="Y25" s="69">
        <v>686.4</v>
      </c>
      <c r="Z25" s="69">
        <v>718.64</v>
      </c>
      <c r="AA25" s="69">
        <v>743.6</v>
      </c>
      <c r="AB25" s="69">
        <v>777.92000000000007</v>
      </c>
      <c r="AC25" s="69">
        <v>808.08</v>
      </c>
      <c r="AD25" s="69">
        <v>842.4</v>
      </c>
      <c r="AE25" s="69">
        <v>867.36</v>
      </c>
      <c r="AF25" s="69">
        <v>906.88</v>
      </c>
      <c r="AG25" s="69">
        <v>945.36</v>
      </c>
      <c r="AH25" s="69">
        <v>945.36</v>
      </c>
      <c r="AI25" s="69">
        <v>945.36</v>
      </c>
    </row>
    <row r="26" spans="1:35" x14ac:dyDescent="0.35">
      <c r="A26" s="65" t="s">
        <v>349</v>
      </c>
      <c r="B26" s="65">
        <v>25</v>
      </c>
      <c r="C26" s="68">
        <v>118.65</v>
      </c>
      <c r="D26" s="69">
        <v>152.25</v>
      </c>
      <c r="E26" s="69">
        <v>169.05</v>
      </c>
      <c r="F26" s="69">
        <v>191.1</v>
      </c>
      <c r="G26" s="69">
        <v>197.4</v>
      </c>
      <c r="H26" s="69">
        <v>210</v>
      </c>
      <c r="I26" s="69">
        <v>217.36</v>
      </c>
      <c r="J26" s="69">
        <v>228.8</v>
      </c>
      <c r="K26" s="69">
        <v>240.24</v>
      </c>
      <c r="L26" s="69">
        <v>251.68</v>
      </c>
      <c r="M26" s="69">
        <v>258.96000000000004</v>
      </c>
      <c r="N26" s="69">
        <v>272.48</v>
      </c>
      <c r="O26" s="69">
        <v>292.24</v>
      </c>
      <c r="P26" s="69">
        <v>301.60000000000002</v>
      </c>
      <c r="Q26" s="69">
        <v>317.2</v>
      </c>
      <c r="R26" s="69">
        <v>326.56</v>
      </c>
      <c r="S26" s="69">
        <v>338</v>
      </c>
      <c r="T26" s="69">
        <v>345.28000000000003</v>
      </c>
      <c r="U26" s="69">
        <v>361.92</v>
      </c>
      <c r="V26" s="69">
        <v>362.96000000000004</v>
      </c>
      <c r="W26" s="69">
        <v>374.40000000000003</v>
      </c>
      <c r="X26" s="69">
        <v>386.88</v>
      </c>
      <c r="Y26" s="69">
        <v>399.36</v>
      </c>
      <c r="Z26" s="69">
        <v>408.72</v>
      </c>
      <c r="AA26" s="69">
        <v>422.24</v>
      </c>
      <c r="AB26" s="69">
        <v>435.76</v>
      </c>
      <c r="AC26" s="69">
        <v>448.24</v>
      </c>
      <c r="AD26" s="69">
        <v>469.04</v>
      </c>
      <c r="AE26" s="69">
        <v>487.76</v>
      </c>
      <c r="AF26" s="69">
        <v>502.32</v>
      </c>
      <c r="AG26" s="69">
        <v>510.64000000000004</v>
      </c>
      <c r="AH26" s="69">
        <v>510.64000000000004</v>
      </c>
      <c r="AI26" s="69">
        <v>510.64000000000004</v>
      </c>
    </row>
    <row r="27" spans="1:35" x14ac:dyDescent="0.35">
      <c r="A27" s="65" t="s">
        <v>350</v>
      </c>
      <c r="B27" s="65">
        <v>26</v>
      </c>
      <c r="C27" s="68">
        <v>101.85000000000001</v>
      </c>
      <c r="D27" s="69">
        <v>133.35</v>
      </c>
      <c r="E27" s="69">
        <v>150.15</v>
      </c>
      <c r="F27" s="69">
        <v>168</v>
      </c>
      <c r="G27" s="69">
        <v>173.25</v>
      </c>
      <c r="H27" s="69">
        <v>182.70000000000002</v>
      </c>
      <c r="I27" s="69">
        <v>194.48000000000002</v>
      </c>
      <c r="J27" s="69">
        <v>198.64000000000001</v>
      </c>
      <c r="K27" s="69">
        <v>209.04000000000002</v>
      </c>
      <c r="L27" s="69">
        <v>221.52</v>
      </c>
      <c r="M27" s="69">
        <v>225.68</v>
      </c>
      <c r="N27" s="69">
        <v>237.12</v>
      </c>
      <c r="O27" s="69">
        <v>239.20000000000002</v>
      </c>
      <c r="P27" s="69">
        <v>250.64000000000001</v>
      </c>
      <c r="Q27" s="69">
        <v>258.96000000000004</v>
      </c>
      <c r="R27" s="69">
        <v>260</v>
      </c>
      <c r="S27" s="69">
        <v>267.28000000000003</v>
      </c>
      <c r="T27" s="69">
        <v>275.60000000000002</v>
      </c>
      <c r="U27" s="69">
        <v>283.92</v>
      </c>
      <c r="V27" s="69">
        <v>288.08</v>
      </c>
      <c r="W27" s="69">
        <v>297.44</v>
      </c>
      <c r="X27" s="69">
        <v>306.8</v>
      </c>
      <c r="Y27" s="69">
        <v>316.16000000000003</v>
      </c>
      <c r="Z27" s="69">
        <v>320.32</v>
      </c>
      <c r="AA27" s="69">
        <v>328.64</v>
      </c>
      <c r="AB27" s="69">
        <v>338</v>
      </c>
      <c r="AC27" s="69">
        <v>346.32</v>
      </c>
      <c r="AD27" s="69">
        <v>358.8</v>
      </c>
      <c r="AE27" s="69">
        <v>366.08000000000004</v>
      </c>
      <c r="AF27" s="69">
        <v>380.64</v>
      </c>
      <c r="AG27" s="69">
        <v>396.24</v>
      </c>
      <c r="AH27" s="69">
        <v>396.24</v>
      </c>
      <c r="AI27" s="69">
        <v>396.24</v>
      </c>
    </row>
    <row r="28" spans="1:35" x14ac:dyDescent="0.35">
      <c r="A28" s="65" t="s">
        <v>351</v>
      </c>
      <c r="B28" s="65">
        <v>27</v>
      </c>
      <c r="C28" s="68">
        <v>161.70000000000002</v>
      </c>
      <c r="D28" s="69">
        <v>210</v>
      </c>
      <c r="E28" s="69">
        <v>239.4</v>
      </c>
      <c r="F28" s="69">
        <v>284.55</v>
      </c>
      <c r="G28" s="69">
        <v>303.45</v>
      </c>
      <c r="H28" s="69">
        <v>319.2</v>
      </c>
      <c r="I28" s="69">
        <v>346.32</v>
      </c>
      <c r="J28" s="69">
        <v>361.92</v>
      </c>
      <c r="K28" s="69">
        <v>377.52000000000004</v>
      </c>
      <c r="L28" s="69">
        <v>399.36</v>
      </c>
      <c r="M28" s="69">
        <v>418.08000000000004</v>
      </c>
      <c r="N28" s="69">
        <v>431.6</v>
      </c>
      <c r="O28" s="69">
        <v>450.32</v>
      </c>
      <c r="P28" s="69">
        <v>468</v>
      </c>
      <c r="Q28" s="69">
        <v>476.32</v>
      </c>
      <c r="R28" s="69">
        <v>516.88</v>
      </c>
      <c r="S28" s="69">
        <v>538.72</v>
      </c>
      <c r="T28" s="69">
        <v>566.80000000000007</v>
      </c>
      <c r="U28" s="69">
        <v>592.80000000000007</v>
      </c>
      <c r="V28" s="69">
        <v>617.76</v>
      </c>
      <c r="W28" s="69">
        <v>642.72</v>
      </c>
      <c r="X28" s="69">
        <v>663.52</v>
      </c>
      <c r="Y28" s="69">
        <v>682.24</v>
      </c>
      <c r="Z28" s="69">
        <v>705.12</v>
      </c>
      <c r="AA28" s="69">
        <v>730.08</v>
      </c>
      <c r="AB28" s="69">
        <v>761.28</v>
      </c>
      <c r="AC28" s="69">
        <v>792.48</v>
      </c>
      <c r="AD28" s="69">
        <v>826.80000000000007</v>
      </c>
      <c r="AE28" s="69">
        <v>844.48</v>
      </c>
      <c r="AF28" s="69">
        <v>862.16000000000008</v>
      </c>
      <c r="AG28" s="69">
        <v>876.72</v>
      </c>
      <c r="AH28" s="69">
        <v>876.72</v>
      </c>
      <c r="AI28" s="69">
        <v>876.72</v>
      </c>
    </row>
    <row r="29" spans="1:35" x14ac:dyDescent="0.35">
      <c r="A29" s="65" t="s">
        <v>352</v>
      </c>
      <c r="B29" s="65">
        <v>28</v>
      </c>
      <c r="C29" s="68">
        <v>150.15</v>
      </c>
      <c r="D29" s="69">
        <v>196.35</v>
      </c>
      <c r="E29" s="69">
        <v>225.75</v>
      </c>
      <c r="F29" s="69">
        <v>266.7</v>
      </c>
      <c r="G29" s="69">
        <v>279.3</v>
      </c>
      <c r="H29" s="69">
        <v>288.75</v>
      </c>
      <c r="I29" s="69">
        <v>316.16000000000003</v>
      </c>
      <c r="J29" s="69">
        <v>330.72</v>
      </c>
      <c r="K29" s="69">
        <v>352.56</v>
      </c>
      <c r="L29" s="69">
        <v>366.08000000000004</v>
      </c>
      <c r="M29" s="69">
        <v>381.68</v>
      </c>
      <c r="N29" s="69">
        <v>399.36</v>
      </c>
      <c r="O29" s="69">
        <v>414.96000000000004</v>
      </c>
      <c r="P29" s="69">
        <v>429.52000000000004</v>
      </c>
      <c r="Q29" s="69">
        <v>445.12</v>
      </c>
      <c r="R29" s="69">
        <v>464.88</v>
      </c>
      <c r="S29" s="69">
        <v>486.72</v>
      </c>
      <c r="T29" s="69">
        <v>511.68</v>
      </c>
      <c r="U29" s="69">
        <v>538.72</v>
      </c>
      <c r="V29" s="69">
        <v>561.6</v>
      </c>
      <c r="W29" s="69">
        <v>586.56000000000006</v>
      </c>
      <c r="X29" s="69">
        <v>615.68000000000006</v>
      </c>
      <c r="Y29" s="69">
        <v>641.68000000000006</v>
      </c>
      <c r="Z29" s="69">
        <v>663.52</v>
      </c>
      <c r="AA29" s="69">
        <v>690.56000000000006</v>
      </c>
      <c r="AB29" s="69">
        <v>719.68000000000006</v>
      </c>
      <c r="AC29" s="69">
        <v>740.48</v>
      </c>
      <c r="AD29" s="69">
        <v>772.72</v>
      </c>
      <c r="AE29" s="69">
        <v>798.72</v>
      </c>
      <c r="AF29" s="69">
        <v>819.52</v>
      </c>
      <c r="AG29" s="69">
        <v>832</v>
      </c>
      <c r="AH29" s="69">
        <v>832</v>
      </c>
      <c r="AI29" s="69">
        <v>832</v>
      </c>
    </row>
    <row r="30" spans="1:35" x14ac:dyDescent="0.35">
      <c r="A30" s="65" t="s">
        <v>353</v>
      </c>
      <c r="B30" s="65">
        <v>29</v>
      </c>
      <c r="C30" s="68">
        <v>185.85</v>
      </c>
      <c r="D30" s="69">
        <v>260.40000000000003</v>
      </c>
      <c r="E30" s="69">
        <v>302.40000000000003</v>
      </c>
      <c r="F30" s="69">
        <v>344.40000000000003</v>
      </c>
      <c r="G30" s="69">
        <v>403.20000000000005</v>
      </c>
      <c r="H30" s="69">
        <v>418.95000000000005</v>
      </c>
      <c r="I30" s="69">
        <v>438.88</v>
      </c>
      <c r="J30" s="69">
        <v>465.92</v>
      </c>
      <c r="K30" s="69">
        <v>491.92</v>
      </c>
      <c r="L30" s="69">
        <v>518.96</v>
      </c>
      <c r="M30" s="69">
        <v>526.24</v>
      </c>
      <c r="N30" s="69">
        <v>540.80000000000007</v>
      </c>
      <c r="O30" s="69">
        <v>562.64</v>
      </c>
      <c r="P30" s="69">
        <v>599.04</v>
      </c>
      <c r="Q30" s="69">
        <v>628.16</v>
      </c>
      <c r="R30" s="69">
        <v>651.04000000000008</v>
      </c>
      <c r="S30" s="69">
        <v>686.4</v>
      </c>
      <c r="T30" s="69">
        <v>708.24</v>
      </c>
      <c r="U30" s="69">
        <v>740.48</v>
      </c>
      <c r="V30" s="69">
        <v>775.84</v>
      </c>
      <c r="W30" s="69">
        <v>822.64</v>
      </c>
      <c r="X30" s="69">
        <v>872.56000000000006</v>
      </c>
      <c r="Y30" s="69">
        <v>917.28000000000009</v>
      </c>
      <c r="Z30" s="69">
        <v>964.08</v>
      </c>
      <c r="AA30" s="69">
        <v>1020.24</v>
      </c>
      <c r="AB30" s="69">
        <v>1047.28</v>
      </c>
      <c r="AC30" s="69">
        <v>1085.76</v>
      </c>
      <c r="AD30" s="69">
        <v>1125.28</v>
      </c>
      <c r="AE30" s="69">
        <v>1159.6000000000001</v>
      </c>
      <c r="AF30" s="69">
        <v>1190.8</v>
      </c>
      <c r="AG30" s="69">
        <v>1219.92</v>
      </c>
      <c r="AH30" s="69">
        <v>1219.92</v>
      </c>
      <c r="AI30" s="69">
        <v>1219.92</v>
      </c>
    </row>
    <row r="31" spans="1:35" x14ac:dyDescent="0.35">
      <c r="A31" s="65" t="s">
        <v>354</v>
      </c>
      <c r="B31" s="65">
        <v>30</v>
      </c>
      <c r="C31" s="68">
        <v>126</v>
      </c>
      <c r="D31" s="69">
        <v>149.1</v>
      </c>
      <c r="E31" s="69">
        <v>173.25</v>
      </c>
      <c r="F31" s="69">
        <v>195.3</v>
      </c>
      <c r="G31" s="69">
        <v>207.9</v>
      </c>
      <c r="H31" s="69">
        <v>215.25</v>
      </c>
      <c r="I31" s="69">
        <v>230.88</v>
      </c>
      <c r="J31" s="69">
        <v>241.28</v>
      </c>
      <c r="K31" s="69">
        <v>250.64000000000001</v>
      </c>
      <c r="L31" s="69">
        <v>263.12</v>
      </c>
      <c r="M31" s="69">
        <v>273.52</v>
      </c>
      <c r="N31" s="69">
        <v>284.96000000000004</v>
      </c>
      <c r="O31" s="69">
        <v>296.40000000000003</v>
      </c>
      <c r="P31" s="69">
        <v>308.88</v>
      </c>
      <c r="Q31" s="69">
        <v>316.16000000000003</v>
      </c>
      <c r="R31" s="69">
        <v>339.04</v>
      </c>
      <c r="S31" s="69">
        <v>352.56</v>
      </c>
      <c r="T31" s="69">
        <v>366.08000000000004</v>
      </c>
      <c r="U31" s="69">
        <v>378.56</v>
      </c>
      <c r="V31" s="69">
        <v>395.2</v>
      </c>
      <c r="W31" s="69">
        <v>411.84000000000003</v>
      </c>
      <c r="X31" s="69">
        <v>425.36</v>
      </c>
      <c r="Y31" s="69">
        <v>444.08000000000004</v>
      </c>
      <c r="Z31" s="69">
        <v>452.40000000000003</v>
      </c>
      <c r="AA31" s="69">
        <v>465.92</v>
      </c>
      <c r="AB31" s="69">
        <v>489.84000000000003</v>
      </c>
      <c r="AC31" s="69">
        <v>506.48</v>
      </c>
      <c r="AD31" s="69">
        <v>537.68000000000006</v>
      </c>
      <c r="AE31" s="69">
        <v>558.48</v>
      </c>
      <c r="AF31" s="69">
        <v>586.56000000000006</v>
      </c>
      <c r="AG31" s="69">
        <v>615.68000000000006</v>
      </c>
      <c r="AH31" s="69">
        <v>615.68000000000006</v>
      </c>
      <c r="AI31" s="69">
        <v>615.68000000000006</v>
      </c>
    </row>
    <row r="32" spans="1:35" x14ac:dyDescent="0.35">
      <c r="A32" s="65" t="s">
        <v>355</v>
      </c>
      <c r="B32" s="65">
        <v>31</v>
      </c>
      <c r="C32" s="68">
        <v>175.35</v>
      </c>
      <c r="D32" s="69">
        <v>212.10000000000002</v>
      </c>
      <c r="E32" s="69">
        <v>257.25</v>
      </c>
      <c r="F32" s="69">
        <v>283.5</v>
      </c>
      <c r="G32" s="69">
        <v>301.35000000000002</v>
      </c>
      <c r="H32" s="69">
        <v>312.90000000000003</v>
      </c>
      <c r="I32" s="69">
        <v>347.36</v>
      </c>
      <c r="J32" s="69">
        <v>376.48</v>
      </c>
      <c r="K32" s="69">
        <v>402.48</v>
      </c>
      <c r="L32" s="69">
        <v>436.8</v>
      </c>
      <c r="M32" s="69">
        <v>461.76</v>
      </c>
      <c r="N32" s="69">
        <v>478.40000000000003</v>
      </c>
      <c r="O32" s="69">
        <v>498.16</v>
      </c>
      <c r="P32" s="69">
        <v>526.24</v>
      </c>
      <c r="Q32" s="69">
        <v>558.48</v>
      </c>
      <c r="R32" s="69">
        <v>596.96</v>
      </c>
      <c r="S32" s="69">
        <v>618.80000000000007</v>
      </c>
      <c r="T32" s="69">
        <v>641.68000000000006</v>
      </c>
      <c r="U32" s="69">
        <v>666.64</v>
      </c>
      <c r="V32" s="69">
        <v>690.56000000000006</v>
      </c>
      <c r="W32" s="69">
        <v>708.24</v>
      </c>
      <c r="X32" s="69">
        <v>736.32</v>
      </c>
      <c r="Y32" s="69">
        <v>758.16000000000008</v>
      </c>
      <c r="Z32" s="69">
        <v>787.28</v>
      </c>
      <c r="AA32" s="69">
        <v>819.52</v>
      </c>
      <c r="AB32" s="69">
        <v>850.72</v>
      </c>
      <c r="AC32" s="69">
        <v>884</v>
      </c>
      <c r="AD32" s="69">
        <v>930.80000000000007</v>
      </c>
      <c r="AE32" s="69">
        <v>956.80000000000007</v>
      </c>
      <c r="AF32" s="69">
        <v>993.2</v>
      </c>
      <c r="AG32" s="69">
        <v>1019.2</v>
      </c>
      <c r="AH32" s="69">
        <v>1019.2</v>
      </c>
      <c r="AI32" s="69">
        <v>1019.2</v>
      </c>
    </row>
    <row r="33" spans="1:35" x14ac:dyDescent="0.35">
      <c r="A33" s="65" t="s">
        <v>356</v>
      </c>
      <c r="B33" s="65">
        <v>32</v>
      </c>
      <c r="C33" s="68">
        <v>175.35</v>
      </c>
      <c r="D33" s="69">
        <v>228.9</v>
      </c>
      <c r="E33" s="69">
        <v>258.3</v>
      </c>
      <c r="F33" s="69">
        <v>285.60000000000002</v>
      </c>
      <c r="G33" s="69">
        <v>311.85000000000002</v>
      </c>
      <c r="H33" s="69">
        <v>333.90000000000003</v>
      </c>
      <c r="I33" s="69">
        <v>364</v>
      </c>
      <c r="J33" s="69">
        <v>401.44</v>
      </c>
      <c r="K33" s="69">
        <v>416</v>
      </c>
      <c r="L33" s="69">
        <v>448.24</v>
      </c>
      <c r="M33" s="69">
        <v>480.48</v>
      </c>
      <c r="N33" s="69">
        <v>507.52000000000004</v>
      </c>
      <c r="O33" s="69">
        <v>538.72</v>
      </c>
      <c r="P33" s="69">
        <v>562.64</v>
      </c>
      <c r="Q33" s="69">
        <v>587.6</v>
      </c>
      <c r="R33" s="69">
        <v>630.24</v>
      </c>
      <c r="S33" s="69">
        <v>654.16</v>
      </c>
      <c r="T33" s="69">
        <v>672.88</v>
      </c>
      <c r="U33" s="69">
        <v>695.76</v>
      </c>
      <c r="V33" s="69">
        <v>715.52</v>
      </c>
      <c r="W33" s="69">
        <v>736.32</v>
      </c>
      <c r="X33" s="69">
        <v>758.16000000000008</v>
      </c>
      <c r="Y33" s="69">
        <v>777.92000000000007</v>
      </c>
      <c r="Z33" s="69">
        <v>797.68000000000006</v>
      </c>
      <c r="AA33" s="69">
        <v>836.16000000000008</v>
      </c>
      <c r="AB33" s="69">
        <v>862.16000000000008</v>
      </c>
      <c r="AC33" s="69">
        <v>899.6</v>
      </c>
      <c r="AD33" s="69">
        <v>944.32</v>
      </c>
      <c r="AE33" s="69">
        <v>967.2</v>
      </c>
      <c r="AF33" s="69">
        <v>994.24</v>
      </c>
      <c r="AG33" s="69">
        <v>1019.2</v>
      </c>
      <c r="AH33" s="69">
        <v>1019.2</v>
      </c>
      <c r="AI33" s="69">
        <v>1019.2</v>
      </c>
    </row>
    <row r="34" spans="1:35" x14ac:dyDescent="0.35">
      <c r="A34" s="65" t="s">
        <v>357</v>
      </c>
      <c r="B34" s="65">
        <v>33</v>
      </c>
      <c r="C34" s="68">
        <v>175.35</v>
      </c>
      <c r="D34" s="69">
        <v>218.4</v>
      </c>
      <c r="E34" s="69">
        <v>262.5</v>
      </c>
      <c r="F34" s="69">
        <v>287.7</v>
      </c>
      <c r="G34" s="69">
        <v>308.7</v>
      </c>
      <c r="H34" s="69">
        <v>325.5</v>
      </c>
      <c r="I34" s="69">
        <v>352.56</v>
      </c>
      <c r="J34" s="69">
        <v>378.56</v>
      </c>
      <c r="K34" s="69">
        <v>402.48</v>
      </c>
      <c r="L34" s="69">
        <v>437.84000000000003</v>
      </c>
      <c r="M34" s="69">
        <v>456.56</v>
      </c>
      <c r="N34" s="69">
        <v>489.84000000000003</v>
      </c>
      <c r="O34" s="69">
        <v>496.08000000000004</v>
      </c>
      <c r="P34" s="69">
        <v>511.68</v>
      </c>
      <c r="Q34" s="69">
        <v>551.20000000000005</v>
      </c>
      <c r="R34" s="69">
        <v>574.08000000000004</v>
      </c>
      <c r="S34" s="69">
        <v>598</v>
      </c>
      <c r="T34" s="69">
        <v>618.80000000000007</v>
      </c>
      <c r="U34" s="69">
        <v>636.48</v>
      </c>
      <c r="V34" s="69">
        <v>644.80000000000007</v>
      </c>
      <c r="W34" s="69">
        <v>676</v>
      </c>
      <c r="X34" s="69">
        <v>690.56000000000006</v>
      </c>
      <c r="Y34" s="69">
        <v>721.76</v>
      </c>
      <c r="Z34" s="69">
        <v>754</v>
      </c>
      <c r="AA34" s="69">
        <v>781.04000000000008</v>
      </c>
      <c r="AB34" s="69">
        <v>816.4</v>
      </c>
      <c r="AC34" s="69">
        <v>847.6</v>
      </c>
      <c r="AD34" s="69">
        <v>884</v>
      </c>
      <c r="AE34" s="69">
        <v>911.04000000000008</v>
      </c>
      <c r="AF34" s="69">
        <v>952.64</v>
      </c>
      <c r="AG34" s="69">
        <v>992.16000000000008</v>
      </c>
      <c r="AH34" s="69">
        <v>992.16000000000008</v>
      </c>
      <c r="AI34" s="69">
        <v>992.16000000000008</v>
      </c>
    </row>
    <row r="35" spans="1:35" x14ac:dyDescent="0.35">
      <c r="A35" s="65" t="s">
        <v>358</v>
      </c>
      <c r="B35" s="65">
        <v>34</v>
      </c>
      <c r="C35" s="68">
        <v>135.45000000000002</v>
      </c>
      <c r="D35" s="69">
        <v>159.6</v>
      </c>
      <c r="E35" s="69">
        <v>185.85</v>
      </c>
      <c r="F35" s="69">
        <v>208.95000000000002</v>
      </c>
      <c r="G35" s="69">
        <v>222.60000000000002</v>
      </c>
      <c r="H35" s="69">
        <v>229.95000000000002</v>
      </c>
      <c r="I35" s="69">
        <v>248.56</v>
      </c>
      <c r="J35" s="69">
        <v>258.96000000000004</v>
      </c>
      <c r="K35" s="69">
        <v>270.40000000000003</v>
      </c>
      <c r="L35" s="69">
        <v>281.84000000000003</v>
      </c>
      <c r="M35" s="69">
        <v>294.32</v>
      </c>
      <c r="N35" s="69">
        <v>305.76</v>
      </c>
      <c r="O35" s="69">
        <v>318.24</v>
      </c>
      <c r="P35" s="69">
        <v>330.72</v>
      </c>
      <c r="Q35" s="69">
        <v>338</v>
      </c>
      <c r="R35" s="69">
        <v>364</v>
      </c>
      <c r="S35" s="69">
        <v>377.52000000000004</v>
      </c>
      <c r="T35" s="69">
        <v>392.08000000000004</v>
      </c>
      <c r="U35" s="69">
        <v>404.56</v>
      </c>
      <c r="V35" s="69">
        <v>423.28000000000003</v>
      </c>
      <c r="W35" s="69">
        <v>442</v>
      </c>
      <c r="X35" s="69">
        <v>456.56</v>
      </c>
      <c r="Y35" s="69">
        <v>475.28000000000003</v>
      </c>
      <c r="Z35" s="69">
        <v>484.64000000000004</v>
      </c>
      <c r="AA35" s="69">
        <v>499.20000000000005</v>
      </c>
      <c r="AB35" s="69">
        <v>524.16</v>
      </c>
      <c r="AC35" s="69">
        <v>543.92000000000007</v>
      </c>
      <c r="AD35" s="69">
        <v>576.16</v>
      </c>
      <c r="AE35" s="69">
        <v>598</v>
      </c>
      <c r="AF35" s="69">
        <v>630.24</v>
      </c>
      <c r="AG35" s="69">
        <v>660.4</v>
      </c>
      <c r="AH35" s="69">
        <v>660.4</v>
      </c>
      <c r="AI35" s="69">
        <v>660.4</v>
      </c>
    </row>
    <row r="36" spans="1:35" x14ac:dyDescent="0.35">
      <c r="A36" s="65" t="s">
        <v>359</v>
      </c>
      <c r="B36" s="65">
        <v>35</v>
      </c>
      <c r="C36" s="68">
        <v>172.20000000000002</v>
      </c>
      <c r="D36" s="69">
        <v>207.9</v>
      </c>
      <c r="E36" s="69">
        <v>226.8</v>
      </c>
      <c r="F36" s="69">
        <v>254.10000000000002</v>
      </c>
      <c r="G36" s="69">
        <v>263.55</v>
      </c>
      <c r="H36" s="69">
        <v>274.05</v>
      </c>
      <c r="I36" s="69">
        <v>299.52</v>
      </c>
      <c r="J36" s="69">
        <v>321.36</v>
      </c>
      <c r="K36" s="69">
        <v>346.32</v>
      </c>
      <c r="L36" s="69">
        <v>366.08000000000004</v>
      </c>
      <c r="M36" s="69">
        <v>381.68</v>
      </c>
      <c r="N36" s="69">
        <v>402.48</v>
      </c>
      <c r="O36" s="69">
        <v>424.32</v>
      </c>
      <c r="P36" s="69">
        <v>465.92</v>
      </c>
      <c r="Q36" s="69">
        <v>489.84000000000003</v>
      </c>
      <c r="R36" s="69">
        <v>526.24</v>
      </c>
      <c r="S36" s="69">
        <v>558.48</v>
      </c>
      <c r="T36" s="69">
        <v>587.6</v>
      </c>
      <c r="U36" s="69">
        <v>617.76</v>
      </c>
      <c r="V36" s="69">
        <v>648.96</v>
      </c>
      <c r="W36" s="69">
        <v>689.52</v>
      </c>
      <c r="X36" s="69">
        <v>730.08</v>
      </c>
      <c r="Y36" s="69">
        <v>758.16000000000008</v>
      </c>
      <c r="Z36" s="69">
        <v>778.96</v>
      </c>
      <c r="AA36" s="69">
        <v>810.16000000000008</v>
      </c>
      <c r="AB36" s="69">
        <v>841.36</v>
      </c>
      <c r="AC36" s="69">
        <v>869.44</v>
      </c>
      <c r="AD36" s="69">
        <v>907.92000000000007</v>
      </c>
      <c r="AE36" s="69">
        <v>941.2</v>
      </c>
      <c r="AF36" s="69">
        <v>972.4</v>
      </c>
      <c r="AG36" s="69">
        <v>985.92000000000007</v>
      </c>
      <c r="AH36" s="69">
        <v>985.92000000000007</v>
      </c>
      <c r="AI36" s="69">
        <v>985.92000000000007</v>
      </c>
    </row>
    <row r="37" spans="1:35" x14ac:dyDescent="0.35">
      <c r="A37" s="65" t="s">
        <v>360</v>
      </c>
      <c r="B37" s="65">
        <v>36</v>
      </c>
      <c r="C37" s="68">
        <v>133.35</v>
      </c>
      <c r="D37" s="69">
        <v>177.45000000000002</v>
      </c>
      <c r="E37" s="69">
        <v>200.55</v>
      </c>
      <c r="F37" s="69">
        <v>237.3</v>
      </c>
      <c r="G37" s="69">
        <v>262.5</v>
      </c>
      <c r="H37" s="69">
        <v>277.2</v>
      </c>
      <c r="I37" s="69">
        <v>306.8</v>
      </c>
      <c r="J37" s="69">
        <v>317.2</v>
      </c>
      <c r="K37" s="69">
        <v>333.84000000000003</v>
      </c>
      <c r="L37" s="69">
        <v>345.28000000000003</v>
      </c>
      <c r="M37" s="69">
        <v>360.88</v>
      </c>
      <c r="N37" s="69">
        <v>377.52000000000004</v>
      </c>
      <c r="O37" s="69">
        <v>385.84000000000003</v>
      </c>
      <c r="P37" s="69">
        <v>397.28000000000003</v>
      </c>
      <c r="Q37" s="69">
        <v>402.48</v>
      </c>
      <c r="R37" s="69">
        <v>414.96000000000004</v>
      </c>
      <c r="S37" s="69">
        <v>427.44</v>
      </c>
      <c r="T37" s="69">
        <v>443.04</v>
      </c>
      <c r="U37" s="69">
        <v>455.52000000000004</v>
      </c>
      <c r="V37" s="69">
        <v>476.32</v>
      </c>
      <c r="W37" s="69">
        <v>491.92</v>
      </c>
      <c r="X37" s="69">
        <v>507.52000000000004</v>
      </c>
      <c r="Y37" s="69">
        <v>524.16</v>
      </c>
      <c r="Z37" s="69">
        <v>540.80000000000007</v>
      </c>
      <c r="AA37" s="69">
        <v>557.44000000000005</v>
      </c>
      <c r="AB37" s="69">
        <v>575.12</v>
      </c>
      <c r="AC37" s="69">
        <v>585.52</v>
      </c>
      <c r="AD37" s="69">
        <v>610.48</v>
      </c>
      <c r="AE37" s="69">
        <v>626.08000000000004</v>
      </c>
      <c r="AF37" s="69">
        <v>648.96</v>
      </c>
      <c r="AG37" s="69">
        <v>673.92000000000007</v>
      </c>
      <c r="AH37" s="69">
        <v>673.92000000000007</v>
      </c>
      <c r="AI37" s="69">
        <v>673.92000000000007</v>
      </c>
    </row>
    <row r="38" spans="1:35" x14ac:dyDescent="0.35">
      <c r="A38" s="65" t="s">
        <v>361</v>
      </c>
      <c r="B38" s="65">
        <v>37</v>
      </c>
      <c r="C38" s="68">
        <v>159.6</v>
      </c>
      <c r="D38" s="69">
        <v>207.9</v>
      </c>
      <c r="E38" s="69">
        <v>237.3</v>
      </c>
      <c r="F38" s="69">
        <v>280.35000000000002</v>
      </c>
      <c r="G38" s="69">
        <v>295.05</v>
      </c>
      <c r="H38" s="69">
        <v>303.45</v>
      </c>
      <c r="I38" s="69">
        <v>331.76</v>
      </c>
      <c r="J38" s="69">
        <v>347.36</v>
      </c>
      <c r="K38" s="69">
        <v>370.24</v>
      </c>
      <c r="L38" s="69">
        <v>385.84000000000003</v>
      </c>
      <c r="M38" s="69">
        <v>402.48</v>
      </c>
      <c r="N38" s="69">
        <v>421.2</v>
      </c>
      <c r="O38" s="69">
        <v>436.8</v>
      </c>
      <c r="P38" s="69">
        <v>452.40000000000003</v>
      </c>
      <c r="Q38" s="69">
        <v>468</v>
      </c>
      <c r="R38" s="69">
        <v>489.84000000000003</v>
      </c>
      <c r="S38" s="69">
        <v>511.68</v>
      </c>
      <c r="T38" s="69">
        <v>537.68000000000006</v>
      </c>
      <c r="U38" s="69">
        <v>567.84</v>
      </c>
      <c r="V38" s="69">
        <v>592.80000000000007</v>
      </c>
      <c r="W38" s="69">
        <v>618.80000000000007</v>
      </c>
      <c r="X38" s="69">
        <v>647.92000000000007</v>
      </c>
      <c r="Y38" s="69">
        <v>674.96</v>
      </c>
      <c r="Z38" s="69">
        <v>699.92000000000007</v>
      </c>
      <c r="AA38" s="69">
        <v>729.04000000000008</v>
      </c>
      <c r="AB38" s="69">
        <v>757.12</v>
      </c>
      <c r="AC38" s="69">
        <v>778.96</v>
      </c>
      <c r="AD38" s="69">
        <v>812.24</v>
      </c>
      <c r="AE38" s="69">
        <v>841.36</v>
      </c>
      <c r="AF38" s="69">
        <v>862.16000000000008</v>
      </c>
      <c r="AG38" s="69">
        <v>876.72</v>
      </c>
      <c r="AH38" s="69">
        <v>876.72</v>
      </c>
      <c r="AI38" s="69">
        <v>876.72</v>
      </c>
    </row>
    <row r="39" spans="1:35" x14ac:dyDescent="0.35">
      <c r="A39" s="65" t="s">
        <v>362</v>
      </c>
      <c r="B39" s="65">
        <v>38</v>
      </c>
      <c r="C39" s="68">
        <v>70.350000000000009</v>
      </c>
      <c r="D39" s="69">
        <v>90.3</v>
      </c>
      <c r="E39" s="69">
        <v>102.9</v>
      </c>
      <c r="F39" s="69">
        <v>121.80000000000001</v>
      </c>
      <c r="G39" s="69">
        <v>135.45000000000002</v>
      </c>
      <c r="H39" s="69">
        <v>152.25</v>
      </c>
      <c r="I39" s="69">
        <v>163.28</v>
      </c>
      <c r="J39" s="69">
        <v>170.56</v>
      </c>
      <c r="K39" s="69">
        <v>179.92000000000002</v>
      </c>
      <c r="L39" s="69">
        <v>190.32</v>
      </c>
      <c r="M39" s="69">
        <v>195.52</v>
      </c>
      <c r="N39" s="69">
        <v>201.76000000000002</v>
      </c>
      <c r="O39" s="69">
        <v>206.96</v>
      </c>
      <c r="P39" s="69">
        <v>216.32</v>
      </c>
      <c r="Q39" s="69">
        <v>223.6</v>
      </c>
      <c r="R39" s="69">
        <v>228.8</v>
      </c>
      <c r="S39" s="69">
        <v>235.04000000000002</v>
      </c>
      <c r="T39" s="69">
        <v>239.20000000000002</v>
      </c>
      <c r="U39" s="69">
        <v>243.36</v>
      </c>
      <c r="V39" s="69">
        <v>248.56</v>
      </c>
      <c r="W39" s="69">
        <v>250.64000000000001</v>
      </c>
      <c r="X39" s="69">
        <v>260</v>
      </c>
      <c r="Y39" s="69">
        <v>265.2</v>
      </c>
      <c r="Z39" s="69">
        <v>266.24</v>
      </c>
      <c r="AA39" s="69">
        <v>272.48</v>
      </c>
      <c r="AB39" s="69">
        <v>278.72000000000003</v>
      </c>
      <c r="AC39" s="69">
        <v>286</v>
      </c>
      <c r="AD39" s="69">
        <v>294.32</v>
      </c>
      <c r="AE39" s="69">
        <v>299.52</v>
      </c>
      <c r="AF39" s="69">
        <v>316.16000000000003</v>
      </c>
      <c r="AG39" s="69">
        <v>328.64</v>
      </c>
      <c r="AH39" s="69">
        <v>328.64</v>
      </c>
      <c r="AI39" s="69">
        <v>328.64</v>
      </c>
    </row>
    <row r="40" spans="1:35" x14ac:dyDescent="0.35">
      <c r="A40" s="65" t="s">
        <v>363</v>
      </c>
      <c r="B40" s="65">
        <v>39</v>
      </c>
      <c r="C40" s="68">
        <v>115.5</v>
      </c>
      <c r="D40" s="69">
        <v>148.05000000000001</v>
      </c>
      <c r="E40" s="69">
        <v>163.80000000000001</v>
      </c>
      <c r="F40" s="69">
        <v>185.85</v>
      </c>
      <c r="G40" s="69">
        <v>192.15</v>
      </c>
      <c r="H40" s="69">
        <v>203.70000000000002</v>
      </c>
      <c r="I40" s="69">
        <v>210.08</v>
      </c>
      <c r="J40" s="69">
        <v>223.6</v>
      </c>
      <c r="K40" s="69">
        <v>232.96</v>
      </c>
      <c r="L40" s="69">
        <v>244.4</v>
      </c>
      <c r="M40" s="69">
        <v>250.64000000000001</v>
      </c>
      <c r="N40" s="69">
        <v>265.2</v>
      </c>
      <c r="O40" s="69">
        <v>282.88</v>
      </c>
      <c r="P40" s="69">
        <v>294.32</v>
      </c>
      <c r="Q40" s="69">
        <v>308.88</v>
      </c>
      <c r="R40" s="69">
        <v>317.2</v>
      </c>
      <c r="S40" s="69">
        <v>327.60000000000002</v>
      </c>
      <c r="T40" s="69">
        <v>335.92</v>
      </c>
      <c r="U40" s="69">
        <v>352.56</v>
      </c>
      <c r="V40" s="69">
        <v>353.6</v>
      </c>
      <c r="W40" s="69">
        <v>362.96000000000004</v>
      </c>
      <c r="X40" s="69">
        <v>376.48</v>
      </c>
      <c r="Y40" s="69">
        <v>387.92</v>
      </c>
      <c r="Z40" s="69">
        <v>397.28000000000003</v>
      </c>
      <c r="AA40" s="69">
        <v>409.76</v>
      </c>
      <c r="AB40" s="69">
        <v>424.32</v>
      </c>
      <c r="AC40" s="69">
        <v>435.76</v>
      </c>
      <c r="AD40" s="69">
        <v>455.52000000000004</v>
      </c>
      <c r="AE40" s="69">
        <v>472.16</v>
      </c>
      <c r="AF40" s="69">
        <v>488.8</v>
      </c>
      <c r="AG40" s="69">
        <v>495.04</v>
      </c>
      <c r="AH40" s="69">
        <v>495.04</v>
      </c>
      <c r="AI40" s="69">
        <v>495.04</v>
      </c>
    </row>
    <row r="41" spans="1:35" x14ac:dyDescent="0.35">
      <c r="A41" s="65" t="s">
        <v>364</v>
      </c>
      <c r="B41" s="65">
        <v>40</v>
      </c>
      <c r="C41" s="68">
        <v>206.85000000000002</v>
      </c>
      <c r="D41" s="69">
        <v>255.15</v>
      </c>
      <c r="E41" s="69">
        <v>307.65000000000003</v>
      </c>
      <c r="F41" s="69">
        <v>337.05</v>
      </c>
      <c r="G41" s="69">
        <v>361.2</v>
      </c>
      <c r="H41" s="69">
        <v>382.2</v>
      </c>
      <c r="I41" s="69">
        <v>412.88</v>
      </c>
      <c r="J41" s="69">
        <v>444.08000000000004</v>
      </c>
      <c r="K41" s="69">
        <v>471.12</v>
      </c>
      <c r="L41" s="69">
        <v>513.76</v>
      </c>
      <c r="M41" s="69">
        <v>535.6</v>
      </c>
      <c r="N41" s="69">
        <v>573.04</v>
      </c>
      <c r="O41" s="69">
        <v>582.4</v>
      </c>
      <c r="P41" s="69">
        <v>599.04</v>
      </c>
      <c r="Q41" s="69">
        <v>646.88</v>
      </c>
      <c r="R41" s="69">
        <v>673.92000000000007</v>
      </c>
      <c r="S41" s="69">
        <v>702</v>
      </c>
      <c r="T41" s="69">
        <v>726.96</v>
      </c>
      <c r="U41" s="69">
        <v>745.68000000000006</v>
      </c>
      <c r="V41" s="69">
        <v>756.08</v>
      </c>
      <c r="W41" s="69">
        <v>793.52</v>
      </c>
      <c r="X41" s="69">
        <v>811.2</v>
      </c>
      <c r="Y41" s="69">
        <v>846.56000000000006</v>
      </c>
      <c r="Z41" s="69">
        <v>885.04000000000008</v>
      </c>
      <c r="AA41" s="69">
        <v>916.24</v>
      </c>
      <c r="AB41" s="69">
        <v>958.88</v>
      </c>
      <c r="AC41" s="69">
        <v>995.28000000000009</v>
      </c>
      <c r="AD41" s="69">
        <v>1037.92</v>
      </c>
      <c r="AE41" s="69">
        <v>1068.08</v>
      </c>
      <c r="AF41" s="69">
        <v>1118</v>
      </c>
      <c r="AG41" s="69">
        <v>1163.76</v>
      </c>
      <c r="AH41" s="69">
        <v>1163.76</v>
      </c>
      <c r="AI41" s="69">
        <v>1163.76</v>
      </c>
    </row>
    <row r="42" spans="1:35" x14ac:dyDescent="0.35">
      <c r="A42" s="65" t="s">
        <v>365</v>
      </c>
      <c r="B42" s="65">
        <v>41</v>
      </c>
      <c r="C42" s="68">
        <v>158.55000000000001</v>
      </c>
      <c r="D42" s="69">
        <v>191.1</v>
      </c>
      <c r="E42" s="69">
        <v>207.9</v>
      </c>
      <c r="F42" s="69">
        <v>231</v>
      </c>
      <c r="G42" s="69">
        <v>260.40000000000003</v>
      </c>
      <c r="H42" s="69">
        <v>275.10000000000002</v>
      </c>
      <c r="I42" s="69">
        <v>300.56</v>
      </c>
      <c r="J42" s="69">
        <v>320.32</v>
      </c>
      <c r="K42" s="69">
        <v>339.04</v>
      </c>
      <c r="L42" s="69">
        <v>351.52000000000004</v>
      </c>
      <c r="M42" s="69">
        <v>366.08000000000004</v>
      </c>
      <c r="N42" s="69">
        <v>381.68</v>
      </c>
      <c r="O42" s="69">
        <v>393.12</v>
      </c>
      <c r="P42" s="69">
        <v>403.52000000000004</v>
      </c>
      <c r="Q42" s="69">
        <v>418.08000000000004</v>
      </c>
      <c r="R42" s="69">
        <v>430.56</v>
      </c>
      <c r="S42" s="69">
        <v>449.28000000000003</v>
      </c>
      <c r="T42" s="69">
        <v>465.92</v>
      </c>
      <c r="U42" s="69">
        <v>484.64000000000004</v>
      </c>
      <c r="V42" s="69">
        <v>494</v>
      </c>
      <c r="W42" s="69">
        <v>516.88</v>
      </c>
      <c r="X42" s="69">
        <v>536.64</v>
      </c>
      <c r="Y42" s="69">
        <v>558.48</v>
      </c>
      <c r="Z42" s="69">
        <v>572</v>
      </c>
      <c r="AA42" s="69">
        <v>598</v>
      </c>
      <c r="AB42" s="69">
        <v>609.44000000000005</v>
      </c>
      <c r="AC42" s="69">
        <v>624</v>
      </c>
      <c r="AD42" s="69">
        <v>654.16</v>
      </c>
      <c r="AE42" s="69">
        <v>677.04000000000008</v>
      </c>
      <c r="AF42" s="69">
        <v>710.32</v>
      </c>
      <c r="AG42" s="69">
        <v>720.72</v>
      </c>
      <c r="AH42" s="69">
        <v>720.72</v>
      </c>
      <c r="AI42" s="69">
        <v>720.72</v>
      </c>
    </row>
    <row r="43" spans="1:35" x14ac:dyDescent="0.35">
      <c r="A43" s="65" t="s">
        <v>366</v>
      </c>
      <c r="B43" s="65">
        <v>42</v>
      </c>
      <c r="C43" s="68">
        <v>68.25</v>
      </c>
      <c r="D43" s="69">
        <v>89.25</v>
      </c>
      <c r="E43" s="69">
        <v>100.80000000000001</v>
      </c>
      <c r="F43" s="69">
        <v>117.60000000000001</v>
      </c>
      <c r="G43" s="69">
        <v>142.80000000000001</v>
      </c>
      <c r="H43" s="69">
        <v>152.25</v>
      </c>
      <c r="I43" s="69">
        <v>166.4</v>
      </c>
      <c r="J43" s="69">
        <v>170.56</v>
      </c>
      <c r="K43" s="69">
        <v>179.92000000000002</v>
      </c>
      <c r="L43" s="69">
        <v>190.32</v>
      </c>
      <c r="M43" s="69">
        <v>192.4</v>
      </c>
      <c r="N43" s="69">
        <v>198.64000000000001</v>
      </c>
      <c r="O43" s="69">
        <v>206.96</v>
      </c>
      <c r="P43" s="69">
        <v>215.28</v>
      </c>
      <c r="Q43" s="69">
        <v>223.6</v>
      </c>
      <c r="R43" s="69">
        <v>225.68</v>
      </c>
      <c r="S43" s="69">
        <v>225.68</v>
      </c>
      <c r="T43" s="69">
        <v>238.16</v>
      </c>
      <c r="U43" s="69">
        <v>239.20000000000002</v>
      </c>
      <c r="V43" s="69">
        <v>247.52</v>
      </c>
      <c r="W43" s="69">
        <v>249.60000000000002</v>
      </c>
      <c r="X43" s="69">
        <v>251.68</v>
      </c>
      <c r="Y43" s="69">
        <v>262.08</v>
      </c>
      <c r="Z43" s="69">
        <v>264.16000000000003</v>
      </c>
      <c r="AA43" s="69">
        <v>266.24</v>
      </c>
      <c r="AB43" s="69">
        <v>275.60000000000002</v>
      </c>
      <c r="AC43" s="69">
        <v>277.68</v>
      </c>
      <c r="AD43" s="69">
        <v>292.24</v>
      </c>
      <c r="AE43" s="69">
        <v>297.44</v>
      </c>
      <c r="AF43" s="69">
        <v>315.12</v>
      </c>
      <c r="AG43" s="69">
        <v>326.56</v>
      </c>
      <c r="AH43" s="69">
        <v>326.56</v>
      </c>
      <c r="AI43" s="69">
        <v>326.56</v>
      </c>
    </row>
    <row r="44" spans="1:35" x14ac:dyDescent="0.35">
      <c r="A44" s="65" t="s">
        <v>367</v>
      </c>
      <c r="B44" s="65">
        <v>43</v>
      </c>
      <c r="C44" s="68">
        <v>107.10000000000001</v>
      </c>
      <c r="D44" s="69">
        <v>136.5</v>
      </c>
      <c r="E44" s="69">
        <v>151.20000000000002</v>
      </c>
      <c r="F44" s="69">
        <v>168</v>
      </c>
      <c r="G44" s="69">
        <v>177.45000000000002</v>
      </c>
      <c r="H44" s="69">
        <v>184.8</v>
      </c>
      <c r="I44" s="69">
        <v>196.56</v>
      </c>
      <c r="J44" s="69">
        <v>206.96</v>
      </c>
      <c r="K44" s="69">
        <v>214.24</v>
      </c>
      <c r="L44" s="69">
        <v>226.72</v>
      </c>
      <c r="M44" s="69">
        <v>230.88</v>
      </c>
      <c r="N44" s="69">
        <v>242.32000000000002</v>
      </c>
      <c r="O44" s="69">
        <v>252.72</v>
      </c>
      <c r="P44" s="69">
        <v>264.16000000000003</v>
      </c>
      <c r="Q44" s="69">
        <v>278.72000000000003</v>
      </c>
      <c r="R44" s="69">
        <v>282.88</v>
      </c>
      <c r="S44" s="69">
        <v>294.32</v>
      </c>
      <c r="T44" s="69">
        <v>303.68</v>
      </c>
      <c r="U44" s="69">
        <v>316.16000000000003</v>
      </c>
      <c r="V44" s="69">
        <v>320.32</v>
      </c>
      <c r="W44" s="69">
        <v>330.72</v>
      </c>
      <c r="X44" s="69">
        <v>340.08</v>
      </c>
      <c r="Y44" s="69">
        <v>344.24</v>
      </c>
      <c r="Z44" s="69">
        <v>358.8</v>
      </c>
      <c r="AA44" s="69">
        <v>368.16</v>
      </c>
      <c r="AB44" s="69">
        <v>380.64</v>
      </c>
      <c r="AC44" s="69">
        <v>390</v>
      </c>
      <c r="AD44" s="69">
        <v>403.52000000000004</v>
      </c>
      <c r="AE44" s="69">
        <v>414.96000000000004</v>
      </c>
      <c r="AF44" s="69">
        <v>426.40000000000003</v>
      </c>
      <c r="AG44" s="69">
        <v>443.04</v>
      </c>
      <c r="AH44" s="69">
        <v>443.04</v>
      </c>
      <c r="AI44" s="69">
        <v>443.04</v>
      </c>
    </row>
    <row r="45" spans="1:35" x14ac:dyDescent="0.35">
      <c r="A45" s="65" t="s">
        <v>368</v>
      </c>
      <c r="B45" s="65">
        <v>44</v>
      </c>
      <c r="C45" s="68">
        <v>156.45000000000002</v>
      </c>
      <c r="D45" s="69">
        <v>187.95000000000002</v>
      </c>
      <c r="E45" s="69">
        <v>218.4</v>
      </c>
      <c r="F45" s="69">
        <v>243.60000000000002</v>
      </c>
      <c r="G45" s="69">
        <v>266.7</v>
      </c>
      <c r="H45" s="69">
        <v>291.90000000000003</v>
      </c>
      <c r="I45" s="69">
        <v>320.32</v>
      </c>
      <c r="J45" s="69">
        <v>344.24</v>
      </c>
      <c r="K45" s="69">
        <v>370.24</v>
      </c>
      <c r="L45" s="69">
        <v>395.2</v>
      </c>
      <c r="M45" s="69">
        <v>421.2</v>
      </c>
      <c r="N45" s="69">
        <v>444.08000000000004</v>
      </c>
      <c r="O45" s="69">
        <v>458.64000000000004</v>
      </c>
      <c r="P45" s="69">
        <v>475.28000000000003</v>
      </c>
      <c r="Q45" s="69">
        <v>494</v>
      </c>
      <c r="R45" s="69">
        <v>515.84</v>
      </c>
      <c r="S45" s="69">
        <v>535.6</v>
      </c>
      <c r="T45" s="69">
        <v>549.12</v>
      </c>
      <c r="U45" s="69">
        <v>578.24</v>
      </c>
      <c r="V45" s="69">
        <v>593.84</v>
      </c>
      <c r="W45" s="69">
        <v>619.84</v>
      </c>
      <c r="X45" s="69">
        <v>642.72</v>
      </c>
      <c r="Y45" s="69">
        <v>660.4</v>
      </c>
      <c r="Z45" s="69">
        <v>678.08</v>
      </c>
      <c r="AA45" s="69">
        <v>706.16</v>
      </c>
      <c r="AB45" s="69">
        <v>726.96</v>
      </c>
      <c r="AC45" s="69">
        <v>745.68000000000006</v>
      </c>
      <c r="AD45" s="69">
        <v>782.08</v>
      </c>
      <c r="AE45" s="69">
        <v>798.72</v>
      </c>
      <c r="AF45" s="69">
        <v>837.2</v>
      </c>
      <c r="AG45" s="69">
        <v>870.48</v>
      </c>
      <c r="AH45" s="69">
        <v>876.72</v>
      </c>
      <c r="AI45" s="69">
        <v>876.72</v>
      </c>
    </row>
    <row r="46" spans="1:35" x14ac:dyDescent="0.35">
      <c r="A46" s="65" t="s">
        <v>369</v>
      </c>
      <c r="B46" s="65">
        <v>45</v>
      </c>
      <c r="C46" s="68">
        <v>145.95000000000002</v>
      </c>
      <c r="D46" s="69">
        <v>193.20000000000002</v>
      </c>
      <c r="E46" s="69">
        <v>220.5</v>
      </c>
      <c r="F46" s="69">
        <v>239.4</v>
      </c>
      <c r="G46" s="69">
        <v>243.60000000000002</v>
      </c>
      <c r="H46" s="69">
        <v>254.10000000000002</v>
      </c>
      <c r="I46" s="69">
        <v>272.48</v>
      </c>
      <c r="J46" s="69">
        <v>284.96000000000004</v>
      </c>
      <c r="K46" s="69">
        <v>298.48</v>
      </c>
      <c r="L46" s="69">
        <v>306.8</v>
      </c>
      <c r="M46" s="69">
        <v>316.16000000000003</v>
      </c>
      <c r="N46" s="69">
        <v>330.72</v>
      </c>
      <c r="O46" s="69">
        <v>341.12</v>
      </c>
      <c r="P46" s="69">
        <v>347.36</v>
      </c>
      <c r="Q46" s="69">
        <v>364</v>
      </c>
      <c r="R46" s="69">
        <v>381.68</v>
      </c>
      <c r="S46" s="69">
        <v>402.48</v>
      </c>
      <c r="T46" s="69">
        <v>418.08000000000004</v>
      </c>
      <c r="U46" s="69">
        <v>433.68</v>
      </c>
      <c r="V46" s="69">
        <v>442</v>
      </c>
      <c r="W46" s="69">
        <v>458.64000000000004</v>
      </c>
      <c r="X46" s="69">
        <v>477.36</v>
      </c>
      <c r="Y46" s="69">
        <v>489.84000000000003</v>
      </c>
      <c r="Z46" s="69">
        <v>513.76</v>
      </c>
      <c r="AA46" s="69">
        <v>539.76</v>
      </c>
      <c r="AB46" s="69">
        <v>559.52</v>
      </c>
      <c r="AC46" s="69">
        <v>574.08000000000004</v>
      </c>
      <c r="AD46" s="69">
        <v>596.96</v>
      </c>
      <c r="AE46" s="69">
        <v>606.32000000000005</v>
      </c>
      <c r="AF46" s="69">
        <v>619.84</v>
      </c>
      <c r="AG46" s="69">
        <v>629.20000000000005</v>
      </c>
      <c r="AH46" s="69">
        <v>629.20000000000005</v>
      </c>
      <c r="AI46" s="69">
        <v>629.20000000000005</v>
      </c>
    </row>
    <row r="47" spans="1:35" x14ac:dyDescent="0.35">
      <c r="A47" s="65" t="s">
        <v>370</v>
      </c>
      <c r="B47" s="65">
        <v>46</v>
      </c>
      <c r="C47" s="68">
        <v>164.85</v>
      </c>
      <c r="D47" s="69">
        <v>194.25</v>
      </c>
      <c r="E47" s="69">
        <v>214.20000000000002</v>
      </c>
      <c r="F47" s="69">
        <v>241.5</v>
      </c>
      <c r="G47" s="69">
        <v>275.10000000000002</v>
      </c>
      <c r="H47" s="69">
        <v>298.2</v>
      </c>
      <c r="I47" s="69">
        <v>334.88</v>
      </c>
      <c r="J47" s="69">
        <v>360.88</v>
      </c>
      <c r="K47" s="69">
        <v>386.88</v>
      </c>
      <c r="L47" s="69">
        <v>402.48</v>
      </c>
      <c r="M47" s="69">
        <v>424.32</v>
      </c>
      <c r="N47" s="69">
        <v>438.88</v>
      </c>
      <c r="O47" s="69">
        <v>454.48</v>
      </c>
      <c r="P47" s="69">
        <v>489.84000000000003</v>
      </c>
      <c r="Q47" s="69">
        <v>514.80000000000007</v>
      </c>
      <c r="R47" s="69">
        <v>534.56000000000006</v>
      </c>
      <c r="S47" s="69">
        <v>570.96</v>
      </c>
      <c r="T47" s="69">
        <v>592.80000000000007</v>
      </c>
      <c r="U47" s="69">
        <v>616.72</v>
      </c>
      <c r="V47" s="69">
        <v>633.36</v>
      </c>
      <c r="W47" s="69">
        <v>651.04000000000008</v>
      </c>
      <c r="X47" s="69">
        <v>671.84</v>
      </c>
      <c r="Y47" s="69">
        <v>685.36</v>
      </c>
      <c r="Z47" s="69">
        <v>715.52</v>
      </c>
      <c r="AA47" s="69">
        <v>752.96</v>
      </c>
      <c r="AB47" s="69">
        <v>781.04000000000008</v>
      </c>
      <c r="AC47" s="69">
        <v>815.36</v>
      </c>
      <c r="AD47" s="69">
        <v>853.84</v>
      </c>
      <c r="AE47" s="69">
        <v>900.64</v>
      </c>
      <c r="AF47" s="69">
        <v>951.6</v>
      </c>
      <c r="AG47" s="69">
        <v>985.92000000000007</v>
      </c>
      <c r="AH47" s="69">
        <v>985.92000000000007</v>
      </c>
      <c r="AI47" s="69">
        <v>985.92000000000007</v>
      </c>
    </row>
    <row r="48" spans="1:35" x14ac:dyDescent="0.35">
      <c r="A48" s="65" t="s">
        <v>371</v>
      </c>
      <c r="B48" s="65">
        <v>47</v>
      </c>
      <c r="C48" s="68">
        <v>165.9</v>
      </c>
      <c r="D48" s="69">
        <v>187.95000000000002</v>
      </c>
      <c r="E48" s="69">
        <v>226.8</v>
      </c>
      <c r="F48" s="69">
        <v>275.10000000000002</v>
      </c>
      <c r="G48" s="69">
        <v>312.90000000000003</v>
      </c>
      <c r="H48" s="69">
        <v>322.35000000000002</v>
      </c>
      <c r="I48" s="69">
        <v>355.68</v>
      </c>
      <c r="J48" s="69">
        <v>377.52000000000004</v>
      </c>
      <c r="K48" s="69">
        <v>398.32</v>
      </c>
      <c r="L48" s="69">
        <v>418.08000000000004</v>
      </c>
      <c r="M48" s="69">
        <v>432.64</v>
      </c>
      <c r="N48" s="69">
        <v>450.32</v>
      </c>
      <c r="O48" s="69">
        <v>470.08000000000004</v>
      </c>
      <c r="P48" s="69">
        <v>503.36</v>
      </c>
      <c r="Q48" s="69">
        <v>537.68000000000006</v>
      </c>
      <c r="R48" s="69">
        <v>563.68000000000006</v>
      </c>
      <c r="S48" s="69">
        <v>593.84</v>
      </c>
      <c r="T48" s="69">
        <v>609.44000000000005</v>
      </c>
      <c r="U48" s="69">
        <v>636.48</v>
      </c>
      <c r="V48" s="69">
        <v>648.96</v>
      </c>
      <c r="W48" s="69">
        <v>666.64</v>
      </c>
      <c r="X48" s="69">
        <v>684.32</v>
      </c>
      <c r="Y48" s="69">
        <v>707.2</v>
      </c>
      <c r="Z48" s="69">
        <v>726.96</v>
      </c>
      <c r="AA48" s="69">
        <v>764.4</v>
      </c>
      <c r="AB48" s="69">
        <v>792.48</v>
      </c>
      <c r="AC48" s="69">
        <v>825.76</v>
      </c>
      <c r="AD48" s="69">
        <v>876.72</v>
      </c>
      <c r="AE48" s="69">
        <v>914.16000000000008</v>
      </c>
      <c r="AF48" s="69">
        <v>953.68000000000006</v>
      </c>
      <c r="AG48" s="69">
        <v>985.92000000000007</v>
      </c>
      <c r="AH48" s="69">
        <v>985.92000000000007</v>
      </c>
      <c r="AI48" s="69">
        <v>985.92000000000007</v>
      </c>
    </row>
    <row r="49" spans="1:35" x14ac:dyDescent="0.35">
      <c r="A49" s="65" t="s">
        <v>372</v>
      </c>
      <c r="B49" s="65">
        <v>48</v>
      </c>
      <c r="C49" s="68">
        <v>128.1</v>
      </c>
      <c r="D49" s="69">
        <v>152.25</v>
      </c>
      <c r="E49" s="69">
        <v>163.80000000000001</v>
      </c>
      <c r="F49" s="69">
        <v>177.45000000000002</v>
      </c>
      <c r="G49" s="69">
        <v>198.45000000000002</v>
      </c>
      <c r="H49" s="69">
        <v>211.05</v>
      </c>
      <c r="I49" s="69">
        <v>228.8</v>
      </c>
      <c r="J49" s="69">
        <v>246.48000000000002</v>
      </c>
      <c r="K49" s="69">
        <v>264.16000000000003</v>
      </c>
      <c r="L49" s="69">
        <v>276.64</v>
      </c>
      <c r="M49" s="69">
        <v>287.04000000000002</v>
      </c>
      <c r="N49" s="69">
        <v>296.40000000000003</v>
      </c>
      <c r="O49" s="69">
        <v>301.60000000000002</v>
      </c>
      <c r="P49" s="69">
        <v>312</v>
      </c>
      <c r="Q49" s="69">
        <v>318.24</v>
      </c>
      <c r="R49" s="69">
        <v>332.8</v>
      </c>
      <c r="S49" s="69">
        <v>345.28000000000003</v>
      </c>
      <c r="T49" s="69">
        <v>352.56</v>
      </c>
      <c r="U49" s="69">
        <v>367.12</v>
      </c>
      <c r="V49" s="69">
        <v>375.44</v>
      </c>
      <c r="W49" s="69">
        <v>385.84000000000003</v>
      </c>
      <c r="X49" s="69">
        <v>398.32</v>
      </c>
      <c r="Y49" s="69">
        <v>410.8</v>
      </c>
      <c r="Z49" s="69">
        <v>422.24</v>
      </c>
      <c r="AA49" s="69">
        <v>440.96000000000004</v>
      </c>
      <c r="AB49" s="69">
        <v>456.56</v>
      </c>
      <c r="AC49" s="69">
        <v>466.96000000000004</v>
      </c>
      <c r="AD49" s="69">
        <v>480.48</v>
      </c>
      <c r="AE49" s="69">
        <v>492.96000000000004</v>
      </c>
      <c r="AF49" s="69">
        <v>516.88</v>
      </c>
      <c r="AG49" s="69">
        <v>524.16</v>
      </c>
      <c r="AH49" s="69">
        <v>524.16</v>
      </c>
      <c r="AI49" s="69">
        <v>524.16</v>
      </c>
    </row>
    <row r="50" spans="1:35" x14ac:dyDescent="0.35">
      <c r="A50" s="65" t="s">
        <v>373</v>
      </c>
      <c r="B50" s="65">
        <v>49</v>
      </c>
      <c r="C50" s="68">
        <v>154.35</v>
      </c>
      <c r="D50" s="69">
        <v>186.9</v>
      </c>
      <c r="E50" s="69">
        <v>217.35000000000002</v>
      </c>
      <c r="F50" s="69">
        <v>242.55</v>
      </c>
      <c r="G50" s="69">
        <v>264.60000000000002</v>
      </c>
      <c r="H50" s="69">
        <v>289.8</v>
      </c>
      <c r="I50" s="69">
        <v>318.24</v>
      </c>
      <c r="J50" s="69">
        <v>342.16</v>
      </c>
      <c r="K50" s="69">
        <v>368.16</v>
      </c>
      <c r="L50" s="69">
        <v>392.08000000000004</v>
      </c>
      <c r="M50" s="69">
        <v>419.12</v>
      </c>
      <c r="N50" s="69">
        <v>440.96000000000004</v>
      </c>
      <c r="O50" s="69">
        <v>455.52000000000004</v>
      </c>
      <c r="P50" s="69">
        <v>471.12</v>
      </c>
      <c r="Q50" s="69">
        <v>490.88</v>
      </c>
      <c r="R50" s="69">
        <v>512.72</v>
      </c>
      <c r="S50" s="69">
        <v>533.52</v>
      </c>
      <c r="T50" s="69">
        <v>546</v>
      </c>
      <c r="U50" s="69">
        <v>575.12</v>
      </c>
      <c r="V50" s="69">
        <v>590.72</v>
      </c>
      <c r="W50" s="69">
        <v>615.68000000000006</v>
      </c>
      <c r="X50" s="69">
        <v>639.6</v>
      </c>
      <c r="Y50" s="69">
        <v>655.20000000000005</v>
      </c>
      <c r="Z50" s="69">
        <v>673.92000000000007</v>
      </c>
      <c r="AA50" s="69">
        <v>700.96</v>
      </c>
      <c r="AB50" s="69">
        <v>721.76</v>
      </c>
      <c r="AC50" s="69">
        <v>741.52</v>
      </c>
      <c r="AD50" s="69">
        <v>776.88</v>
      </c>
      <c r="AE50" s="69">
        <v>793.52</v>
      </c>
      <c r="AF50" s="69">
        <v>832</v>
      </c>
      <c r="AG50" s="69">
        <v>865.28</v>
      </c>
      <c r="AH50" s="69">
        <v>870.48</v>
      </c>
      <c r="AI50" s="69">
        <v>870.48</v>
      </c>
    </row>
    <row r="51" spans="1:35" x14ac:dyDescent="0.35">
      <c r="A51" s="65" t="s">
        <v>374</v>
      </c>
      <c r="B51" s="65">
        <v>50</v>
      </c>
      <c r="C51" s="68">
        <v>171.15</v>
      </c>
      <c r="D51" s="69">
        <v>203.70000000000002</v>
      </c>
      <c r="E51" s="69">
        <v>218.4</v>
      </c>
      <c r="F51" s="69">
        <v>260.40000000000003</v>
      </c>
      <c r="G51" s="69">
        <v>297.15000000000003</v>
      </c>
      <c r="H51" s="69">
        <v>320.25</v>
      </c>
      <c r="I51" s="69">
        <v>351.52000000000004</v>
      </c>
      <c r="J51" s="69">
        <v>380.64</v>
      </c>
      <c r="K51" s="69">
        <v>402.48</v>
      </c>
      <c r="L51" s="69">
        <v>424.32</v>
      </c>
      <c r="M51" s="69">
        <v>446.16</v>
      </c>
      <c r="N51" s="69">
        <v>471.12</v>
      </c>
      <c r="O51" s="69">
        <v>499.20000000000005</v>
      </c>
      <c r="P51" s="69">
        <v>533.52</v>
      </c>
      <c r="Q51" s="69">
        <v>556.4</v>
      </c>
      <c r="R51" s="69">
        <v>578.24</v>
      </c>
      <c r="S51" s="69">
        <v>608.4</v>
      </c>
      <c r="T51" s="69">
        <v>635.44000000000005</v>
      </c>
      <c r="U51" s="69">
        <v>659.36</v>
      </c>
      <c r="V51" s="69">
        <v>686.4</v>
      </c>
      <c r="W51" s="69">
        <v>720.72</v>
      </c>
      <c r="X51" s="69">
        <v>756.08</v>
      </c>
      <c r="Y51" s="69">
        <v>789.36</v>
      </c>
      <c r="Z51" s="69">
        <v>830.96</v>
      </c>
      <c r="AA51" s="69">
        <v>884</v>
      </c>
      <c r="AB51" s="69">
        <v>938.08</v>
      </c>
      <c r="AC51" s="69">
        <v>985.92000000000007</v>
      </c>
      <c r="AD51" s="69">
        <v>1044.1600000000001</v>
      </c>
      <c r="AE51" s="69">
        <v>1076.4000000000001</v>
      </c>
      <c r="AF51" s="69">
        <v>1098.24</v>
      </c>
      <c r="AG51" s="69">
        <v>1108.6400000000001</v>
      </c>
      <c r="AH51" s="69">
        <v>1108.6400000000001</v>
      </c>
      <c r="AI51" s="69">
        <v>1108.6400000000001</v>
      </c>
    </row>
    <row r="52" spans="1:35" x14ac:dyDescent="0.35">
      <c r="A52" s="65" t="s">
        <v>375</v>
      </c>
      <c r="B52" s="65">
        <v>51</v>
      </c>
      <c r="C52" s="68">
        <v>139.65</v>
      </c>
      <c r="D52" s="69">
        <v>185.85</v>
      </c>
      <c r="E52" s="69">
        <v>217.35000000000002</v>
      </c>
      <c r="F52" s="69">
        <v>242.55</v>
      </c>
      <c r="G52" s="69">
        <v>253.05</v>
      </c>
      <c r="H52" s="69">
        <v>268.8</v>
      </c>
      <c r="I52" s="69">
        <v>289.12</v>
      </c>
      <c r="J52" s="69">
        <v>310.96000000000004</v>
      </c>
      <c r="K52" s="69">
        <v>328.64</v>
      </c>
      <c r="L52" s="69">
        <v>341.12</v>
      </c>
      <c r="M52" s="69">
        <v>356.72</v>
      </c>
      <c r="N52" s="69">
        <v>372.32</v>
      </c>
      <c r="O52" s="69">
        <v>381.68</v>
      </c>
      <c r="P52" s="69">
        <v>396.24</v>
      </c>
      <c r="Q52" s="69">
        <v>408.72</v>
      </c>
      <c r="R52" s="69">
        <v>420.16</v>
      </c>
      <c r="S52" s="69">
        <v>443.04</v>
      </c>
      <c r="T52" s="69">
        <v>465.92</v>
      </c>
      <c r="U52" s="69">
        <v>488.8</v>
      </c>
      <c r="V52" s="69">
        <v>505.44</v>
      </c>
      <c r="W52" s="69">
        <v>521.04</v>
      </c>
      <c r="X52" s="69">
        <v>540.80000000000007</v>
      </c>
      <c r="Y52" s="69">
        <v>551.20000000000005</v>
      </c>
      <c r="Z52" s="69">
        <v>562.64</v>
      </c>
      <c r="AA52" s="69">
        <v>572</v>
      </c>
      <c r="AB52" s="69">
        <v>590.72</v>
      </c>
      <c r="AC52" s="69">
        <v>602.16</v>
      </c>
      <c r="AD52" s="69">
        <v>630.24</v>
      </c>
      <c r="AE52" s="69">
        <v>641.68000000000006</v>
      </c>
      <c r="AF52" s="69">
        <v>660.4</v>
      </c>
      <c r="AG52" s="69">
        <v>669.76</v>
      </c>
      <c r="AH52" s="69">
        <v>669.76</v>
      </c>
      <c r="AI52" s="69">
        <v>669.76</v>
      </c>
    </row>
    <row r="53" spans="1:35" x14ac:dyDescent="0.35">
      <c r="A53" s="65" t="s">
        <v>376</v>
      </c>
      <c r="B53" s="65">
        <v>52</v>
      </c>
      <c r="C53" s="68">
        <v>137.55000000000001</v>
      </c>
      <c r="D53" s="69">
        <v>176.4</v>
      </c>
      <c r="E53" s="69">
        <v>202.65</v>
      </c>
      <c r="F53" s="69">
        <v>226.8</v>
      </c>
      <c r="G53" s="69">
        <v>254.10000000000002</v>
      </c>
      <c r="H53" s="69">
        <v>257.25</v>
      </c>
      <c r="I53" s="69">
        <v>278.72000000000003</v>
      </c>
      <c r="J53" s="69">
        <v>294.32</v>
      </c>
      <c r="K53" s="69">
        <v>310.96000000000004</v>
      </c>
      <c r="L53" s="69">
        <v>320.32</v>
      </c>
      <c r="M53" s="69">
        <v>338</v>
      </c>
      <c r="N53" s="69">
        <v>352.56</v>
      </c>
      <c r="O53" s="69">
        <v>365.04</v>
      </c>
      <c r="P53" s="69">
        <v>372.32</v>
      </c>
      <c r="Q53" s="69">
        <v>379.6</v>
      </c>
      <c r="R53" s="69">
        <v>392.08000000000004</v>
      </c>
      <c r="S53" s="69">
        <v>407.68</v>
      </c>
      <c r="T53" s="69">
        <v>430.56</v>
      </c>
      <c r="U53" s="69">
        <v>448.24</v>
      </c>
      <c r="V53" s="69">
        <v>465.92</v>
      </c>
      <c r="W53" s="69">
        <v>479.44</v>
      </c>
      <c r="X53" s="69">
        <v>503.36</v>
      </c>
      <c r="Y53" s="69">
        <v>512.72</v>
      </c>
      <c r="Z53" s="69">
        <v>533.52</v>
      </c>
      <c r="AA53" s="69">
        <v>541.84</v>
      </c>
      <c r="AB53" s="69">
        <v>556.4</v>
      </c>
      <c r="AC53" s="69">
        <v>572</v>
      </c>
      <c r="AD53" s="69">
        <v>590.72</v>
      </c>
      <c r="AE53" s="69">
        <v>606.32000000000005</v>
      </c>
      <c r="AF53" s="69">
        <v>621.92000000000007</v>
      </c>
      <c r="AG53" s="69">
        <v>631.28</v>
      </c>
      <c r="AH53" s="69">
        <v>631.28</v>
      </c>
      <c r="AI53" s="69">
        <v>631.28</v>
      </c>
    </row>
    <row r="54" spans="1:35" x14ac:dyDescent="0.35">
      <c r="A54" s="65" t="s">
        <v>377</v>
      </c>
      <c r="B54" s="65">
        <v>53</v>
      </c>
      <c r="C54" s="68">
        <v>149.1</v>
      </c>
      <c r="D54" s="69">
        <v>180.6</v>
      </c>
      <c r="E54" s="69">
        <v>208.95000000000002</v>
      </c>
      <c r="F54" s="69">
        <v>232.05</v>
      </c>
      <c r="G54" s="69">
        <v>254.10000000000002</v>
      </c>
      <c r="H54" s="69">
        <v>278.25</v>
      </c>
      <c r="I54" s="69">
        <v>305.76</v>
      </c>
      <c r="J54" s="69">
        <v>329.68</v>
      </c>
      <c r="K54" s="69">
        <v>354.64</v>
      </c>
      <c r="L54" s="69">
        <v>377.52000000000004</v>
      </c>
      <c r="M54" s="69">
        <v>402.48</v>
      </c>
      <c r="N54" s="69">
        <v>423.28000000000003</v>
      </c>
      <c r="O54" s="69">
        <v>436.8</v>
      </c>
      <c r="P54" s="69">
        <v>453.44</v>
      </c>
      <c r="Q54" s="69">
        <v>471.12</v>
      </c>
      <c r="R54" s="69">
        <v>491.92</v>
      </c>
      <c r="S54" s="69">
        <v>511.68</v>
      </c>
      <c r="T54" s="69">
        <v>524.16</v>
      </c>
      <c r="U54" s="69">
        <v>552.24</v>
      </c>
      <c r="V54" s="69">
        <v>567.84</v>
      </c>
      <c r="W54" s="69">
        <v>591.76</v>
      </c>
      <c r="X54" s="69">
        <v>614.64</v>
      </c>
      <c r="Y54" s="69">
        <v>629.20000000000005</v>
      </c>
      <c r="Z54" s="69">
        <v>647.92000000000007</v>
      </c>
      <c r="AA54" s="69">
        <v>673.92000000000007</v>
      </c>
      <c r="AB54" s="69">
        <v>693.68000000000006</v>
      </c>
      <c r="AC54" s="69">
        <v>711.36</v>
      </c>
      <c r="AD54" s="69">
        <v>745.68000000000006</v>
      </c>
      <c r="AE54" s="69">
        <v>762.32</v>
      </c>
      <c r="AF54" s="69">
        <v>799.76</v>
      </c>
      <c r="AG54" s="69">
        <v>830.96</v>
      </c>
      <c r="AH54" s="69">
        <v>836.16000000000008</v>
      </c>
      <c r="AI54" s="69">
        <v>836.16000000000008</v>
      </c>
    </row>
    <row r="55" spans="1:35" x14ac:dyDescent="0.35">
      <c r="A55" s="65" t="s">
        <v>378</v>
      </c>
      <c r="B55" s="65">
        <v>54</v>
      </c>
      <c r="C55" s="68">
        <v>141.75</v>
      </c>
      <c r="D55" s="69">
        <v>185.85</v>
      </c>
      <c r="E55" s="69">
        <v>210</v>
      </c>
      <c r="F55" s="69">
        <v>245.70000000000002</v>
      </c>
      <c r="G55" s="69">
        <v>266.7</v>
      </c>
      <c r="H55" s="69">
        <v>276.15000000000003</v>
      </c>
      <c r="I55" s="69">
        <v>298.48</v>
      </c>
      <c r="J55" s="69">
        <v>313.04000000000002</v>
      </c>
      <c r="K55" s="69">
        <v>321.36</v>
      </c>
      <c r="L55" s="69">
        <v>331.76</v>
      </c>
      <c r="M55" s="69">
        <v>342.16</v>
      </c>
      <c r="N55" s="69">
        <v>354.64</v>
      </c>
      <c r="O55" s="69">
        <v>366.08000000000004</v>
      </c>
      <c r="P55" s="69">
        <v>372.32</v>
      </c>
      <c r="Q55" s="69">
        <v>380.64</v>
      </c>
      <c r="R55" s="69">
        <v>391.04</v>
      </c>
      <c r="S55" s="69">
        <v>407.68</v>
      </c>
      <c r="T55" s="69">
        <v>427.44</v>
      </c>
      <c r="U55" s="69">
        <v>436.8</v>
      </c>
      <c r="V55" s="69">
        <v>446.16</v>
      </c>
      <c r="W55" s="69">
        <v>466.96000000000004</v>
      </c>
      <c r="X55" s="69">
        <v>487.76</v>
      </c>
      <c r="Y55" s="69">
        <v>503.36</v>
      </c>
      <c r="Z55" s="69">
        <v>523.12</v>
      </c>
      <c r="AA55" s="69">
        <v>541.84</v>
      </c>
      <c r="AB55" s="69">
        <v>562.64</v>
      </c>
      <c r="AC55" s="69">
        <v>570.96</v>
      </c>
      <c r="AD55" s="69">
        <v>585.52</v>
      </c>
      <c r="AE55" s="69">
        <v>606.32000000000005</v>
      </c>
      <c r="AF55" s="69">
        <v>637.52</v>
      </c>
      <c r="AG55" s="69">
        <v>654.16</v>
      </c>
      <c r="AH55" s="69">
        <v>654.16</v>
      </c>
      <c r="AI55" s="69">
        <v>654.16</v>
      </c>
    </row>
    <row r="56" spans="1:35" x14ac:dyDescent="0.35">
      <c r="A56" s="65" t="s">
        <v>379</v>
      </c>
      <c r="B56" s="65">
        <v>55</v>
      </c>
      <c r="C56" s="68">
        <v>141.75</v>
      </c>
      <c r="D56" s="69">
        <v>186.9</v>
      </c>
      <c r="E56" s="69">
        <v>218.4</v>
      </c>
      <c r="F56" s="69">
        <v>240.45000000000002</v>
      </c>
      <c r="G56" s="69">
        <v>265.65000000000003</v>
      </c>
      <c r="H56" s="69">
        <v>279.3</v>
      </c>
      <c r="I56" s="69">
        <v>300.56</v>
      </c>
      <c r="J56" s="69">
        <v>317.2</v>
      </c>
      <c r="K56" s="69">
        <v>329.68</v>
      </c>
      <c r="L56" s="69">
        <v>339.04</v>
      </c>
      <c r="M56" s="69">
        <v>345.28000000000003</v>
      </c>
      <c r="N56" s="69">
        <v>355.68</v>
      </c>
      <c r="O56" s="69">
        <v>368.16</v>
      </c>
      <c r="P56" s="69">
        <v>380.64</v>
      </c>
      <c r="Q56" s="69">
        <v>391.04</v>
      </c>
      <c r="R56" s="69">
        <v>402.48</v>
      </c>
      <c r="S56" s="69">
        <v>421.2</v>
      </c>
      <c r="T56" s="69">
        <v>436.8</v>
      </c>
      <c r="U56" s="69">
        <v>454.48</v>
      </c>
      <c r="V56" s="69">
        <v>465.92</v>
      </c>
      <c r="W56" s="69">
        <v>486.72</v>
      </c>
      <c r="X56" s="69">
        <v>509.6</v>
      </c>
      <c r="Y56" s="69">
        <v>525.20000000000005</v>
      </c>
      <c r="Z56" s="69">
        <v>541.84</v>
      </c>
      <c r="AA56" s="69">
        <v>561.6</v>
      </c>
      <c r="AB56" s="69">
        <v>581.36</v>
      </c>
      <c r="AC56" s="69">
        <v>589.68000000000006</v>
      </c>
      <c r="AD56" s="69">
        <v>607.36</v>
      </c>
      <c r="AE56" s="69">
        <v>621.92000000000007</v>
      </c>
      <c r="AF56" s="69">
        <v>643.76</v>
      </c>
      <c r="AG56" s="69">
        <v>654.16</v>
      </c>
      <c r="AH56" s="69">
        <v>654.16</v>
      </c>
      <c r="AI56" s="69">
        <v>654.16</v>
      </c>
    </row>
    <row r="57" spans="1:35" x14ac:dyDescent="0.35">
      <c r="A57" s="65" t="s">
        <v>380</v>
      </c>
      <c r="B57" s="65">
        <v>56</v>
      </c>
      <c r="C57" s="68">
        <v>165.9</v>
      </c>
      <c r="D57" s="69">
        <v>203.70000000000002</v>
      </c>
      <c r="E57" s="69">
        <v>219.45000000000002</v>
      </c>
      <c r="F57" s="69">
        <v>243.60000000000002</v>
      </c>
      <c r="G57" s="69">
        <v>263.55</v>
      </c>
      <c r="H57" s="69">
        <v>279.3</v>
      </c>
      <c r="I57" s="69">
        <v>303.68</v>
      </c>
      <c r="J57" s="69">
        <v>322.40000000000003</v>
      </c>
      <c r="K57" s="69">
        <v>341.12</v>
      </c>
      <c r="L57" s="69">
        <v>357.76</v>
      </c>
      <c r="M57" s="69">
        <v>376.48</v>
      </c>
      <c r="N57" s="69">
        <v>400.40000000000003</v>
      </c>
      <c r="O57" s="69">
        <v>423.28000000000003</v>
      </c>
      <c r="P57" s="69">
        <v>454.48</v>
      </c>
      <c r="Q57" s="69">
        <v>480.48</v>
      </c>
      <c r="R57" s="69">
        <v>509.6</v>
      </c>
      <c r="S57" s="69">
        <v>544.96</v>
      </c>
      <c r="T57" s="69">
        <v>578.24</v>
      </c>
      <c r="U57" s="69">
        <v>609.44000000000005</v>
      </c>
      <c r="V57" s="69">
        <v>640.64</v>
      </c>
      <c r="W57" s="69">
        <v>678.08</v>
      </c>
      <c r="X57" s="69">
        <v>713.44</v>
      </c>
      <c r="Y57" s="69">
        <v>750.88</v>
      </c>
      <c r="Z57" s="69">
        <v>787.28</v>
      </c>
      <c r="AA57" s="69">
        <v>823.68000000000006</v>
      </c>
      <c r="AB57" s="69">
        <v>856.96</v>
      </c>
      <c r="AC57" s="69">
        <v>890.24</v>
      </c>
      <c r="AD57" s="69">
        <v>918.32</v>
      </c>
      <c r="AE57" s="69">
        <v>924.56000000000006</v>
      </c>
      <c r="AF57" s="69">
        <v>952.64</v>
      </c>
      <c r="AG57" s="69">
        <v>985.92000000000007</v>
      </c>
      <c r="AH57" s="69">
        <v>985.92000000000007</v>
      </c>
      <c r="AI57" s="69">
        <v>985.92000000000007</v>
      </c>
    </row>
    <row r="58" spans="1:35" x14ac:dyDescent="0.35">
      <c r="A58" s="65" t="s">
        <v>381</v>
      </c>
      <c r="B58" s="65">
        <v>57</v>
      </c>
      <c r="C58" s="68">
        <v>145.95000000000002</v>
      </c>
      <c r="D58" s="69">
        <v>183.75</v>
      </c>
      <c r="E58" s="69">
        <v>208.95000000000002</v>
      </c>
      <c r="F58" s="69">
        <v>238.35000000000002</v>
      </c>
      <c r="G58" s="69">
        <v>263.55</v>
      </c>
      <c r="H58" s="69">
        <v>278.25</v>
      </c>
      <c r="I58" s="69">
        <v>299.52</v>
      </c>
      <c r="J58" s="69">
        <v>315.12</v>
      </c>
      <c r="K58" s="69">
        <v>322.40000000000003</v>
      </c>
      <c r="L58" s="69">
        <v>331.76</v>
      </c>
      <c r="M58" s="69">
        <v>343.2</v>
      </c>
      <c r="N58" s="69">
        <v>353.6</v>
      </c>
      <c r="O58" s="69">
        <v>365.04</v>
      </c>
      <c r="P58" s="69">
        <v>376.48</v>
      </c>
      <c r="Q58" s="69">
        <v>384.8</v>
      </c>
      <c r="R58" s="69">
        <v>411.84000000000003</v>
      </c>
      <c r="S58" s="69">
        <v>424.32</v>
      </c>
      <c r="T58" s="69">
        <v>437.84000000000003</v>
      </c>
      <c r="U58" s="69">
        <v>455.52000000000004</v>
      </c>
      <c r="V58" s="69">
        <v>464.88</v>
      </c>
      <c r="W58" s="69">
        <v>484.64000000000004</v>
      </c>
      <c r="X58" s="69">
        <v>512.72</v>
      </c>
      <c r="Y58" s="69">
        <v>524.16</v>
      </c>
      <c r="Z58" s="69">
        <v>540.80000000000007</v>
      </c>
      <c r="AA58" s="69">
        <v>560.56000000000006</v>
      </c>
      <c r="AB58" s="69">
        <v>576.16</v>
      </c>
      <c r="AC58" s="69">
        <v>590.72</v>
      </c>
      <c r="AD58" s="69">
        <v>608.4</v>
      </c>
      <c r="AE58" s="69">
        <v>620.88</v>
      </c>
      <c r="AF58" s="69">
        <v>643.76</v>
      </c>
      <c r="AG58" s="69">
        <v>654.16</v>
      </c>
      <c r="AH58" s="69">
        <v>654.16</v>
      </c>
      <c r="AI58" s="69">
        <v>654.16</v>
      </c>
    </row>
    <row r="59" spans="1:35" x14ac:dyDescent="0.35">
      <c r="A59" s="65" t="s">
        <v>382</v>
      </c>
      <c r="B59" s="65">
        <v>58</v>
      </c>
      <c r="C59" s="68">
        <v>124.95</v>
      </c>
      <c r="D59" s="69">
        <v>170.1</v>
      </c>
      <c r="E59" s="69">
        <v>192.15</v>
      </c>
      <c r="F59" s="69">
        <v>223.65</v>
      </c>
      <c r="G59" s="69">
        <v>234.15</v>
      </c>
      <c r="H59" s="69">
        <v>243.60000000000002</v>
      </c>
      <c r="I59" s="69">
        <v>251.68</v>
      </c>
      <c r="J59" s="69">
        <v>260</v>
      </c>
      <c r="K59" s="69">
        <v>272.48</v>
      </c>
      <c r="L59" s="69">
        <v>281.84000000000003</v>
      </c>
      <c r="M59" s="69">
        <v>294.32</v>
      </c>
      <c r="N59" s="69">
        <v>306.8</v>
      </c>
      <c r="O59" s="69">
        <v>317.2</v>
      </c>
      <c r="P59" s="69">
        <v>334.88</v>
      </c>
      <c r="Q59" s="69">
        <v>353.6</v>
      </c>
      <c r="R59" s="69">
        <v>360.88</v>
      </c>
      <c r="S59" s="69">
        <v>368.16</v>
      </c>
      <c r="T59" s="69">
        <v>375.44</v>
      </c>
      <c r="U59" s="69">
        <v>385.84000000000003</v>
      </c>
      <c r="V59" s="69">
        <v>393.12</v>
      </c>
      <c r="W59" s="69">
        <v>406.64</v>
      </c>
      <c r="X59" s="69">
        <v>411.84000000000003</v>
      </c>
      <c r="Y59" s="69">
        <v>424.32</v>
      </c>
      <c r="Z59" s="69">
        <v>434.72</v>
      </c>
      <c r="AA59" s="69">
        <v>445.12</v>
      </c>
      <c r="AB59" s="69">
        <v>450.32</v>
      </c>
      <c r="AC59" s="69">
        <v>469.04</v>
      </c>
      <c r="AD59" s="69">
        <v>488.8</v>
      </c>
      <c r="AE59" s="69">
        <v>506.48</v>
      </c>
      <c r="AF59" s="69">
        <v>527.28</v>
      </c>
      <c r="AG59" s="69">
        <v>538.72</v>
      </c>
      <c r="AH59" s="69">
        <v>538.72</v>
      </c>
      <c r="AI59" s="69">
        <v>538.72</v>
      </c>
    </row>
    <row r="60" spans="1:35" x14ac:dyDescent="0.35">
      <c r="A60" s="65" t="s">
        <v>383</v>
      </c>
      <c r="B60" s="65">
        <v>59</v>
      </c>
      <c r="C60" s="68">
        <v>154.35</v>
      </c>
      <c r="D60" s="69">
        <v>203.70000000000002</v>
      </c>
      <c r="E60" s="69">
        <v>231</v>
      </c>
      <c r="F60" s="69">
        <v>275.10000000000002</v>
      </c>
      <c r="G60" s="69">
        <v>287.7</v>
      </c>
      <c r="H60" s="69">
        <v>298.2</v>
      </c>
      <c r="I60" s="69">
        <v>324.48</v>
      </c>
      <c r="J60" s="69">
        <v>340.08</v>
      </c>
      <c r="K60" s="69">
        <v>362.96000000000004</v>
      </c>
      <c r="L60" s="69">
        <v>377.52000000000004</v>
      </c>
      <c r="M60" s="69">
        <v>395.2</v>
      </c>
      <c r="N60" s="69">
        <v>410.8</v>
      </c>
      <c r="O60" s="69">
        <v>427.44</v>
      </c>
      <c r="P60" s="69">
        <v>443.04</v>
      </c>
      <c r="Q60" s="69">
        <v>458.64000000000004</v>
      </c>
      <c r="R60" s="69">
        <v>478.40000000000003</v>
      </c>
      <c r="S60" s="69">
        <v>501.28000000000003</v>
      </c>
      <c r="T60" s="69">
        <v>526.24</v>
      </c>
      <c r="U60" s="69">
        <v>555.36</v>
      </c>
      <c r="V60" s="69">
        <v>579.28</v>
      </c>
      <c r="W60" s="69">
        <v>605.28</v>
      </c>
      <c r="X60" s="69">
        <v>633.36</v>
      </c>
      <c r="Y60" s="69">
        <v>661.44</v>
      </c>
      <c r="Z60" s="69">
        <v>685.36</v>
      </c>
      <c r="AA60" s="69">
        <v>712.4</v>
      </c>
      <c r="AB60" s="69">
        <v>741.52</v>
      </c>
      <c r="AC60" s="69">
        <v>763.36</v>
      </c>
      <c r="AD60" s="69">
        <v>796.64</v>
      </c>
      <c r="AE60" s="69">
        <v>823.68000000000006</v>
      </c>
      <c r="AF60" s="69">
        <v>844.48</v>
      </c>
      <c r="AG60" s="69">
        <v>856.96</v>
      </c>
      <c r="AH60" s="69">
        <v>856.96</v>
      </c>
      <c r="AI60" s="69">
        <v>856.96</v>
      </c>
    </row>
    <row r="61" spans="1:35" x14ac:dyDescent="0.35">
      <c r="A61" s="65" t="s">
        <v>384</v>
      </c>
      <c r="B61" s="65">
        <v>60</v>
      </c>
      <c r="C61" s="68">
        <v>137.55000000000001</v>
      </c>
      <c r="D61" s="69">
        <v>186.9</v>
      </c>
      <c r="E61" s="69">
        <v>214.20000000000002</v>
      </c>
      <c r="F61" s="69">
        <v>240.45000000000002</v>
      </c>
      <c r="G61" s="69">
        <v>253.05</v>
      </c>
      <c r="H61" s="69">
        <v>267.75</v>
      </c>
      <c r="I61" s="69">
        <v>289.12</v>
      </c>
      <c r="J61" s="69">
        <v>308.88</v>
      </c>
      <c r="K61" s="69">
        <v>322.40000000000003</v>
      </c>
      <c r="L61" s="69">
        <v>338</v>
      </c>
      <c r="M61" s="69">
        <v>351.52000000000004</v>
      </c>
      <c r="N61" s="69">
        <v>364</v>
      </c>
      <c r="O61" s="69">
        <v>378.56</v>
      </c>
      <c r="P61" s="69">
        <v>391.04</v>
      </c>
      <c r="Q61" s="69">
        <v>404.56</v>
      </c>
      <c r="R61" s="69">
        <v>423.28000000000003</v>
      </c>
      <c r="S61" s="69">
        <v>445.12</v>
      </c>
      <c r="T61" s="69">
        <v>456.56</v>
      </c>
      <c r="U61" s="69">
        <v>475.28000000000003</v>
      </c>
      <c r="V61" s="69">
        <v>491.92</v>
      </c>
      <c r="W61" s="69">
        <v>505.44</v>
      </c>
      <c r="X61" s="69">
        <v>526.24</v>
      </c>
      <c r="Y61" s="69">
        <v>538.72</v>
      </c>
      <c r="Z61" s="69">
        <v>561.6</v>
      </c>
      <c r="AA61" s="69">
        <v>589.68000000000006</v>
      </c>
      <c r="AB61" s="69">
        <v>612.56000000000006</v>
      </c>
      <c r="AC61" s="69">
        <v>638.56000000000006</v>
      </c>
      <c r="AD61" s="69">
        <v>670.80000000000007</v>
      </c>
      <c r="AE61" s="69">
        <v>692.64</v>
      </c>
      <c r="AF61" s="69">
        <v>722.80000000000007</v>
      </c>
      <c r="AG61" s="69">
        <v>742.56000000000006</v>
      </c>
      <c r="AH61" s="69">
        <v>742.56000000000006</v>
      </c>
      <c r="AI61" s="69">
        <v>742.56000000000006</v>
      </c>
    </row>
    <row r="62" spans="1:35" x14ac:dyDescent="0.35">
      <c r="A62" s="65" t="s">
        <v>385</v>
      </c>
      <c r="B62" s="65">
        <v>61</v>
      </c>
      <c r="C62" s="68">
        <v>175.35</v>
      </c>
      <c r="D62" s="69">
        <v>218.4</v>
      </c>
      <c r="E62" s="69">
        <v>249.9</v>
      </c>
      <c r="F62" s="69">
        <v>283.5</v>
      </c>
      <c r="G62" s="69">
        <v>297.15000000000003</v>
      </c>
      <c r="H62" s="69">
        <v>311.85000000000002</v>
      </c>
      <c r="I62" s="69">
        <v>338</v>
      </c>
      <c r="J62" s="69">
        <v>360.88</v>
      </c>
      <c r="K62" s="69">
        <v>370.24</v>
      </c>
      <c r="L62" s="69">
        <v>388.96000000000004</v>
      </c>
      <c r="M62" s="69">
        <v>409.76</v>
      </c>
      <c r="N62" s="69">
        <v>425.36</v>
      </c>
      <c r="O62" s="69">
        <v>443.04</v>
      </c>
      <c r="P62" s="69">
        <v>457.6</v>
      </c>
      <c r="Q62" s="69">
        <v>479.44</v>
      </c>
      <c r="R62" s="69">
        <v>511.68</v>
      </c>
      <c r="S62" s="69">
        <v>532.48</v>
      </c>
      <c r="T62" s="69">
        <v>555.36</v>
      </c>
      <c r="U62" s="69">
        <v>582.4</v>
      </c>
      <c r="V62" s="69">
        <v>609.44000000000005</v>
      </c>
      <c r="W62" s="69">
        <v>642.72</v>
      </c>
      <c r="X62" s="69">
        <v>678.08</v>
      </c>
      <c r="Y62" s="69">
        <v>709.28</v>
      </c>
      <c r="Z62" s="69">
        <v>740.48</v>
      </c>
      <c r="AA62" s="69">
        <v>785.2</v>
      </c>
      <c r="AB62" s="69">
        <v>816.4</v>
      </c>
      <c r="AC62" s="69">
        <v>845.52</v>
      </c>
      <c r="AD62" s="69">
        <v>882.96</v>
      </c>
      <c r="AE62" s="69">
        <v>903.76</v>
      </c>
      <c r="AF62" s="69">
        <v>928.72</v>
      </c>
      <c r="AG62" s="69">
        <v>942.24</v>
      </c>
      <c r="AH62" s="69">
        <v>942.24</v>
      </c>
      <c r="AI62" s="69">
        <v>942.24</v>
      </c>
    </row>
    <row r="63" spans="1:35" x14ac:dyDescent="0.35">
      <c r="A63" s="65" t="s">
        <v>386</v>
      </c>
      <c r="B63" s="65">
        <v>62</v>
      </c>
      <c r="C63" s="68">
        <v>161.70000000000002</v>
      </c>
      <c r="D63" s="69">
        <v>210</v>
      </c>
      <c r="E63" s="69">
        <v>240.45000000000002</v>
      </c>
      <c r="F63" s="69">
        <v>285.60000000000002</v>
      </c>
      <c r="G63" s="69">
        <v>299.25</v>
      </c>
      <c r="H63" s="69">
        <v>309.75</v>
      </c>
      <c r="I63" s="69">
        <v>338</v>
      </c>
      <c r="J63" s="69">
        <v>353.6</v>
      </c>
      <c r="K63" s="69">
        <v>376.48</v>
      </c>
      <c r="L63" s="69">
        <v>391.04</v>
      </c>
      <c r="M63" s="69">
        <v>408.72</v>
      </c>
      <c r="N63" s="69">
        <v>425.36</v>
      </c>
      <c r="O63" s="69">
        <v>444.08000000000004</v>
      </c>
      <c r="P63" s="69">
        <v>458.64000000000004</v>
      </c>
      <c r="Q63" s="69">
        <v>475.28000000000003</v>
      </c>
      <c r="R63" s="69">
        <v>496.08000000000004</v>
      </c>
      <c r="S63" s="69">
        <v>518.96</v>
      </c>
      <c r="T63" s="69">
        <v>547.04</v>
      </c>
      <c r="U63" s="69">
        <v>576.16</v>
      </c>
      <c r="V63" s="69">
        <v>601.12</v>
      </c>
      <c r="W63" s="69">
        <v>627.12</v>
      </c>
      <c r="X63" s="69">
        <v>658.32</v>
      </c>
      <c r="Y63" s="69">
        <v>685.36</v>
      </c>
      <c r="Z63" s="69">
        <v>709.28</v>
      </c>
      <c r="AA63" s="69">
        <v>739.44</v>
      </c>
      <c r="AB63" s="69">
        <v>769.6</v>
      </c>
      <c r="AC63" s="69">
        <v>791.44</v>
      </c>
      <c r="AD63" s="69">
        <v>825.76</v>
      </c>
      <c r="AE63" s="69">
        <v>854.88</v>
      </c>
      <c r="AF63" s="69">
        <v>876.72</v>
      </c>
      <c r="AG63" s="69">
        <v>889.2</v>
      </c>
      <c r="AH63" s="69">
        <v>889.2</v>
      </c>
      <c r="AI63" s="69">
        <v>889.2</v>
      </c>
    </row>
    <row r="64" spans="1:35" x14ac:dyDescent="0.35">
      <c r="A64" s="65" t="s">
        <v>387</v>
      </c>
      <c r="B64" s="65">
        <v>63</v>
      </c>
      <c r="C64" s="68">
        <v>101.85000000000001</v>
      </c>
      <c r="D64" s="69">
        <v>131.25</v>
      </c>
      <c r="E64" s="69">
        <v>153.30000000000001</v>
      </c>
      <c r="F64" s="69">
        <v>175.35</v>
      </c>
      <c r="G64" s="69">
        <v>180.6</v>
      </c>
      <c r="H64" s="69">
        <v>194.25</v>
      </c>
      <c r="I64" s="69">
        <v>210.08</v>
      </c>
      <c r="J64" s="69">
        <v>220.48000000000002</v>
      </c>
      <c r="K64" s="69">
        <v>229.84</v>
      </c>
      <c r="L64" s="69">
        <v>240.24</v>
      </c>
      <c r="M64" s="69">
        <v>242.32000000000002</v>
      </c>
      <c r="N64" s="69">
        <v>251.68</v>
      </c>
      <c r="O64" s="69">
        <v>257.92</v>
      </c>
      <c r="P64" s="69">
        <v>266.24</v>
      </c>
      <c r="Q64" s="69">
        <v>273.52</v>
      </c>
      <c r="R64" s="69">
        <v>276.64</v>
      </c>
      <c r="S64" s="69">
        <v>286</v>
      </c>
      <c r="T64" s="69">
        <v>295.36</v>
      </c>
      <c r="U64" s="69">
        <v>303.68</v>
      </c>
      <c r="V64" s="69">
        <v>305.76</v>
      </c>
      <c r="W64" s="69">
        <v>315.12</v>
      </c>
      <c r="X64" s="69">
        <v>327.60000000000002</v>
      </c>
      <c r="Y64" s="69">
        <v>334.88</v>
      </c>
      <c r="Z64" s="69">
        <v>339.04</v>
      </c>
      <c r="AA64" s="69">
        <v>349.44</v>
      </c>
      <c r="AB64" s="69">
        <v>358.8</v>
      </c>
      <c r="AC64" s="69">
        <v>368.16</v>
      </c>
      <c r="AD64" s="69">
        <v>384.8</v>
      </c>
      <c r="AE64" s="69">
        <v>391.04</v>
      </c>
      <c r="AF64" s="69">
        <v>406.64</v>
      </c>
      <c r="AG64" s="69">
        <v>424.32</v>
      </c>
      <c r="AH64" s="69">
        <v>424.32</v>
      </c>
      <c r="AI64" s="69">
        <v>424.32</v>
      </c>
    </row>
    <row r="65" spans="1:35" x14ac:dyDescent="0.35">
      <c r="A65" s="65" t="s">
        <v>388</v>
      </c>
      <c r="B65" s="65">
        <v>64</v>
      </c>
      <c r="C65" s="68">
        <v>208.95000000000002</v>
      </c>
      <c r="D65" s="69">
        <v>258.3</v>
      </c>
      <c r="E65" s="69">
        <v>310.8</v>
      </c>
      <c r="F65" s="69">
        <v>341.25</v>
      </c>
      <c r="G65" s="69">
        <v>365.40000000000003</v>
      </c>
      <c r="H65" s="69">
        <v>384.3</v>
      </c>
      <c r="I65" s="69">
        <v>416</v>
      </c>
      <c r="J65" s="69">
        <v>447.2</v>
      </c>
      <c r="K65" s="69">
        <v>476.32</v>
      </c>
      <c r="L65" s="69">
        <v>518.96</v>
      </c>
      <c r="M65" s="69">
        <v>540.80000000000007</v>
      </c>
      <c r="N65" s="69">
        <v>578.24</v>
      </c>
      <c r="O65" s="69">
        <v>587.6</v>
      </c>
      <c r="P65" s="69">
        <v>605.28</v>
      </c>
      <c r="Q65" s="69">
        <v>653.12</v>
      </c>
      <c r="R65" s="69">
        <v>681.2</v>
      </c>
      <c r="S65" s="69">
        <v>708.24</v>
      </c>
      <c r="T65" s="69">
        <v>732.16000000000008</v>
      </c>
      <c r="U65" s="69">
        <v>752.96</v>
      </c>
      <c r="V65" s="69">
        <v>764.4</v>
      </c>
      <c r="W65" s="69">
        <v>800.80000000000007</v>
      </c>
      <c r="X65" s="69">
        <v>818.48</v>
      </c>
      <c r="Y65" s="69">
        <v>854.88</v>
      </c>
      <c r="Z65" s="69">
        <v>893.36</v>
      </c>
      <c r="AA65" s="69">
        <v>924.56000000000006</v>
      </c>
      <c r="AB65" s="69">
        <v>968.24</v>
      </c>
      <c r="AC65" s="69">
        <v>1004.64</v>
      </c>
      <c r="AD65" s="69">
        <v>1047.28</v>
      </c>
      <c r="AE65" s="69">
        <v>1078.48</v>
      </c>
      <c r="AF65" s="69">
        <v>1128.4000000000001</v>
      </c>
      <c r="AG65" s="69">
        <v>1175.2</v>
      </c>
      <c r="AH65" s="69">
        <v>1175.2</v>
      </c>
      <c r="AI65" s="69">
        <v>1175.2</v>
      </c>
    </row>
    <row r="66" spans="1:35" x14ac:dyDescent="0.35">
      <c r="A66" s="65" t="s">
        <v>389</v>
      </c>
      <c r="B66" s="65">
        <v>65</v>
      </c>
      <c r="C66" s="68">
        <v>189</v>
      </c>
      <c r="D66" s="69">
        <v>216.3</v>
      </c>
      <c r="E66" s="69">
        <v>254.10000000000002</v>
      </c>
      <c r="F66" s="69">
        <v>275.10000000000002</v>
      </c>
      <c r="G66" s="69">
        <v>326.55</v>
      </c>
      <c r="H66" s="69">
        <v>353.85</v>
      </c>
      <c r="I66" s="69">
        <v>385.84000000000003</v>
      </c>
      <c r="J66" s="69">
        <v>419.12</v>
      </c>
      <c r="K66" s="69">
        <v>442</v>
      </c>
      <c r="L66" s="69">
        <v>468</v>
      </c>
      <c r="M66" s="69">
        <v>482.56</v>
      </c>
      <c r="N66" s="69">
        <v>502.32</v>
      </c>
      <c r="O66" s="69">
        <v>536.64</v>
      </c>
      <c r="P66" s="69">
        <v>574.08000000000004</v>
      </c>
      <c r="Q66" s="69">
        <v>608.4</v>
      </c>
      <c r="R66" s="69">
        <v>651.04000000000008</v>
      </c>
      <c r="S66" s="69">
        <v>684.32</v>
      </c>
      <c r="T66" s="69">
        <v>710.32</v>
      </c>
      <c r="U66" s="69">
        <v>744.64</v>
      </c>
      <c r="V66" s="69">
        <v>773.76</v>
      </c>
      <c r="W66" s="69">
        <v>808.08</v>
      </c>
      <c r="X66" s="69">
        <v>839.28</v>
      </c>
      <c r="Y66" s="69">
        <v>860.08</v>
      </c>
      <c r="Z66" s="69">
        <v>880.88</v>
      </c>
      <c r="AA66" s="69">
        <v>910</v>
      </c>
      <c r="AB66" s="69">
        <v>939.12</v>
      </c>
      <c r="AC66" s="69">
        <v>979.68000000000006</v>
      </c>
      <c r="AD66" s="69">
        <v>1022.32</v>
      </c>
      <c r="AE66" s="69">
        <v>1060.8</v>
      </c>
      <c r="AF66" s="69">
        <v>1111.76</v>
      </c>
      <c r="AG66" s="69">
        <v>1163.76</v>
      </c>
      <c r="AH66" s="69">
        <v>1163.76</v>
      </c>
      <c r="AI66" s="69">
        <v>1163.76</v>
      </c>
    </row>
    <row r="67" spans="1:35" x14ac:dyDescent="0.35">
      <c r="A67" s="65" t="s">
        <v>390</v>
      </c>
      <c r="B67" s="65">
        <v>66</v>
      </c>
      <c r="C67" s="68">
        <v>149.1</v>
      </c>
      <c r="D67" s="69">
        <v>169.05</v>
      </c>
      <c r="E67" s="69">
        <v>200.55</v>
      </c>
      <c r="F67" s="69">
        <v>227.85000000000002</v>
      </c>
      <c r="G67" s="69">
        <v>246.75</v>
      </c>
      <c r="H67" s="69">
        <v>260.40000000000003</v>
      </c>
      <c r="I67" s="69">
        <v>278.72000000000003</v>
      </c>
      <c r="J67" s="69">
        <v>299.52</v>
      </c>
      <c r="K67" s="69">
        <v>317.2</v>
      </c>
      <c r="L67" s="69">
        <v>331.76</v>
      </c>
      <c r="M67" s="69">
        <v>341.12</v>
      </c>
      <c r="N67" s="69">
        <v>350.48</v>
      </c>
      <c r="O67" s="69">
        <v>358.8</v>
      </c>
      <c r="P67" s="69">
        <v>391.04</v>
      </c>
      <c r="Q67" s="69">
        <v>411.84000000000003</v>
      </c>
      <c r="R67" s="69">
        <v>431.6</v>
      </c>
      <c r="S67" s="69">
        <v>456.56</v>
      </c>
      <c r="T67" s="69">
        <v>478.40000000000003</v>
      </c>
      <c r="U67" s="69">
        <v>501.28000000000003</v>
      </c>
      <c r="V67" s="69">
        <v>524.16</v>
      </c>
      <c r="W67" s="69">
        <v>549.12</v>
      </c>
      <c r="X67" s="69">
        <v>570.96</v>
      </c>
      <c r="Y67" s="69">
        <v>593.84</v>
      </c>
      <c r="Z67" s="69">
        <v>619.84</v>
      </c>
      <c r="AA67" s="69">
        <v>658.32</v>
      </c>
      <c r="AB67" s="69">
        <v>690.56000000000006</v>
      </c>
      <c r="AC67" s="69">
        <v>715.52</v>
      </c>
      <c r="AD67" s="69">
        <v>757.12</v>
      </c>
      <c r="AE67" s="69">
        <v>774.80000000000007</v>
      </c>
      <c r="AF67" s="69">
        <v>799.76</v>
      </c>
      <c r="AG67" s="69">
        <v>829.92000000000007</v>
      </c>
      <c r="AH67" s="69">
        <v>829.92000000000007</v>
      </c>
      <c r="AI67" s="69">
        <v>829.92000000000007</v>
      </c>
    </row>
    <row r="68" spans="1:35" x14ac:dyDescent="0.35">
      <c r="A68" s="65" t="s">
        <v>391</v>
      </c>
      <c r="B68" s="65">
        <v>67</v>
      </c>
      <c r="C68" s="68">
        <v>138.6</v>
      </c>
      <c r="D68" s="69">
        <v>179.55</v>
      </c>
      <c r="E68" s="69">
        <v>225.75</v>
      </c>
      <c r="F68" s="69">
        <v>255.15</v>
      </c>
      <c r="G68" s="69">
        <v>284.55</v>
      </c>
      <c r="H68" s="69">
        <v>303.45</v>
      </c>
      <c r="I68" s="69">
        <v>326.56</v>
      </c>
      <c r="J68" s="69">
        <v>342.16</v>
      </c>
      <c r="K68" s="69">
        <v>352.56</v>
      </c>
      <c r="L68" s="69">
        <v>362.96000000000004</v>
      </c>
      <c r="M68" s="69">
        <v>375.44</v>
      </c>
      <c r="N68" s="69">
        <v>385.84000000000003</v>
      </c>
      <c r="O68" s="69">
        <v>397.28000000000003</v>
      </c>
      <c r="P68" s="69">
        <v>408.72</v>
      </c>
      <c r="Q68" s="69">
        <v>419.12</v>
      </c>
      <c r="R68" s="69">
        <v>432.64</v>
      </c>
      <c r="S68" s="69">
        <v>449.28000000000003</v>
      </c>
      <c r="T68" s="69">
        <v>465.92</v>
      </c>
      <c r="U68" s="69">
        <v>484.64000000000004</v>
      </c>
      <c r="V68" s="69">
        <v>492.96000000000004</v>
      </c>
      <c r="W68" s="69">
        <v>515.84</v>
      </c>
      <c r="X68" s="69">
        <v>538.72</v>
      </c>
      <c r="Y68" s="69">
        <v>556.4</v>
      </c>
      <c r="Z68" s="69">
        <v>573.04</v>
      </c>
      <c r="AA68" s="69">
        <v>594.88</v>
      </c>
      <c r="AB68" s="69">
        <v>613.6</v>
      </c>
      <c r="AC68" s="69">
        <v>621.92000000000007</v>
      </c>
      <c r="AD68" s="69">
        <v>643.76</v>
      </c>
      <c r="AE68" s="69">
        <v>659.36</v>
      </c>
      <c r="AF68" s="69">
        <v>671.84</v>
      </c>
      <c r="AG68" s="69">
        <v>682.24</v>
      </c>
      <c r="AH68" s="69">
        <v>682.24</v>
      </c>
      <c r="AI68" s="69">
        <v>682.24</v>
      </c>
    </row>
    <row r="69" spans="1:35" x14ac:dyDescent="0.35">
      <c r="A69" s="65" t="s">
        <v>392</v>
      </c>
      <c r="B69" s="65">
        <v>68</v>
      </c>
      <c r="C69" s="68">
        <v>133.35</v>
      </c>
      <c r="D69" s="69">
        <v>169.05</v>
      </c>
      <c r="E69" s="69">
        <v>196.35</v>
      </c>
      <c r="F69" s="69">
        <v>231</v>
      </c>
      <c r="G69" s="69">
        <v>249.9</v>
      </c>
      <c r="H69" s="69">
        <v>262.5</v>
      </c>
      <c r="I69" s="69">
        <v>287.04000000000002</v>
      </c>
      <c r="J69" s="69">
        <v>300.56</v>
      </c>
      <c r="K69" s="69">
        <v>309.92</v>
      </c>
      <c r="L69" s="69">
        <v>328.64</v>
      </c>
      <c r="M69" s="69">
        <v>341.12</v>
      </c>
      <c r="N69" s="69">
        <v>353.6</v>
      </c>
      <c r="O69" s="69">
        <v>365.04</v>
      </c>
      <c r="P69" s="69">
        <v>380.64</v>
      </c>
      <c r="Q69" s="69">
        <v>388.96000000000004</v>
      </c>
      <c r="R69" s="69">
        <v>402.48</v>
      </c>
      <c r="S69" s="69">
        <v>419.12</v>
      </c>
      <c r="T69" s="69">
        <v>432.64</v>
      </c>
      <c r="U69" s="69">
        <v>445.12</v>
      </c>
      <c r="V69" s="69">
        <v>463.84000000000003</v>
      </c>
      <c r="W69" s="69">
        <v>476.32</v>
      </c>
      <c r="X69" s="69">
        <v>491.92</v>
      </c>
      <c r="Y69" s="69">
        <v>504.40000000000003</v>
      </c>
      <c r="Z69" s="69">
        <v>529.36</v>
      </c>
      <c r="AA69" s="69">
        <v>543.92000000000007</v>
      </c>
      <c r="AB69" s="69">
        <v>556.4</v>
      </c>
      <c r="AC69" s="69">
        <v>581.36</v>
      </c>
      <c r="AD69" s="69">
        <v>604.24</v>
      </c>
      <c r="AE69" s="69">
        <v>612.56000000000006</v>
      </c>
      <c r="AF69" s="69">
        <v>631.28</v>
      </c>
      <c r="AG69" s="69">
        <v>640.64</v>
      </c>
      <c r="AH69" s="69">
        <v>640.64</v>
      </c>
      <c r="AI69" s="69">
        <v>640.64</v>
      </c>
    </row>
    <row r="70" spans="1:35" x14ac:dyDescent="0.35">
      <c r="A70" s="65" t="s">
        <v>393</v>
      </c>
      <c r="B70" s="65">
        <v>69</v>
      </c>
      <c r="C70" s="68">
        <v>64.05</v>
      </c>
      <c r="D70" s="69">
        <v>82.95</v>
      </c>
      <c r="E70" s="69">
        <v>98.7</v>
      </c>
      <c r="F70" s="69">
        <v>111.30000000000001</v>
      </c>
      <c r="G70" s="69">
        <v>118.65</v>
      </c>
      <c r="H70" s="69">
        <v>123.9</v>
      </c>
      <c r="I70" s="69">
        <v>132.08000000000001</v>
      </c>
      <c r="J70" s="69">
        <v>137.28</v>
      </c>
      <c r="K70" s="69">
        <v>141.44</v>
      </c>
      <c r="L70" s="69">
        <v>149.76</v>
      </c>
      <c r="M70" s="69">
        <v>157.04</v>
      </c>
      <c r="N70" s="69">
        <v>163.28</v>
      </c>
      <c r="O70" s="69">
        <v>171.6</v>
      </c>
      <c r="P70" s="69">
        <v>178.88</v>
      </c>
      <c r="Q70" s="69">
        <v>185.12</v>
      </c>
      <c r="R70" s="69">
        <v>193.44</v>
      </c>
      <c r="S70" s="69">
        <v>202.8</v>
      </c>
      <c r="T70" s="69">
        <v>210.08</v>
      </c>
      <c r="U70" s="69">
        <v>217.36</v>
      </c>
      <c r="V70" s="69">
        <v>221.52</v>
      </c>
      <c r="W70" s="69">
        <v>228.8</v>
      </c>
      <c r="X70" s="69">
        <v>236.08</v>
      </c>
      <c r="Y70" s="69">
        <v>241.28</v>
      </c>
      <c r="Z70" s="69">
        <v>248.56</v>
      </c>
      <c r="AA70" s="69">
        <v>255.84</v>
      </c>
      <c r="AB70" s="69">
        <v>258.96000000000004</v>
      </c>
      <c r="AC70" s="69">
        <v>262.08</v>
      </c>
      <c r="AD70" s="69">
        <v>265.2</v>
      </c>
      <c r="AE70" s="69">
        <v>266.24</v>
      </c>
      <c r="AF70" s="69">
        <v>271.44</v>
      </c>
      <c r="AG70" s="69">
        <v>274.56</v>
      </c>
      <c r="AH70" s="69">
        <v>274.56</v>
      </c>
      <c r="AI70" s="69">
        <v>274.56</v>
      </c>
    </row>
    <row r="71" spans="1:35" x14ac:dyDescent="0.35">
      <c r="A71" s="65" t="s">
        <v>394</v>
      </c>
      <c r="B71" s="65">
        <v>70</v>
      </c>
      <c r="C71" s="68">
        <v>118.65</v>
      </c>
      <c r="D71" s="69">
        <v>147</v>
      </c>
      <c r="E71" s="69">
        <v>169.05</v>
      </c>
      <c r="F71" s="69">
        <v>197.4</v>
      </c>
      <c r="G71" s="69">
        <v>221.55</v>
      </c>
      <c r="H71" s="69">
        <v>226.8</v>
      </c>
      <c r="I71" s="69">
        <v>247.52</v>
      </c>
      <c r="J71" s="69">
        <v>258.96000000000004</v>
      </c>
      <c r="K71" s="69">
        <v>270.40000000000003</v>
      </c>
      <c r="L71" s="69">
        <v>281.84000000000003</v>
      </c>
      <c r="M71" s="69">
        <v>294.32</v>
      </c>
      <c r="N71" s="69">
        <v>308.88</v>
      </c>
      <c r="O71" s="69">
        <v>318.24</v>
      </c>
      <c r="P71" s="69">
        <v>324.48</v>
      </c>
      <c r="Q71" s="69">
        <v>340.08</v>
      </c>
      <c r="R71" s="69">
        <v>349.44</v>
      </c>
      <c r="S71" s="69">
        <v>358.8</v>
      </c>
      <c r="T71" s="69">
        <v>375.44</v>
      </c>
      <c r="U71" s="69">
        <v>384.8</v>
      </c>
      <c r="V71" s="69">
        <v>398.32</v>
      </c>
      <c r="W71" s="69">
        <v>409.76</v>
      </c>
      <c r="X71" s="69">
        <v>422.24</v>
      </c>
      <c r="Y71" s="69">
        <v>432.64</v>
      </c>
      <c r="Z71" s="69">
        <v>444.08000000000004</v>
      </c>
      <c r="AA71" s="69">
        <v>457.6</v>
      </c>
      <c r="AB71" s="69">
        <v>470.08000000000004</v>
      </c>
      <c r="AC71" s="69">
        <v>486.72</v>
      </c>
      <c r="AD71" s="69">
        <v>511.68</v>
      </c>
      <c r="AE71" s="69">
        <v>533.52</v>
      </c>
      <c r="AF71" s="69">
        <v>548.08000000000004</v>
      </c>
      <c r="AG71" s="69">
        <v>556.4</v>
      </c>
      <c r="AH71" s="69">
        <v>556.4</v>
      </c>
      <c r="AI71" s="69">
        <v>556.4</v>
      </c>
    </row>
    <row r="72" spans="1:35" x14ac:dyDescent="0.35">
      <c r="A72" s="65" t="s">
        <v>395</v>
      </c>
      <c r="B72" s="65">
        <v>71</v>
      </c>
      <c r="C72" s="68">
        <v>90.3</v>
      </c>
      <c r="D72" s="69">
        <v>106.05000000000001</v>
      </c>
      <c r="E72" s="69">
        <v>128.1</v>
      </c>
      <c r="F72" s="69">
        <v>148.05000000000001</v>
      </c>
      <c r="G72" s="69">
        <v>164.85</v>
      </c>
      <c r="H72" s="69">
        <v>172.20000000000002</v>
      </c>
      <c r="I72" s="69">
        <v>175.76000000000002</v>
      </c>
      <c r="J72" s="69">
        <v>187.20000000000002</v>
      </c>
      <c r="K72" s="69">
        <v>192.4</v>
      </c>
      <c r="L72" s="69">
        <v>196.56</v>
      </c>
      <c r="M72" s="69">
        <v>202.8</v>
      </c>
      <c r="N72" s="69">
        <v>209.04000000000002</v>
      </c>
      <c r="O72" s="69">
        <v>218.4</v>
      </c>
      <c r="P72" s="69">
        <v>228.8</v>
      </c>
      <c r="Q72" s="69">
        <v>236.08</v>
      </c>
      <c r="R72" s="69">
        <v>244.4</v>
      </c>
      <c r="S72" s="69">
        <v>253.76000000000002</v>
      </c>
      <c r="T72" s="69">
        <v>261.04000000000002</v>
      </c>
      <c r="U72" s="69">
        <v>270.40000000000003</v>
      </c>
      <c r="V72" s="69">
        <v>273.52</v>
      </c>
      <c r="W72" s="69">
        <v>281.84000000000003</v>
      </c>
      <c r="X72" s="69">
        <v>288.08</v>
      </c>
      <c r="Y72" s="69">
        <v>290.16000000000003</v>
      </c>
      <c r="Z72" s="69">
        <v>301.60000000000002</v>
      </c>
      <c r="AA72" s="69">
        <v>306.8</v>
      </c>
      <c r="AB72" s="69">
        <v>316.16000000000003</v>
      </c>
      <c r="AC72" s="69">
        <v>326.56</v>
      </c>
      <c r="AD72" s="69">
        <v>335.92</v>
      </c>
      <c r="AE72" s="69">
        <v>341.12</v>
      </c>
      <c r="AF72" s="69">
        <v>349.44</v>
      </c>
      <c r="AG72" s="69">
        <v>358.8</v>
      </c>
      <c r="AH72" s="69">
        <v>358.8</v>
      </c>
      <c r="AI72" s="69">
        <v>358.8</v>
      </c>
    </row>
    <row r="73" spans="1:35" x14ac:dyDescent="0.35">
      <c r="A73" s="65" t="s">
        <v>396</v>
      </c>
      <c r="B73" s="65">
        <v>72</v>
      </c>
      <c r="C73" s="68">
        <v>161.70000000000002</v>
      </c>
      <c r="D73" s="69">
        <v>196.35</v>
      </c>
      <c r="E73" s="69">
        <v>226.8</v>
      </c>
      <c r="F73" s="69">
        <v>253.05</v>
      </c>
      <c r="G73" s="69">
        <v>277.2</v>
      </c>
      <c r="H73" s="69">
        <v>303.45</v>
      </c>
      <c r="I73" s="69">
        <v>332.8</v>
      </c>
      <c r="J73" s="69">
        <v>357.76</v>
      </c>
      <c r="K73" s="69">
        <v>384.8</v>
      </c>
      <c r="L73" s="69">
        <v>409.76</v>
      </c>
      <c r="M73" s="69">
        <v>436.8</v>
      </c>
      <c r="N73" s="69">
        <v>459.68</v>
      </c>
      <c r="O73" s="69">
        <v>476.32</v>
      </c>
      <c r="P73" s="69">
        <v>491.92</v>
      </c>
      <c r="Q73" s="69">
        <v>512.72</v>
      </c>
      <c r="R73" s="69">
        <v>535.6</v>
      </c>
      <c r="S73" s="69">
        <v>556.4</v>
      </c>
      <c r="T73" s="69">
        <v>569.92000000000007</v>
      </c>
      <c r="U73" s="69">
        <v>601.12</v>
      </c>
      <c r="V73" s="69">
        <v>616.72</v>
      </c>
      <c r="W73" s="69">
        <v>641.68000000000006</v>
      </c>
      <c r="X73" s="69">
        <v>666.64</v>
      </c>
      <c r="Y73" s="69">
        <v>685.36</v>
      </c>
      <c r="Z73" s="69">
        <v>705.12</v>
      </c>
      <c r="AA73" s="69">
        <v>732.16000000000008</v>
      </c>
      <c r="AB73" s="69">
        <v>754</v>
      </c>
      <c r="AC73" s="69">
        <v>773.76</v>
      </c>
      <c r="AD73" s="69">
        <v>812.24</v>
      </c>
      <c r="AE73" s="69">
        <v>829.92000000000007</v>
      </c>
      <c r="AF73" s="69">
        <v>869.44</v>
      </c>
      <c r="AG73" s="69">
        <v>903.76</v>
      </c>
      <c r="AH73" s="69">
        <v>910</v>
      </c>
      <c r="AI73" s="69">
        <v>910</v>
      </c>
    </row>
    <row r="74" spans="1:35" x14ac:dyDescent="0.35">
      <c r="A74" s="65" t="s">
        <v>397</v>
      </c>
      <c r="B74" s="65">
        <v>73</v>
      </c>
      <c r="C74" s="68">
        <v>118.65</v>
      </c>
      <c r="D74" s="69">
        <v>138.6</v>
      </c>
      <c r="E74" s="69">
        <v>162.75</v>
      </c>
      <c r="F74" s="69">
        <v>177.45000000000002</v>
      </c>
      <c r="G74" s="69">
        <v>182.70000000000002</v>
      </c>
      <c r="H74" s="69">
        <v>196.35</v>
      </c>
      <c r="I74" s="69">
        <v>201.76000000000002</v>
      </c>
      <c r="J74" s="69">
        <v>215.28</v>
      </c>
      <c r="K74" s="69">
        <v>217.36</v>
      </c>
      <c r="L74" s="69">
        <v>229.84</v>
      </c>
      <c r="M74" s="69">
        <v>232.96</v>
      </c>
      <c r="N74" s="69">
        <v>243.36</v>
      </c>
      <c r="O74" s="69">
        <v>253.76000000000002</v>
      </c>
      <c r="P74" s="69">
        <v>264.16000000000003</v>
      </c>
      <c r="Q74" s="69">
        <v>276.64</v>
      </c>
      <c r="R74" s="69">
        <v>287.04000000000002</v>
      </c>
      <c r="S74" s="69">
        <v>299.52</v>
      </c>
      <c r="T74" s="69">
        <v>306.8</v>
      </c>
      <c r="U74" s="69">
        <v>310.96000000000004</v>
      </c>
      <c r="V74" s="69">
        <v>317.2</v>
      </c>
      <c r="W74" s="69">
        <v>320.32</v>
      </c>
      <c r="X74" s="69">
        <v>330.72</v>
      </c>
      <c r="Y74" s="69">
        <v>335.92</v>
      </c>
      <c r="Z74" s="69">
        <v>345.28000000000003</v>
      </c>
      <c r="AA74" s="69">
        <v>354.64</v>
      </c>
      <c r="AB74" s="69">
        <v>361.92</v>
      </c>
      <c r="AC74" s="69">
        <v>375.44</v>
      </c>
      <c r="AD74" s="69">
        <v>386.88</v>
      </c>
      <c r="AE74" s="69">
        <v>391.04</v>
      </c>
      <c r="AF74" s="69">
        <v>407.68</v>
      </c>
      <c r="AG74" s="69">
        <v>425.36</v>
      </c>
      <c r="AH74" s="69">
        <v>425.36</v>
      </c>
      <c r="AI74" s="69">
        <v>425.36</v>
      </c>
    </row>
    <row r="75" spans="1:35" x14ac:dyDescent="0.35">
      <c r="A75" s="65" t="s">
        <v>398</v>
      </c>
      <c r="B75" s="65">
        <v>74</v>
      </c>
      <c r="C75" s="68">
        <v>112.35000000000001</v>
      </c>
      <c r="D75" s="69">
        <v>131.25</v>
      </c>
      <c r="E75" s="69">
        <v>152.25</v>
      </c>
      <c r="F75" s="69">
        <v>171.15</v>
      </c>
      <c r="G75" s="69">
        <v>186.9</v>
      </c>
      <c r="H75" s="69">
        <v>196.35</v>
      </c>
      <c r="I75" s="69">
        <v>210.08</v>
      </c>
      <c r="J75" s="69">
        <v>214.24</v>
      </c>
      <c r="K75" s="69">
        <v>224.64000000000001</v>
      </c>
      <c r="L75" s="69">
        <v>238.16</v>
      </c>
      <c r="M75" s="69">
        <v>239.20000000000002</v>
      </c>
      <c r="N75" s="69">
        <v>250.64000000000001</v>
      </c>
      <c r="O75" s="69">
        <v>257.92</v>
      </c>
      <c r="P75" s="69">
        <v>270.40000000000003</v>
      </c>
      <c r="Q75" s="69">
        <v>280.8</v>
      </c>
      <c r="R75" s="69">
        <v>288.08</v>
      </c>
      <c r="S75" s="69">
        <v>303.68</v>
      </c>
      <c r="T75" s="69">
        <v>316.16000000000003</v>
      </c>
      <c r="U75" s="69">
        <v>319.28000000000003</v>
      </c>
      <c r="V75" s="69">
        <v>322.40000000000003</v>
      </c>
      <c r="W75" s="69">
        <v>329.68</v>
      </c>
      <c r="X75" s="69">
        <v>335.92</v>
      </c>
      <c r="Y75" s="69">
        <v>346.32</v>
      </c>
      <c r="Z75" s="69">
        <v>353.6</v>
      </c>
      <c r="AA75" s="69">
        <v>361.92</v>
      </c>
      <c r="AB75" s="69">
        <v>370.24</v>
      </c>
      <c r="AC75" s="69">
        <v>381.68</v>
      </c>
      <c r="AD75" s="69">
        <v>397.28000000000003</v>
      </c>
      <c r="AE75" s="69">
        <v>403.52000000000004</v>
      </c>
      <c r="AF75" s="69">
        <v>420.16</v>
      </c>
      <c r="AG75" s="69">
        <v>440.96000000000004</v>
      </c>
      <c r="AH75" s="69">
        <v>440.96000000000004</v>
      </c>
      <c r="AI75" s="69">
        <v>440.96000000000004</v>
      </c>
    </row>
    <row r="76" spans="1:35" x14ac:dyDescent="0.35">
      <c r="A76" s="65" t="s">
        <v>399</v>
      </c>
      <c r="B76" s="65">
        <v>75</v>
      </c>
      <c r="C76" s="68">
        <v>135.45000000000002</v>
      </c>
      <c r="D76" s="69">
        <v>156.45000000000002</v>
      </c>
      <c r="E76" s="69">
        <v>171.15</v>
      </c>
      <c r="F76" s="69">
        <v>197.4</v>
      </c>
      <c r="G76" s="69">
        <v>217.35000000000002</v>
      </c>
      <c r="H76" s="69">
        <v>234.15</v>
      </c>
      <c r="I76" s="69">
        <v>251.68</v>
      </c>
      <c r="J76" s="69">
        <v>263.12</v>
      </c>
      <c r="K76" s="69">
        <v>274.56</v>
      </c>
      <c r="L76" s="69">
        <v>287.04000000000002</v>
      </c>
      <c r="M76" s="69">
        <v>300.56</v>
      </c>
      <c r="N76" s="69">
        <v>320.32</v>
      </c>
      <c r="O76" s="69">
        <v>333.84000000000003</v>
      </c>
      <c r="P76" s="69">
        <v>347.36</v>
      </c>
      <c r="Q76" s="69">
        <v>361.92</v>
      </c>
      <c r="R76" s="69">
        <v>385.84000000000003</v>
      </c>
      <c r="S76" s="69">
        <v>400.40000000000003</v>
      </c>
      <c r="T76" s="69">
        <v>420.16</v>
      </c>
      <c r="U76" s="69">
        <v>435.76</v>
      </c>
      <c r="V76" s="69">
        <v>455.52000000000004</v>
      </c>
      <c r="W76" s="69">
        <v>473.2</v>
      </c>
      <c r="X76" s="69">
        <v>498.16</v>
      </c>
      <c r="Y76" s="69">
        <v>515.84</v>
      </c>
      <c r="Z76" s="69">
        <v>536.64</v>
      </c>
      <c r="AA76" s="69">
        <v>551.20000000000005</v>
      </c>
      <c r="AB76" s="69">
        <v>575.12</v>
      </c>
      <c r="AC76" s="69">
        <v>603.20000000000005</v>
      </c>
      <c r="AD76" s="69">
        <v>632.32000000000005</v>
      </c>
      <c r="AE76" s="69">
        <v>654.16</v>
      </c>
      <c r="AF76" s="69">
        <v>686.4</v>
      </c>
      <c r="AG76" s="69">
        <v>715.52</v>
      </c>
      <c r="AH76" s="69">
        <v>715.52</v>
      </c>
      <c r="AI76" s="69">
        <v>715.52</v>
      </c>
    </row>
    <row r="77" spans="1:35" x14ac:dyDescent="0.35">
      <c r="A77" s="65" t="s">
        <v>400</v>
      </c>
      <c r="B77" s="65">
        <v>76</v>
      </c>
      <c r="C77" s="68">
        <v>173.25</v>
      </c>
      <c r="D77" s="69">
        <v>210</v>
      </c>
      <c r="E77" s="69">
        <v>227.85000000000002</v>
      </c>
      <c r="F77" s="69">
        <v>254.10000000000002</v>
      </c>
      <c r="G77" s="69">
        <v>280.35000000000002</v>
      </c>
      <c r="H77" s="69">
        <v>302.40000000000003</v>
      </c>
      <c r="I77" s="69">
        <v>326.56</v>
      </c>
      <c r="J77" s="69">
        <v>349.44</v>
      </c>
      <c r="K77" s="69">
        <v>362.96000000000004</v>
      </c>
      <c r="L77" s="69">
        <v>384.8</v>
      </c>
      <c r="M77" s="69">
        <v>402.48</v>
      </c>
      <c r="N77" s="69">
        <v>424.32</v>
      </c>
      <c r="O77" s="69">
        <v>454.48</v>
      </c>
      <c r="P77" s="69">
        <v>473.2</v>
      </c>
      <c r="Q77" s="69">
        <v>501.28000000000003</v>
      </c>
      <c r="R77" s="69">
        <v>532.48</v>
      </c>
      <c r="S77" s="69">
        <v>558.48</v>
      </c>
      <c r="T77" s="69">
        <v>585.52</v>
      </c>
      <c r="U77" s="69">
        <v>620.88</v>
      </c>
      <c r="V77" s="69">
        <v>644.80000000000007</v>
      </c>
      <c r="W77" s="69">
        <v>670.80000000000007</v>
      </c>
      <c r="X77" s="69">
        <v>695.76</v>
      </c>
      <c r="Y77" s="69">
        <v>724.88</v>
      </c>
      <c r="Z77" s="69">
        <v>751.92000000000007</v>
      </c>
      <c r="AA77" s="69">
        <v>797.68000000000006</v>
      </c>
      <c r="AB77" s="69">
        <v>835.12</v>
      </c>
      <c r="AC77" s="69">
        <v>869.44</v>
      </c>
      <c r="AD77" s="69">
        <v>913.12</v>
      </c>
      <c r="AE77" s="69">
        <v>945.36</v>
      </c>
      <c r="AF77" s="69">
        <v>972.4</v>
      </c>
      <c r="AG77" s="69">
        <v>985.92000000000007</v>
      </c>
      <c r="AH77" s="69">
        <v>985.92000000000007</v>
      </c>
      <c r="AI77" s="69">
        <v>985.92000000000007</v>
      </c>
    </row>
    <row r="78" spans="1:35" x14ac:dyDescent="0.35">
      <c r="A78" s="65" t="s">
        <v>401</v>
      </c>
      <c r="B78" s="65">
        <v>77</v>
      </c>
      <c r="C78" s="68">
        <v>135.45000000000002</v>
      </c>
      <c r="D78" s="69">
        <v>157.5</v>
      </c>
      <c r="E78" s="69">
        <v>173.25</v>
      </c>
      <c r="F78" s="69">
        <v>198.45000000000002</v>
      </c>
      <c r="G78" s="69">
        <v>217.35000000000002</v>
      </c>
      <c r="H78" s="69">
        <v>234.15</v>
      </c>
      <c r="I78" s="69">
        <v>252.72</v>
      </c>
      <c r="J78" s="69">
        <v>265.2</v>
      </c>
      <c r="K78" s="69">
        <v>278.72000000000003</v>
      </c>
      <c r="L78" s="69">
        <v>293.28000000000003</v>
      </c>
      <c r="M78" s="69">
        <v>306.8</v>
      </c>
      <c r="N78" s="69">
        <v>320.32</v>
      </c>
      <c r="O78" s="69">
        <v>334.88</v>
      </c>
      <c r="P78" s="69">
        <v>350.48</v>
      </c>
      <c r="Q78" s="69">
        <v>362.96000000000004</v>
      </c>
      <c r="R78" s="69">
        <v>390</v>
      </c>
      <c r="S78" s="69">
        <v>402.48</v>
      </c>
      <c r="T78" s="69">
        <v>424.32</v>
      </c>
      <c r="U78" s="69">
        <v>442</v>
      </c>
      <c r="V78" s="69">
        <v>460.72</v>
      </c>
      <c r="W78" s="69">
        <v>478.40000000000003</v>
      </c>
      <c r="X78" s="69">
        <v>504.40000000000003</v>
      </c>
      <c r="Y78" s="69">
        <v>522.08000000000004</v>
      </c>
      <c r="Z78" s="69">
        <v>541.84</v>
      </c>
      <c r="AA78" s="69">
        <v>556.4</v>
      </c>
      <c r="AB78" s="69">
        <v>582.4</v>
      </c>
      <c r="AC78" s="69">
        <v>612.56000000000006</v>
      </c>
      <c r="AD78" s="69">
        <v>640.64</v>
      </c>
      <c r="AE78" s="69">
        <v>663.52</v>
      </c>
      <c r="AF78" s="69">
        <v>685.36</v>
      </c>
      <c r="AG78" s="69">
        <v>697.84</v>
      </c>
      <c r="AH78" s="69">
        <v>697.84</v>
      </c>
      <c r="AI78" s="69">
        <v>697.84</v>
      </c>
    </row>
    <row r="79" spans="1:35" x14ac:dyDescent="0.35">
      <c r="A79" s="65" t="s">
        <v>402</v>
      </c>
      <c r="B79" s="65">
        <v>78</v>
      </c>
      <c r="C79" s="68">
        <v>137.55000000000001</v>
      </c>
      <c r="D79" s="69">
        <v>157.5</v>
      </c>
      <c r="E79" s="69">
        <v>173.25</v>
      </c>
      <c r="F79" s="69">
        <v>199.5</v>
      </c>
      <c r="G79" s="69">
        <v>219.45000000000002</v>
      </c>
      <c r="H79" s="69">
        <v>237.3</v>
      </c>
      <c r="I79" s="69">
        <v>254.8</v>
      </c>
      <c r="J79" s="69">
        <v>267.28000000000003</v>
      </c>
      <c r="K79" s="69">
        <v>278.72000000000003</v>
      </c>
      <c r="L79" s="69">
        <v>292.24</v>
      </c>
      <c r="M79" s="69">
        <v>305.76</v>
      </c>
      <c r="N79" s="69">
        <v>323.44</v>
      </c>
      <c r="O79" s="69">
        <v>339.04</v>
      </c>
      <c r="P79" s="69">
        <v>353.6</v>
      </c>
      <c r="Q79" s="69">
        <v>367.12</v>
      </c>
      <c r="R79" s="69">
        <v>391.04</v>
      </c>
      <c r="S79" s="69">
        <v>403.52000000000004</v>
      </c>
      <c r="T79" s="69">
        <v>424.32</v>
      </c>
      <c r="U79" s="69">
        <v>443.04</v>
      </c>
      <c r="V79" s="69">
        <v>461.76</v>
      </c>
      <c r="W79" s="69">
        <v>480.48</v>
      </c>
      <c r="X79" s="69">
        <v>505.44</v>
      </c>
      <c r="Y79" s="69">
        <v>524.16</v>
      </c>
      <c r="Z79" s="69">
        <v>543.92000000000007</v>
      </c>
      <c r="AA79" s="69">
        <v>558.48</v>
      </c>
      <c r="AB79" s="69">
        <v>583.44000000000005</v>
      </c>
      <c r="AC79" s="69">
        <v>612.56000000000006</v>
      </c>
      <c r="AD79" s="69">
        <v>640.64</v>
      </c>
      <c r="AE79" s="69">
        <v>663.52</v>
      </c>
      <c r="AF79" s="69">
        <v>686.4</v>
      </c>
      <c r="AG79" s="69">
        <v>697.84</v>
      </c>
      <c r="AH79" s="69">
        <v>697.84</v>
      </c>
      <c r="AI79" s="69">
        <v>697.84</v>
      </c>
    </row>
    <row r="80" spans="1:35" x14ac:dyDescent="0.35">
      <c r="A80" s="65" t="s">
        <v>403</v>
      </c>
      <c r="B80" s="65">
        <v>79</v>
      </c>
      <c r="C80" s="68">
        <v>154.35</v>
      </c>
      <c r="D80" s="69">
        <v>210</v>
      </c>
      <c r="E80" s="69">
        <v>241.5</v>
      </c>
      <c r="F80" s="69">
        <v>273</v>
      </c>
      <c r="G80" s="69">
        <v>284.55</v>
      </c>
      <c r="H80" s="69">
        <v>301.35000000000002</v>
      </c>
      <c r="I80" s="69">
        <v>331.76</v>
      </c>
      <c r="J80" s="69">
        <v>351.52000000000004</v>
      </c>
      <c r="K80" s="69">
        <v>365.04</v>
      </c>
      <c r="L80" s="69">
        <v>387.92</v>
      </c>
      <c r="M80" s="69">
        <v>393.12</v>
      </c>
      <c r="N80" s="69">
        <v>414.96000000000004</v>
      </c>
      <c r="O80" s="69">
        <v>436.8</v>
      </c>
      <c r="P80" s="69">
        <v>450.32</v>
      </c>
      <c r="Q80" s="69">
        <v>460.72</v>
      </c>
      <c r="R80" s="69">
        <v>484.64000000000004</v>
      </c>
      <c r="S80" s="69">
        <v>494</v>
      </c>
      <c r="T80" s="69">
        <v>511.68</v>
      </c>
      <c r="U80" s="69">
        <v>533.52</v>
      </c>
      <c r="V80" s="69">
        <v>567.84</v>
      </c>
      <c r="W80" s="69">
        <v>589.68000000000006</v>
      </c>
      <c r="X80" s="69">
        <v>618.80000000000007</v>
      </c>
      <c r="Y80" s="69">
        <v>642.72</v>
      </c>
      <c r="Z80" s="69">
        <v>661.44</v>
      </c>
      <c r="AA80" s="69">
        <v>682.24</v>
      </c>
      <c r="AB80" s="69">
        <v>698.88</v>
      </c>
      <c r="AC80" s="69">
        <v>719.68000000000006</v>
      </c>
      <c r="AD80" s="69">
        <v>755.04000000000008</v>
      </c>
      <c r="AE80" s="69">
        <v>766.48</v>
      </c>
      <c r="AF80" s="69">
        <v>788.32</v>
      </c>
      <c r="AG80" s="69">
        <v>800.80000000000007</v>
      </c>
      <c r="AH80" s="69">
        <v>800.80000000000007</v>
      </c>
      <c r="AI80" s="69">
        <v>800.80000000000007</v>
      </c>
    </row>
    <row r="81" spans="1:35" x14ac:dyDescent="0.35">
      <c r="A81" s="65" t="s">
        <v>404</v>
      </c>
      <c r="B81" s="65">
        <v>80</v>
      </c>
      <c r="C81" s="68">
        <v>150.15</v>
      </c>
      <c r="D81" s="69">
        <v>196.35</v>
      </c>
      <c r="E81" s="69">
        <v>222.60000000000002</v>
      </c>
      <c r="F81" s="69">
        <v>264.60000000000002</v>
      </c>
      <c r="G81" s="69">
        <v>277.2</v>
      </c>
      <c r="H81" s="69">
        <v>287.7</v>
      </c>
      <c r="I81" s="69">
        <v>313.04000000000002</v>
      </c>
      <c r="J81" s="69">
        <v>328.64</v>
      </c>
      <c r="K81" s="69">
        <v>349.44</v>
      </c>
      <c r="L81" s="69">
        <v>362.96000000000004</v>
      </c>
      <c r="M81" s="69">
        <v>379.6</v>
      </c>
      <c r="N81" s="69">
        <v>396.24</v>
      </c>
      <c r="O81" s="69">
        <v>411.84000000000003</v>
      </c>
      <c r="P81" s="69">
        <v>425.36</v>
      </c>
      <c r="Q81" s="69">
        <v>442</v>
      </c>
      <c r="R81" s="69">
        <v>460.72</v>
      </c>
      <c r="S81" s="69">
        <v>481.52000000000004</v>
      </c>
      <c r="T81" s="69">
        <v>506.48</v>
      </c>
      <c r="U81" s="69">
        <v>534.56000000000006</v>
      </c>
      <c r="V81" s="69">
        <v>557.44000000000005</v>
      </c>
      <c r="W81" s="69">
        <v>582.4</v>
      </c>
      <c r="X81" s="69">
        <v>609.44000000000005</v>
      </c>
      <c r="Y81" s="69">
        <v>636.48</v>
      </c>
      <c r="Z81" s="69">
        <v>659.36</v>
      </c>
      <c r="AA81" s="69">
        <v>685.36</v>
      </c>
      <c r="AB81" s="69">
        <v>713.44</v>
      </c>
      <c r="AC81" s="69">
        <v>734.24</v>
      </c>
      <c r="AD81" s="69">
        <v>765.44</v>
      </c>
      <c r="AE81" s="69">
        <v>792.48</v>
      </c>
      <c r="AF81" s="69">
        <v>812.24</v>
      </c>
      <c r="AG81" s="69">
        <v>824.72</v>
      </c>
      <c r="AH81" s="69">
        <v>824.72</v>
      </c>
      <c r="AI81" s="69">
        <v>824.72</v>
      </c>
    </row>
    <row r="82" spans="1:35" x14ac:dyDescent="0.35">
      <c r="A82" s="65" t="s">
        <v>405</v>
      </c>
      <c r="B82" s="65">
        <v>81</v>
      </c>
      <c r="C82" s="68">
        <v>171.15</v>
      </c>
      <c r="D82" s="69">
        <v>212.10000000000002</v>
      </c>
      <c r="E82" s="69">
        <v>245.70000000000002</v>
      </c>
      <c r="F82" s="69">
        <v>266.7</v>
      </c>
      <c r="G82" s="69">
        <v>300.3</v>
      </c>
      <c r="H82" s="69">
        <v>306.60000000000002</v>
      </c>
      <c r="I82" s="69">
        <v>328.64</v>
      </c>
      <c r="J82" s="69">
        <v>345.28000000000003</v>
      </c>
      <c r="K82" s="69">
        <v>364</v>
      </c>
      <c r="L82" s="69">
        <v>390</v>
      </c>
      <c r="M82" s="69">
        <v>408.72</v>
      </c>
      <c r="N82" s="69">
        <v>431.6</v>
      </c>
      <c r="O82" s="69">
        <v>455.52000000000004</v>
      </c>
      <c r="P82" s="69">
        <v>503.36</v>
      </c>
      <c r="Q82" s="69">
        <v>532.48</v>
      </c>
      <c r="R82" s="69">
        <v>555.36</v>
      </c>
      <c r="S82" s="69">
        <v>581.36</v>
      </c>
      <c r="T82" s="69">
        <v>596.96</v>
      </c>
      <c r="U82" s="69">
        <v>620.88</v>
      </c>
      <c r="V82" s="69">
        <v>638.56000000000006</v>
      </c>
      <c r="W82" s="69">
        <v>663.52</v>
      </c>
      <c r="X82" s="69">
        <v>683.28</v>
      </c>
      <c r="Y82" s="69">
        <v>702</v>
      </c>
      <c r="Z82" s="69">
        <v>726.96</v>
      </c>
      <c r="AA82" s="69">
        <v>752.96</v>
      </c>
      <c r="AB82" s="69">
        <v>790.4</v>
      </c>
      <c r="AC82" s="69">
        <v>825.76</v>
      </c>
      <c r="AD82" s="69">
        <v>885.04000000000008</v>
      </c>
      <c r="AE82" s="69">
        <v>911.04000000000008</v>
      </c>
      <c r="AF82" s="69">
        <v>956.80000000000007</v>
      </c>
      <c r="AG82" s="69">
        <v>985.92000000000007</v>
      </c>
      <c r="AH82" s="69">
        <v>985.92000000000007</v>
      </c>
      <c r="AI82" s="69">
        <v>985.92000000000007</v>
      </c>
    </row>
    <row r="83" spans="1:35" x14ac:dyDescent="0.35">
      <c r="A83" s="65" t="s">
        <v>406</v>
      </c>
      <c r="B83" s="65">
        <v>82</v>
      </c>
      <c r="C83" s="68">
        <v>173.25</v>
      </c>
      <c r="D83" s="69">
        <v>208.95000000000002</v>
      </c>
      <c r="E83" s="69">
        <v>245.70000000000002</v>
      </c>
      <c r="F83" s="69">
        <v>269.85000000000002</v>
      </c>
      <c r="G83" s="69">
        <v>303.45</v>
      </c>
      <c r="H83" s="69">
        <v>310.8</v>
      </c>
      <c r="I83" s="69">
        <v>334.88</v>
      </c>
      <c r="J83" s="69">
        <v>351.52000000000004</v>
      </c>
      <c r="K83" s="69">
        <v>366.08000000000004</v>
      </c>
      <c r="L83" s="69">
        <v>395.2</v>
      </c>
      <c r="M83" s="69">
        <v>413.92</v>
      </c>
      <c r="N83" s="69">
        <v>435.76</v>
      </c>
      <c r="O83" s="69">
        <v>460.72</v>
      </c>
      <c r="P83" s="69">
        <v>506.48</v>
      </c>
      <c r="Q83" s="69">
        <v>534.56000000000006</v>
      </c>
      <c r="R83" s="69">
        <v>559.52</v>
      </c>
      <c r="S83" s="69">
        <v>583.44000000000005</v>
      </c>
      <c r="T83" s="69">
        <v>599.04</v>
      </c>
      <c r="U83" s="69">
        <v>630.24</v>
      </c>
      <c r="V83" s="69">
        <v>641.68000000000006</v>
      </c>
      <c r="W83" s="69">
        <v>664.56000000000006</v>
      </c>
      <c r="X83" s="69">
        <v>685.36</v>
      </c>
      <c r="Y83" s="69">
        <v>706.16</v>
      </c>
      <c r="Z83" s="69">
        <v>726.96</v>
      </c>
      <c r="AA83" s="69">
        <v>754</v>
      </c>
      <c r="AB83" s="69">
        <v>793.52</v>
      </c>
      <c r="AC83" s="69">
        <v>825.76</v>
      </c>
      <c r="AD83" s="69">
        <v>888.16000000000008</v>
      </c>
      <c r="AE83" s="69">
        <v>912.08</v>
      </c>
      <c r="AF83" s="69">
        <v>956.80000000000007</v>
      </c>
      <c r="AG83" s="69">
        <v>985.92000000000007</v>
      </c>
      <c r="AH83" s="69">
        <v>985.92000000000007</v>
      </c>
      <c r="AI83" s="69">
        <v>985.92000000000007</v>
      </c>
    </row>
    <row r="84" spans="1:35" x14ac:dyDescent="0.35">
      <c r="A84" s="65" t="s">
        <v>407</v>
      </c>
      <c r="B84" s="65">
        <v>83</v>
      </c>
      <c r="C84" s="68">
        <v>138.6</v>
      </c>
      <c r="D84" s="69">
        <v>160.65</v>
      </c>
      <c r="E84" s="69">
        <v>195.3</v>
      </c>
      <c r="F84" s="69">
        <v>227.85000000000002</v>
      </c>
      <c r="G84" s="69">
        <v>257.25</v>
      </c>
      <c r="H84" s="69">
        <v>285.60000000000002</v>
      </c>
      <c r="I84" s="69">
        <v>306.8</v>
      </c>
      <c r="J84" s="69">
        <v>327.60000000000002</v>
      </c>
      <c r="K84" s="69">
        <v>351.52000000000004</v>
      </c>
      <c r="L84" s="69">
        <v>367.12</v>
      </c>
      <c r="M84" s="69">
        <v>380.64</v>
      </c>
      <c r="N84" s="69">
        <v>396.24</v>
      </c>
      <c r="O84" s="69">
        <v>402.48</v>
      </c>
      <c r="P84" s="69">
        <v>414.96000000000004</v>
      </c>
      <c r="Q84" s="69">
        <v>436.8</v>
      </c>
      <c r="R84" s="69">
        <v>450.32</v>
      </c>
      <c r="S84" s="69">
        <v>464.88</v>
      </c>
      <c r="T84" s="69">
        <v>480.48</v>
      </c>
      <c r="U84" s="69">
        <v>489.84000000000003</v>
      </c>
      <c r="V84" s="69">
        <v>506.48</v>
      </c>
      <c r="W84" s="69">
        <v>526.24</v>
      </c>
      <c r="X84" s="69">
        <v>544.96</v>
      </c>
      <c r="Y84" s="69">
        <v>566.80000000000007</v>
      </c>
      <c r="Z84" s="69">
        <v>584.48</v>
      </c>
      <c r="AA84" s="69">
        <v>613.6</v>
      </c>
      <c r="AB84" s="69">
        <v>638.56000000000006</v>
      </c>
      <c r="AC84" s="69">
        <v>652.08000000000004</v>
      </c>
      <c r="AD84" s="69">
        <v>682.24</v>
      </c>
      <c r="AE84" s="69">
        <v>696.80000000000007</v>
      </c>
      <c r="AF84" s="69">
        <v>738.4</v>
      </c>
      <c r="AG84" s="69">
        <v>769.6</v>
      </c>
      <c r="AH84" s="69">
        <v>769.6</v>
      </c>
      <c r="AI84" s="69">
        <v>769.6</v>
      </c>
    </row>
    <row r="85" spans="1:35" x14ac:dyDescent="0.35">
      <c r="A85" s="65" t="s">
        <v>408</v>
      </c>
      <c r="B85" s="65">
        <v>84</v>
      </c>
      <c r="C85" s="68">
        <v>126</v>
      </c>
      <c r="D85" s="69">
        <v>154.35</v>
      </c>
      <c r="E85" s="69">
        <v>179.55</v>
      </c>
      <c r="F85" s="69">
        <v>205.8</v>
      </c>
      <c r="G85" s="69">
        <v>221.55</v>
      </c>
      <c r="H85" s="69">
        <v>232.05</v>
      </c>
      <c r="I85" s="69">
        <v>250.64000000000001</v>
      </c>
      <c r="J85" s="69">
        <v>261.04000000000002</v>
      </c>
      <c r="K85" s="69">
        <v>274.56</v>
      </c>
      <c r="L85" s="69">
        <v>288.08</v>
      </c>
      <c r="M85" s="69">
        <v>305.76</v>
      </c>
      <c r="N85" s="69">
        <v>320.32</v>
      </c>
      <c r="O85" s="69">
        <v>330.72</v>
      </c>
      <c r="P85" s="69">
        <v>341.12</v>
      </c>
      <c r="Q85" s="69">
        <v>347.36</v>
      </c>
      <c r="R85" s="69">
        <v>365.04</v>
      </c>
      <c r="S85" s="69">
        <v>377.52000000000004</v>
      </c>
      <c r="T85" s="69">
        <v>386.88</v>
      </c>
      <c r="U85" s="69">
        <v>390</v>
      </c>
      <c r="V85" s="69">
        <v>402.48</v>
      </c>
      <c r="W85" s="69">
        <v>413.92</v>
      </c>
      <c r="X85" s="69">
        <v>424.32</v>
      </c>
      <c r="Y85" s="69">
        <v>437.84000000000003</v>
      </c>
      <c r="Z85" s="69">
        <v>448.24</v>
      </c>
      <c r="AA85" s="69">
        <v>464.88</v>
      </c>
      <c r="AB85" s="69">
        <v>481.52000000000004</v>
      </c>
      <c r="AC85" s="69">
        <v>496.08000000000004</v>
      </c>
      <c r="AD85" s="69">
        <v>518.96</v>
      </c>
      <c r="AE85" s="69">
        <v>534.56000000000006</v>
      </c>
      <c r="AF85" s="69">
        <v>559.52</v>
      </c>
      <c r="AG85" s="69">
        <v>586.56000000000006</v>
      </c>
      <c r="AH85" s="69">
        <v>586.56000000000006</v>
      </c>
      <c r="AI85" s="69">
        <v>586.56000000000006</v>
      </c>
    </row>
    <row r="86" spans="1:35" x14ac:dyDescent="0.35">
      <c r="A86" s="65" t="s">
        <v>409</v>
      </c>
      <c r="B86" s="65">
        <v>85</v>
      </c>
      <c r="C86" s="68">
        <v>171.15</v>
      </c>
      <c r="D86" s="69">
        <v>200.55</v>
      </c>
      <c r="E86" s="69">
        <v>222.60000000000002</v>
      </c>
      <c r="F86" s="69">
        <v>248.85000000000002</v>
      </c>
      <c r="G86" s="69">
        <v>271.95</v>
      </c>
      <c r="H86" s="69">
        <v>289.8</v>
      </c>
      <c r="I86" s="69">
        <v>316.16000000000003</v>
      </c>
      <c r="J86" s="69">
        <v>339.04</v>
      </c>
      <c r="K86" s="69">
        <v>361.92</v>
      </c>
      <c r="L86" s="69">
        <v>384.8</v>
      </c>
      <c r="M86" s="69">
        <v>409.76</v>
      </c>
      <c r="N86" s="69">
        <v>433.68</v>
      </c>
      <c r="O86" s="69">
        <v>454.48</v>
      </c>
      <c r="P86" s="69">
        <v>466.96000000000004</v>
      </c>
      <c r="Q86" s="69">
        <v>481.52000000000004</v>
      </c>
      <c r="R86" s="69">
        <v>499.20000000000005</v>
      </c>
      <c r="S86" s="69">
        <v>515.84</v>
      </c>
      <c r="T86" s="69">
        <v>534.56000000000006</v>
      </c>
      <c r="U86" s="69">
        <v>561.6</v>
      </c>
      <c r="V86" s="69">
        <v>592.80000000000007</v>
      </c>
      <c r="W86" s="69">
        <v>628.16</v>
      </c>
      <c r="X86" s="69">
        <v>663.52</v>
      </c>
      <c r="Y86" s="69">
        <v>700.96</v>
      </c>
      <c r="Z86" s="69">
        <v>730.08</v>
      </c>
      <c r="AA86" s="69">
        <v>755.04000000000008</v>
      </c>
      <c r="AB86" s="69">
        <v>782.08</v>
      </c>
      <c r="AC86" s="69">
        <v>807.04000000000008</v>
      </c>
      <c r="AD86" s="69">
        <v>835.12</v>
      </c>
      <c r="AE86" s="69">
        <v>850.72</v>
      </c>
      <c r="AF86" s="69">
        <v>895.44</v>
      </c>
      <c r="AG86" s="69">
        <v>942.24</v>
      </c>
      <c r="AH86" s="69">
        <v>942.24</v>
      </c>
      <c r="AI86" s="69">
        <v>942.24</v>
      </c>
    </row>
    <row r="87" spans="1:35" x14ac:dyDescent="0.35">
      <c r="A87" s="65" t="s">
        <v>410</v>
      </c>
      <c r="B87" s="65">
        <v>86</v>
      </c>
      <c r="C87" s="68">
        <v>150.15</v>
      </c>
      <c r="D87" s="69">
        <v>182.70000000000002</v>
      </c>
      <c r="E87" s="69">
        <v>233.10000000000002</v>
      </c>
      <c r="F87" s="69">
        <v>255.15</v>
      </c>
      <c r="G87" s="69">
        <v>266.7</v>
      </c>
      <c r="H87" s="69">
        <v>289.8</v>
      </c>
      <c r="I87" s="69">
        <v>309.92</v>
      </c>
      <c r="J87" s="69">
        <v>333.84000000000003</v>
      </c>
      <c r="K87" s="69">
        <v>355.68</v>
      </c>
      <c r="L87" s="69">
        <v>369.2</v>
      </c>
      <c r="M87" s="69">
        <v>388.96000000000004</v>
      </c>
      <c r="N87" s="69">
        <v>402.48</v>
      </c>
      <c r="O87" s="69">
        <v>411.84000000000003</v>
      </c>
      <c r="P87" s="69">
        <v>424.32</v>
      </c>
      <c r="Q87" s="69">
        <v>453.44</v>
      </c>
      <c r="R87" s="69">
        <v>468</v>
      </c>
      <c r="S87" s="69">
        <v>483.6</v>
      </c>
      <c r="T87" s="69">
        <v>502.32</v>
      </c>
      <c r="U87" s="69">
        <v>511.68</v>
      </c>
      <c r="V87" s="69">
        <v>528.32000000000005</v>
      </c>
      <c r="W87" s="69">
        <v>549.12</v>
      </c>
      <c r="X87" s="69">
        <v>572</v>
      </c>
      <c r="Y87" s="69">
        <v>596.96</v>
      </c>
      <c r="Z87" s="69">
        <v>620.88</v>
      </c>
      <c r="AA87" s="69">
        <v>650</v>
      </c>
      <c r="AB87" s="69">
        <v>674.96</v>
      </c>
      <c r="AC87" s="69">
        <v>710.32</v>
      </c>
      <c r="AD87" s="69">
        <v>745.68000000000006</v>
      </c>
      <c r="AE87" s="69">
        <v>769.6</v>
      </c>
      <c r="AF87" s="69">
        <v>802.88</v>
      </c>
      <c r="AG87" s="69">
        <v>832</v>
      </c>
      <c r="AH87" s="69">
        <v>832</v>
      </c>
      <c r="AI87" s="69">
        <v>832</v>
      </c>
    </row>
    <row r="88" spans="1:35" x14ac:dyDescent="0.35">
      <c r="A88" s="65" t="s">
        <v>411</v>
      </c>
      <c r="B88" s="65">
        <v>87</v>
      </c>
      <c r="C88" s="68">
        <v>119.7</v>
      </c>
      <c r="D88" s="69">
        <v>149.1</v>
      </c>
      <c r="E88" s="69">
        <v>179.55</v>
      </c>
      <c r="F88" s="69">
        <v>195.3</v>
      </c>
      <c r="G88" s="69">
        <v>210</v>
      </c>
      <c r="H88" s="69">
        <v>221.55</v>
      </c>
      <c r="I88" s="69">
        <v>240.24</v>
      </c>
      <c r="J88" s="69">
        <v>257.92</v>
      </c>
      <c r="K88" s="69">
        <v>273.52</v>
      </c>
      <c r="L88" s="69">
        <v>298.48</v>
      </c>
      <c r="M88" s="69">
        <v>310.96000000000004</v>
      </c>
      <c r="N88" s="69">
        <v>332.8</v>
      </c>
      <c r="O88" s="69">
        <v>338</v>
      </c>
      <c r="P88" s="69">
        <v>349.44</v>
      </c>
      <c r="Q88" s="69">
        <v>376.48</v>
      </c>
      <c r="R88" s="69">
        <v>391.04</v>
      </c>
      <c r="S88" s="69">
        <v>407.68</v>
      </c>
      <c r="T88" s="69">
        <v>422.24</v>
      </c>
      <c r="U88" s="69">
        <v>433.68</v>
      </c>
      <c r="V88" s="69">
        <v>440.96000000000004</v>
      </c>
      <c r="W88" s="69">
        <v>460.72</v>
      </c>
      <c r="X88" s="69">
        <v>470.08000000000004</v>
      </c>
      <c r="Y88" s="69">
        <v>490.88</v>
      </c>
      <c r="Z88" s="69">
        <v>513.76</v>
      </c>
      <c r="AA88" s="69">
        <v>533.52</v>
      </c>
      <c r="AB88" s="69">
        <v>557.44000000000005</v>
      </c>
      <c r="AC88" s="69">
        <v>578.24</v>
      </c>
      <c r="AD88" s="69">
        <v>603.20000000000005</v>
      </c>
      <c r="AE88" s="69">
        <v>619.84</v>
      </c>
      <c r="AF88" s="69">
        <v>648.96</v>
      </c>
      <c r="AG88" s="69">
        <v>676</v>
      </c>
      <c r="AH88" s="69">
        <v>676</v>
      </c>
      <c r="AI88" s="69">
        <v>676</v>
      </c>
    </row>
    <row r="89" spans="1:35" x14ac:dyDescent="0.35">
      <c r="A89" s="65" t="s">
        <v>412</v>
      </c>
      <c r="B89" s="65">
        <v>88</v>
      </c>
      <c r="C89" s="68">
        <v>134.4</v>
      </c>
      <c r="D89" s="69">
        <v>169.05</v>
      </c>
      <c r="E89" s="69">
        <v>204.75</v>
      </c>
      <c r="F89" s="69">
        <v>228.9</v>
      </c>
      <c r="G89" s="69">
        <v>266.7</v>
      </c>
      <c r="H89" s="69">
        <v>281.40000000000003</v>
      </c>
      <c r="I89" s="69">
        <v>298.48</v>
      </c>
      <c r="J89" s="69">
        <v>310.96000000000004</v>
      </c>
      <c r="K89" s="69">
        <v>320.32</v>
      </c>
      <c r="L89" s="69">
        <v>329.68</v>
      </c>
      <c r="M89" s="69">
        <v>341.12</v>
      </c>
      <c r="N89" s="69">
        <v>351.52000000000004</v>
      </c>
      <c r="O89" s="69">
        <v>362.96000000000004</v>
      </c>
      <c r="P89" s="69">
        <v>374.40000000000003</v>
      </c>
      <c r="Q89" s="69">
        <v>381.68</v>
      </c>
      <c r="R89" s="69">
        <v>400.40000000000003</v>
      </c>
      <c r="S89" s="69">
        <v>411.84000000000003</v>
      </c>
      <c r="T89" s="69">
        <v>424.32</v>
      </c>
      <c r="U89" s="69">
        <v>443.04</v>
      </c>
      <c r="V89" s="69">
        <v>455.52000000000004</v>
      </c>
      <c r="W89" s="69">
        <v>466.96000000000004</v>
      </c>
      <c r="X89" s="69">
        <v>492.96000000000004</v>
      </c>
      <c r="Y89" s="69">
        <v>505.44</v>
      </c>
      <c r="Z89" s="69">
        <v>524.16</v>
      </c>
      <c r="AA89" s="69">
        <v>543.92000000000007</v>
      </c>
      <c r="AB89" s="69">
        <v>557.44000000000005</v>
      </c>
      <c r="AC89" s="69">
        <v>572</v>
      </c>
      <c r="AD89" s="69">
        <v>591.76</v>
      </c>
      <c r="AE89" s="69">
        <v>603.20000000000005</v>
      </c>
      <c r="AF89" s="69">
        <v>614.64</v>
      </c>
      <c r="AG89" s="69">
        <v>625.04000000000008</v>
      </c>
      <c r="AH89" s="69">
        <v>625.04000000000008</v>
      </c>
      <c r="AI89" s="69">
        <v>625.04000000000008</v>
      </c>
    </row>
    <row r="90" spans="1:35" x14ac:dyDescent="0.35">
      <c r="A90" s="65" t="s">
        <v>413</v>
      </c>
      <c r="B90" s="65">
        <v>89</v>
      </c>
      <c r="C90" s="68">
        <v>147</v>
      </c>
      <c r="D90" s="69">
        <v>185.85</v>
      </c>
      <c r="E90" s="69">
        <v>206.85000000000002</v>
      </c>
      <c r="F90" s="69">
        <v>233.10000000000002</v>
      </c>
      <c r="G90" s="69">
        <v>242.55</v>
      </c>
      <c r="H90" s="69">
        <v>257.25</v>
      </c>
      <c r="I90" s="69">
        <v>266.24</v>
      </c>
      <c r="J90" s="69">
        <v>281.84000000000003</v>
      </c>
      <c r="K90" s="69">
        <v>294.32</v>
      </c>
      <c r="L90" s="69">
        <v>308.88</v>
      </c>
      <c r="M90" s="69">
        <v>317.2</v>
      </c>
      <c r="N90" s="69">
        <v>334.88</v>
      </c>
      <c r="O90" s="69">
        <v>357.76</v>
      </c>
      <c r="P90" s="69">
        <v>370.24</v>
      </c>
      <c r="Q90" s="69">
        <v>388.96000000000004</v>
      </c>
      <c r="R90" s="69">
        <v>400.40000000000003</v>
      </c>
      <c r="S90" s="69">
        <v>412.88</v>
      </c>
      <c r="T90" s="69">
        <v>424.32</v>
      </c>
      <c r="U90" s="69">
        <v>444.08000000000004</v>
      </c>
      <c r="V90" s="69">
        <v>446.16</v>
      </c>
      <c r="W90" s="69">
        <v>458.64000000000004</v>
      </c>
      <c r="X90" s="69">
        <v>473.2</v>
      </c>
      <c r="Y90" s="69">
        <v>489.84000000000003</v>
      </c>
      <c r="Z90" s="69">
        <v>501.28000000000003</v>
      </c>
      <c r="AA90" s="69">
        <v>516.88</v>
      </c>
      <c r="AB90" s="69">
        <v>534.56000000000006</v>
      </c>
      <c r="AC90" s="69">
        <v>550.16</v>
      </c>
      <c r="AD90" s="69">
        <v>575.12</v>
      </c>
      <c r="AE90" s="69">
        <v>596.96</v>
      </c>
      <c r="AF90" s="69">
        <v>616.72</v>
      </c>
      <c r="AG90" s="69">
        <v>626.08000000000004</v>
      </c>
      <c r="AH90" s="69">
        <v>626.08000000000004</v>
      </c>
      <c r="AI90" s="69">
        <v>626.08000000000004</v>
      </c>
    </row>
    <row r="91" spans="1:35" x14ac:dyDescent="0.35">
      <c r="A91" s="65" t="s">
        <v>414</v>
      </c>
      <c r="B91" s="65">
        <v>90</v>
      </c>
      <c r="C91" s="68">
        <v>136.5</v>
      </c>
      <c r="D91" s="69">
        <v>173.25</v>
      </c>
      <c r="E91" s="69">
        <v>193.20000000000002</v>
      </c>
      <c r="F91" s="69">
        <v>218.4</v>
      </c>
      <c r="G91" s="69">
        <v>226.8</v>
      </c>
      <c r="H91" s="69">
        <v>240.45000000000002</v>
      </c>
      <c r="I91" s="69">
        <v>248.56</v>
      </c>
      <c r="J91" s="69">
        <v>262.08</v>
      </c>
      <c r="K91" s="69">
        <v>273.52</v>
      </c>
      <c r="L91" s="69">
        <v>288.08</v>
      </c>
      <c r="M91" s="69">
        <v>295.36</v>
      </c>
      <c r="N91" s="69">
        <v>310.96000000000004</v>
      </c>
      <c r="O91" s="69">
        <v>332.8</v>
      </c>
      <c r="P91" s="69">
        <v>344.24</v>
      </c>
      <c r="Q91" s="69">
        <v>361.92</v>
      </c>
      <c r="R91" s="69">
        <v>372.32</v>
      </c>
      <c r="S91" s="69">
        <v>384.8</v>
      </c>
      <c r="T91" s="69">
        <v>395.2</v>
      </c>
      <c r="U91" s="69">
        <v>412.88</v>
      </c>
      <c r="V91" s="69">
        <v>413.92</v>
      </c>
      <c r="W91" s="69">
        <v>426.40000000000003</v>
      </c>
      <c r="X91" s="69">
        <v>442</v>
      </c>
      <c r="Y91" s="69">
        <v>455.52000000000004</v>
      </c>
      <c r="Z91" s="69">
        <v>466.96000000000004</v>
      </c>
      <c r="AA91" s="69">
        <v>481.52000000000004</v>
      </c>
      <c r="AB91" s="69">
        <v>498.16</v>
      </c>
      <c r="AC91" s="69">
        <v>511.68</v>
      </c>
      <c r="AD91" s="69">
        <v>534.56000000000006</v>
      </c>
      <c r="AE91" s="69">
        <v>555.36</v>
      </c>
      <c r="AF91" s="69">
        <v>574.08000000000004</v>
      </c>
      <c r="AG91" s="69">
        <v>582.4</v>
      </c>
      <c r="AH91" s="69">
        <v>582.4</v>
      </c>
      <c r="AI91" s="69">
        <v>582.4</v>
      </c>
    </row>
    <row r="92" spans="1:35" x14ac:dyDescent="0.35">
      <c r="A92" s="65" t="s">
        <v>415</v>
      </c>
      <c r="B92" s="65">
        <v>91</v>
      </c>
      <c r="C92" s="68">
        <v>135.45000000000002</v>
      </c>
      <c r="D92" s="69">
        <v>157.5</v>
      </c>
      <c r="E92" s="69">
        <v>173.25</v>
      </c>
      <c r="F92" s="69">
        <v>198.45000000000002</v>
      </c>
      <c r="G92" s="69">
        <v>217.35000000000002</v>
      </c>
      <c r="H92" s="69">
        <v>234.15</v>
      </c>
      <c r="I92" s="69">
        <v>252.72</v>
      </c>
      <c r="J92" s="69">
        <v>265.2</v>
      </c>
      <c r="K92" s="69">
        <v>278.72000000000003</v>
      </c>
      <c r="L92" s="69">
        <v>293.28000000000003</v>
      </c>
      <c r="M92" s="69">
        <v>306.8</v>
      </c>
      <c r="N92" s="69">
        <v>320.32</v>
      </c>
      <c r="O92" s="69">
        <v>334.88</v>
      </c>
      <c r="P92" s="69">
        <v>350.48</v>
      </c>
      <c r="Q92" s="69">
        <v>362.96000000000004</v>
      </c>
      <c r="R92" s="69">
        <v>390</v>
      </c>
      <c r="S92" s="69">
        <v>402.48</v>
      </c>
      <c r="T92" s="69">
        <v>424.32</v>
      </c>
      <c r="U92" s="69">
        <v>442</v>
      </c>
      <c r="V92" s="69">
        <v>460.72</v>
      </c>
      <c r="W92" s="69">
        <v>478.40000000000003</v>
      </c>
      <c r="X92" s="69">
        <v>504.40000000000003</v>
      </c>
      <c r="Y92" s="69">
        <v>522.08000000000004</v>
      </c>
      <c r="Z92" s="69">
        <v>541.84</v>
      </c>
      <c r="AA92" s="69">
        <v>556.4</v>
      </c>
      <c r="AB92" s="69">
        <v>582.4</v>
      </c>
      <c r="AC92" s="69">
        <v>612.56000000000006</v>
      </c>
      <c r="AD92" s="69">
        <v>640.64</v>
      </c>
      <c r="AE92" s="69">
        <v>663.52</v>
      </c>
      <c r="AF92" s="69">
        <v>685.36</v>
      </c>
      <c r="AG92" s="69">
        <v>697.84</v>
      </c>
      <c r="AH92" s="69">
        <v>697.84</v>
      </c>
      <c r="AI92" s="69">
        <v>697.84</v>
      </c>
    </row>
    <row r="93" spans="1:35" x14ac:dyDescent="0.35">
      <c r="A93" s="65" t="s">
        <v>416</v>
      </c>
      <c r="B93" s="65">
        <v>92</v>
      </c>
      <c r="C93" s="68">
        <v>137.55000000000001</v>
      </c>
      <c r="D93" s="69">
        <v>157.5</v>
      </c>
      <c r="E93" s="69">
        <v>173.25</v>
      </c>
      <c r="F93" s="69">
        <v>199.5</v>
      </c>
      <c r="G93" s="69">
        <v>219.45000000000002</v>
      </c>
      <c r="H93" s="69">
        <v>237.3</v>
      </c>
      <c r="I93" s="69">
        <v>254.8</v>
      </c>
      <c r="J93" s="69">
        <v>267.28000000000003</v>
      </c>
      <c r="K93" s="69">
        <v>278.72000000000003</v>
      </c>
      <c r="L93" s="69">
        <v>292.24</v>
      </c>
      <c r="M93" s="69">
        <v>305.76</v>
      </c>
      <c r="N93" s="69">
        <v>323.44</v>
      </c>
      <c r="O93" s="69">
        <v>339.04</v>
      </c>
      <c r="P93" s="69">
        <v>353.6</v>
      </c>
      <c r="Q93" s="69">
        <v>367.12</v>
      </c>
      <c r="R93" s="69">
        <v>391.04</v>
      </c>
      <c r="S93" s="69">
        <v>403.52000000000004</v>
      </c>
      <c r="T93" s="69">
        <v>424.32</v>
      </c>
      <c r="U93" s="69">
        <v>443.04</v>
      </c>
      <c r="V93" s="69">
        <v>461.76</v>
      </c>
      <c r="W93" s="69">
        <v>480.48</v>
      </c>
      <c r="X93" s="69">
        <v>505.44</v>
      </c>
      <c r="Y93" s="69">
        <v>524.16</v>
      </c>
      <c r="Z93" s="69">
        <v>543.92000000000007</v>
      </c>
      <c r="AA93" s="69">
        <v>558.48</v>
      </c>
      <c r="AB93" s="69">
        <v>583.44000000000005</v>
      </c>
      <c r="AC93" s="69">
        <v>612.56000000000006</v>
      </c>
      <c r="AD93" s="69">
        <v>640.64</v>
      </c>
      <c r="AE93" s="69">
        <v>663.52</v>
      </c>
      <c r="AF93" s="69">
        <v>686.4</v>
      </c>
      <c r="AG93" s="69">
        <v>697.84</v>
      </c>
      <c r="AH93" s="69">
        <v>697.84</v>
      </c>
      <c r="AI93" s="69">
        <v>697.84</v>
      </c>
    </row>
    <row r="94" spans="1:35" x14ac:dyDescent="0.35">
      <c r="A94" s="65" t="s">
        <v>417</v>
      </c>
      <c r="B94" s="65">
        <v>93</v>
      </c>
      <c r="C94" s="68">
        <v>135.45000000000002</v>
      </c>
      <c r="D94" s="69">
        <v>157.5</v>
      </c>
      <c r="E94" s="69">
        <v>173.25</v>
      </c>
      <c r="F94" s="69">
        <v>198.45000000000002</v>
      </c>
      <c r="G94" s="69">
        <v>217.35000000000002</v>
      </c>
      <c r="H94" s="69">
        <v>234.15</v>
      </c>
      <c r="I94" s="69">
        <v>252.72</v>
      </c>
      <c r="J94" s="69">
        <v>265.2</v>
      </c>
      <c r="K94" s="69">
        <v>278.72000000000003</v>
      </c>
      <c r="L94" s="69">
        <v>293.28000000000003</v>
      </c>
      <c r="M94" s="69">
        <v>306.8</v>
      </c>
      <c r="N94" s="69">
        <v>320.32</v>
      </c>
      <c r="O94" s="69">
        <v>334.88</v>
      </c>
      <c r="P94" s="69">
        <v>350.48</v>
      </c>
      <c r="Q94" s="69">
        <v>362.96000000000004</v>
      </c>
      <c r="R94" s="69">
        <v>390</v>
      </c>
      <c r="S94" s="69">
        <v>402.48</v>
      </c>
      <c r="T94" s="69">
        <v>424.32</v>
      </c>
      <c r="U94" s="69">
        <v>442</v>
      </c>
      <c r="V94" s="69">
        <v>460.72</v>
      </c>
      <c r="W94" s="69">
        <v>478.40000000000003</v>
      </c>
      <c r="X94" s="69">
        <v>504.40000000000003</v>
      </c>
      <c r="Y94" s="69">
        <v>522.08000000000004</v>
      </c>
      <c r="Z94" s="69">
        <v>541.84</v>
      </c>
      <c r="AA94" s="69">
        <v>556.4</v>
      </c>
      <c r="AB94" s="69">
        <v>582.4</v>
      </c>
      <c r="AC94" s="69">
        <v>612.56000000000006</v>
      </c>
      <c r="AD94" s="69">
        <v>640.64</v>
      </c>
      <c r="AE94" s="69">
        <v>663.52</v>
      </c>
      <c r="AF94" s="69">
        <v>685.36</v>
      </c>
      <c r="AG94" s="69">
        <v>697.84</v>
      </c>
      <c r="AH94" s="69">
        <v>697.84</v>
      </c>
      <c r="AI94" s="69">
        <v>697.84</v>
      </c>
    </row>
    <row r="95" spans="1:35" x14ac:dyDescent="0.35">
      <c r="A95" s="65" t="s">
        <v>418</v>
      </c>
      <c r="B95" s="65">
        <v>94</v>
      </c>
      <c r="C95" s="68">
        <v>135.45000000000002</v>
      </c>
      <c r="D95" s="69">
        <v>157.5</v>
      </c>
      <c r="E95" s="69">
        <v>173.25</v>
      </c>
      <c r="F95" s="69">
        <v>198.45000000000002</v>
      </c>
      <c r="G95" s="69">
        <v>217.35000000000002</v>
      </c>
      <c r="H95" s="69">
        <v>234.15</v>
      </c>
      <c r="I95" s="69">
        <v>252.72</v>
      </c>
      <c r="J95" s="69">
        <v>265.2</v>
      </c>
      <c r="K95" s="69">
        <v>278.72000000000003</v>
      </c>
      <c r="L95" s="69">
        <v>293.28000000000003</v>
      </c>
      <c r="M95" s="69">
        <v>306.8</v>
      </c>
      <c r="N95" s="69">
        <v>320.32</v>
      </c>
      <c r="O95" s="69">
        <v>334.88</v>
      </c>
      <c r="P95" s="69">
        <v>350.48</v>
      </c>
      <c r="Q95" s="69">
        <v>362.96000000000004</v>
      </c>
      <c r="R95" s="69">
        <v>390</v>
      </c>
      <c r="S95" s="69">
        <v>402.48</v>
      </c>
      <c r="T95" s="69">
        <v>424.32</v>
      </c>
      <c r="U95" s="69">
        <v>442</v>
      </c>
      <c r="V95" s="69">
        <v>460.72</v>
      </c>
      <c r="W95" s="69">
        <v>478.40000000000003</v>
      </c>
      <c r="X95" s="69">
        <v>504.40000000000003</v>
      </c>
      <c r="Y95" s="69">
        <v>522.08000000000004</v>
      </c>
      <c r="Z95" s="69">
        <v>541.84</v>
      </c>
      <c r="AA95" s="69">
        <v>556.4</v>
      </c>
      <c r="AB95" s="69">
        <v>582.4</v>
      </c>
      <c r="AC95" s="69">
        <v>612.56000000000006</v>
      </c>
      <c r="AD95" s="69">
        <v>640.64</v>
      </c>
      <c r="AE95" s="69">
        <v>663.52</v>
      </c>
      <c r="AF95" s="69">
        <v>685.36</v>
      </c>
      <c r="AG95" s="69">
        <v>697.84</v>
      </c>
      <c r="AH95" s="69">
        <v>697.84</v>
      </c>
      <c r="AI95" s="69">
        <v>697.84</v>
      </c>
    </row>
    <row r="96" spans="1:35" x14ac:dyDescent="0.35">
      <c r="A96" s="65" t="s">
        <v>419</v>
      </c>
      <c r="B96" s="65">
        <v>95</v>
      </c>
      <c r="C96" s="68">
        <v>137.55000000000001</v>
      </c>
      <c r="D96" s="69">
        <v>157.5</v>
      </c>
      <c r="E96" s="69">
        <v>173.25</v>
      </c>
      <c r="F96" s="69">
        <v>199.5</v>
      </c>
      <c r="G96" s="69">
        <v>219.45000000000002</v>
      </c>
      <c r="H96" s="69">
        <v>237.3</v>
      </c>
      <c r="I96" s="69">
        <v>254.8</v>
      </c>
      <c r="J96" s="69">
        <v>267.28000000000003</v>
      </c>
      <c r="K96" s="69">
        <v>278.72000000000003</v>
      </c>
      <c r="L96" s="69">
        <v>292.24</v>
      </c>
      <c r="M96" s="69">
        <v>305.76</v>
      </c>
      <c r="N96" s="69">
        <v>323.44</v>
      </c>
      <c r="O96" s="69">
        <v>339.04</v>
      </c>
      <c r="P96" s="69">
        <v>353.6</v>
      </c>
      <c r="Q96" s="69">
        <v>367.12</v>
      </c>
      <c r="R96" s="69">
        <v>391.04</v>
      </c>
      <c r="S96" s="69">
        <v>403.52000000000004</v>
      </c>
      <c r="T96" s="69">
        <v>424.32</v>
      </c>
      <c r="U96" s="69">
        <v>443.04</v>
      </c>
      <c r="V96" s="69">
        <v>461.76</v>
      </c>
      <c r="W96" s="69">
        <v>480.48</v>
      </c>
      <c r="X96" s="69">
        <v>505.44</v>
      </c>
      <c r="Y96" s="69">
        <v>524.16</v>
      </c>
      <c r="Z96" s="69">
        <v>543.92000000000007</v>
      </c>
      <c r="AA96" s="69">
        <v>558.48</v>
      </c>
      <c r="AB96" s="69">
        <v>583.44000000000005</v>
      </c>
      <c r="AC96" s="69">
        <v>612.56000000000006</v>
      </c>
      <c r="AD96" s="69">
        <v>640.64</v>
      </c>
      <c r="AE96" s="69">
        <v>663.52</v>
      </c>
      <c r="AF96" s="69">
        <v>686.4</v>
      </c>
      <c r="AG96" s="69">
        <v>697.84</v>
      </c>
      <c r="AH96" s="69">
        <v>697.84</v>
      </c>
      <c r="AI96" s="69">
        <v>697.84</v>
      </c>
    </row>
    <row r="97" spans="1:35" x14ac:dyDescent="0.35">
      <c r="A97" s="65" t="s">
        <v>245</v>
      </c>
      <c r="B97" s="74" t="s">
        <v>423</v>
      </c>
      <c r="C97" s="66">
        <v>131</v>
      </c>
      <c r="D97" s="67">
        <v>207</v>
      </c>
      <c r="E97" s="67">
        <v>312</v>
      </c>
      <c r="F97" s="67">
        <v>409</v>
      </c>
      <c r="G97" s="67">
        <v>512</v>
      </c>
      <c r="H97" s="67">
        <v>598</v>
      </c>
      <c r="I97" s="67">
        <v>639</v>
      </c>
      <c r="J97" s="67">
        <v>677</v>
      </c>
      <c r="K97" s="67">
        <v>715</v>
      </c>
      <c r="L97" s="67">
        <v>753</v>
      </c>
      <c r="M97" s="75">
        <v>791</v>
      </c>
      <c r="N97" s="75">
        <v>829</v>
      </c>
      <c r="O97" s="75">
        <v>867</v>
      </c>
      <c r="P97" s="75">
        <v>904</v>
      </c>
      <c r="Q97" s="75">
        <v>942</v>
      </c>
      <c r="R97" s="75">
        <v>980</v>
      </c>
      <c r="S97" s="75">
        <v>1018</v>
      </c>
      <c r="T97" s="75">
        <v>1056</v>
      </c>
      <c r="U97" s="75">
        <v>1094</v>
      </c>
      <c r="V97" s="75">
        <v>1132</v>
      </c>
      <c r="W97" s="75">
        <v>1170</v>
      </c>
      <c r="X97" s="75">
        <v>1208</v>
      </c>
      <c r="Y97" s="75">
        <v>1246</v>
      </c>
      <c r="Z97" s="75">
        <v>1284</v>
      </c>
      <c r="AA97" s="75">
        <v>1321</v>
      </c>
      <c r="AB97" s="75">
        <v>1359</v>
      </c>
      <c r="AC97" s="75">
        <v>1397</v>
      </c>
      <c r="AD97" s="75">
        <v>1435</v>
      </c>
      <c r="AE97" s="75">
        <v>1473</v>
      </c>
      <c r="AF97" s="75">
        <v>1511</v>
      </c>
      <c r="AG97" s="75">
        <v>1549</v>
      </c>
      <c r="AH97" s="75">
        <v>1549</v>
      </c>
      <c r="AI97" s="75">
        <v>1549</v>
      </c>
    </row>
    <row r="98" spans="1:35" x14ac:dyDescent="0.35">
      <c r="A98" s="65" t="s">
        <v>245</v>
      </c>
      <c r="B98" s="74" t="s">
        <v>424</v>
      </c>
      <c r="C98" s="68">
        <v>131</v>
      </c>
      <c r="D98" s="69">
        <v>206</v>
      </c>
      <c r="E98" s="69">
        <v>310</v>
      </c>
      <c r="F98" s="69">
        <v>407</v>
      </c>
      <c r="G98" s="69">
        <v>510</v>
      </c>
      <c r="H98" s="69">
        <v>595</v>
      </c>
      <c r="I98" s="69">
        <v>757</v>
      </c>
      <c r="J98" s="69">
        <v>805</v>
      </c>
      <c r="K98" s="69">
        <v>853</v>
      </c>
      <c r="L98" s="69">
        <v>901</v>
      </c>
      <c r="M98" s="76">
        <v>949</v>
      </c>
      <c r="N98" s="76">
        <v>998</v>
      </c>
      <c r="O98" s="76">
        <v>1046</v>
      </c>
      <c r="P98" s="76">
        <v>1094</v>
      </c>
      <c r="Q98" s="76">
        <v>1142</v>
      </c>
      <c r="R98" s="76">
        <v>1190</v>
      </c>
      <c r="S98" s="76">
        <v>1238</v>
      </c>
      <c r="T98" s="76">
        <v>1286</v>
      </c>
      <c r="U98" s="76">
        <v>1334</v>
      </c>
      <c r="V98" s="76">
        <v>1383</v>
      </c>
      <c r="W98" s="76">
        <v>1431</v>
      </c>
      <c r="X98" s="76">
        <v>1479</v>
      </c>
      <c r="Y98" s="76">
        <v>1527</v>
      </c>
      <c r="Z98" s="76">
        <v>1575</v>
      </c>
      <c r="AA98" s="76">
        <v>1623</v>
      </c>
      <c r="AB98" s="76">
        <v>1671</v>
      </c>
      <c r="AC98" s="76">
        <v>1720</v>
      </c>
      <c r="AD98" s="76">
        <v>1768</v>
      </c>
      <c r="AE98" s="76">
        <v>1816</v>
      </c>
      <c r="AF98" s="76">
        <v>1864</v>
      </c>
      <c r="AG98" s="76">
        <v>1912</v>
      </c>
      <c r="AH98" s="76">
        <v>1912</v>
      </c>
      <c r="AI98" s="76">
        <v>1912</v>
      </c>
    </row>
    <row r="99" spans="1:35" x14ac:dyDescent="0.35">
      <c r="A99" s="65" t="s">
        <v>245</v>
      </c>
      <c r="B99" s="74" t="s">
        <v>425</v>
      </c>
      <c r="C99" s="68">
        <v>129</v>
      </c>
      <c r="D99" s="69">
        <v>203</v>
      </c>
      <c r="E99" s="69">
        <v>306</v>
      </c>
      <c r="F99" s="69">
        <v>401</v>
      </c>
      <c r="G99" s="69">
        <v>502</v>
      </c>
      <c r="H99" s="69">
        <v>587</v>
      </c>
      <c r="I99" s="69">
        <v>757</v>
      </c>
      <c r="J99" s="69">
        <v>805</v>
      </c>
      <c r="K99" s="69">
        <v>853</v>
      </c>
      <c r="L99" s="69">
        <v>901</v>
      </c>
      <c r="M99" s="76">
        <v>949</v>
      </c>
      <c r="N99" s="76">
        <v>998</v>
      </c>
      <c r="O99" s="76">
        <v>1046</v>
      </c>
      <c r="P99" s="76">
        <v>1094</v>
      </c>
      <c r="Q99" s="76">
        <v>1142</v>
      </c>
      <c r="R99" s="76">
        <v>1190</v>
      </c>
      <c r="S99" s="76">
        <v>1238</v>
      </c>
      <c r="T99" s="76">
        <v>1286</v>
      </c>
      <c r="U99" s="76">
        <v>1334</v>
      </c>
      <c r="V99" s="76">
        <v>1383</v>
      </c>
      <c r="W99" s="76">
        <v>1431</v>
      </c>
      <c r="X99" s="76">
        <v>1479</v>
      </c>
      <c r="Y99" s="76">
        <v>1527</v>
      </c>
      <c r="Z99" s="76">
        <v>1575</v>
      </c>
      <c r="AA99" s="76">
        <v>1623</v>
      </c>
      <c r="AB99" s="76">
        <v>1671</v>
      </c>
      <c r="AC99" s="76">
        <v>1720</v>
      </c>
      <c r="AD99" s="76">
        <v>1768</v>
      </c>
      <c r="AE99" s="76">
        <v>1816</v>
      </c>
      <c r="AF99" s="76">
        <v>1864</v>
      </c>
      <c r="AG99" s="76">
        <v>1912</v>
      </c>
      <c r="AH99" s="76">
        <v>1912</v>
      </c>
      <c r="AI99" s="76">
        <v>1912</v>
      </c>
    </row>
    <row r="100" spans="1:35" x14ac:dyDescent="0.35">
      <c r="A100" s="65" t="s">
        <v>245</v>
      </c>
      <c r="B100" s="74" t="s">
        <v>426</v>
      </c>
      <c r="C100" s="68">
        <v>141</v>
      </c>
      <c r="D100" s="69">
        <v>225</v>
      </c>
      <c r="E100" s="69">
        <v>340</v>
      </c>
      <c r="F100" s="69">
        <v>447</v>
      </c>
      <c r="G100" s="69">
        <v>560</v>
      </c>
      <c r="H100" s="69">
        <v>654</v>
      </c>
      <c r="I100" s="69">
        <v>931</v>
      </c>
      <c r="J100" s="69">
        <v>990</v>
      </c>
      <c r="K100" s="69">
        <v>1050</v>
      </c>
      <c r="L100" s="69">
        <v>1109</v>
      </c>
      <c r="M100" s="76">
        <v>1168</v>
      </c>
      <c r="N100" s="76">
        <v>1228</v>
      </c>
      <c r="O100" s="76">
        <v>1287</v>
      </c>
      <c r="P100" s="76">
        <v>1347</v>
      </c>
      <c r="Q100" s="76">
        <v>1406</v>
      </c>
      <c r="R100" s="76">
        <v>1465</v>
      </c>
      <c r="S100" s="76">
        <v>1525</v>
      </c>
      <c r="T100" s="76">
        <v>1584</v>
      </c>
      <c r="U100" s="76">
        <v>1644</v>
      </c>
      <c r="V100" s="76">
        <v>1703</v>
      </c>
      <c r="W100" s="76">
        <v>1762</v>
      </c>
      <c r="X100" s="76">
        <v>1822</v>
      </c>
      <c r="Y100" s="76">
        <v>1881</v>
      </c>
      <c r="Z100" s="76">
        <v>1941</v>
      </c>
      <c r="AA100" s="76">
        <v>2000</v>
      </c>
      <c r="AB100" s="76">
        <v>2059</v>
      </c>
      <c r="AC100" s="76">
        <v>2119</v>
      </c>
      <c r="AD100" s="76">
        <v>2178</v>
      </c>
      <c r="AE100" s="76">
        <v>2238</v>
      </c>
      <c r="AF100" s="76">
        <v>2297</v>
      </c>
      <c r="AG100" s="76">
        <v>2356</v>
      </c>
      <c r="AH100" s="76">
        <v>2356</v>
      </c>
      <c r="AI100" s="76">
        <v>2356</v>
      </c>
    </row>
    <row r="101" spans="1:35" x14ac:dyDescent="0.35">
      <c r="A101" s="65" t="s">
        <v>245</v>
      </c>
      <c r="B101" s="74" t="s">
        <v>427</v>
      </c>
      <c r="C101" s="68">
        <v>141</v>
      </c>
      <c r="D101" s="69">
        <v>225</v>
      </c>
      <c r="E101" s="69">
        <v>340</v>
      </c>
      <c r="F101" s="69">
        <v>447</v>
      </c>
      <c r="G101" s="69">
        <v>561</v>
      </c>
      <c r="H101" s="69">
        <v>655</v>
      </c>
      <c r="I101" s="69">
        <v>898</v>
      </c>
      <c r="J101" s="69">
        <v>955</v>
      </c>
      <c r="K101" s="69">
        <v>1013</v>
      </c>
      <c r="L101" s="69">
        <v>1070</v>
      </c>
      <c r="M101" s="76">
        <v>1127</v>
      </c>
      <c r="N101" s="76">
        <v>1184</v>
      </c>
      <c r="O101" s="76">
        <v>1241</v>
      </c>
      <c r="P101" s="76">
        <v>1299</v>
      </c>
      <c r="Q101" s="76">
        <v>1356</v>
      </c>
      <c r="R101" s="76">
        <v>1413</v>
      </c>
      <c r="S101" s="76">
        <v>1470</v>
      </c>
      <c r="T101" s="76">
        <v>1527</v>
      </c>
      <c r="U101" s="76">
        <v>1584</v>
      </c>
      <c r="V101" s="76">
        <v>1642</v>
      </c>
      <c r="W101" s="76">
        <v>1699</v>
      </c>
      <c r="X101" s="76">
        <v>1756</v>
      </c>
      <c r="Y101" s="76">
        <v>1813</v>
      </c>
      <c r="Z101" s="76">
        <v>1870</v>
      </c>
      <c r="AA101" s="76">
        <v>1928</v>
      </c>
      <c r="AB101" s="76">
        <v>1985</v>
      </c>
      <c r="AC101" s="76">
        <v>2042</v>
      </c>
      <c r="AD101" s="76">
        <v>2099</v>
      </c>
      <c r="AE101" s="76">
        <v>2156</v>
      </c>
      <c r="AF101" s="76">
        <v>2214</v>
      </c>
      <c r="AG101" s="76">
        <v>2271</v>
      </c>
      <c r="AH101" s="76">
        <v>2271</v>
      </c>
      <c r="AI101" s="76">
        <v>2271</v>
      </c>
    </row>
    <row r="102" spans="1:35" x14ac:dyDescent="0.35">
      <c r="A102" s="65" t="s">
        <v>245</v>
      </c>
      <c r="B102" s="74" t="s">
        <v>428</v>
      </c>
      <c r="C102" s="68">
        <v>149</v>
      </c>
      <c r="D102" s="69">
        <v>240</v>
      </c>
      <c r="E102" s="69">
        <v>364</v>
      </c>
      <c r="F102" s="69">
        <v>479</v>
      </c>
      <c r="G102" s="69">
        <v>601</v>
      </c>
      <c r="H102" s="69">
        <v>703</v>
      </c>
      <c r="I102" s="69">
        <v>931</v>
      </c>
      <c r="J102" s="69">
        <v>990</v>
      </c>
      <c r="K102" s="69">
        <v>1050</v>
      </c>
      <c r="L102" s="69">
        <v>1109</v>
      </c>
      <c r="M102" s="76">
        <v>1168</v>
      </c>
      <c r="N102" s="76">
        <v>1228</v>
      </c>
      <c r="O102" s="76">
        <v>1287</v>
      </c>
      <c r="P102" s="76">
        <v>1347</v>
      </c>
      <c r="Q102" s="76">
        <v>1406</v>
      </c>
      <c r="R102" s="76">
        <v>1465</v>
      </c>
      <c r="S102" s="76">
        <v>1525</v>
      </c>
      <c r="T102" s="76">
        <v>1584</v>
      </c>
      <c r="U102" s="76">
        <v>1644</v>
      </c>
      <c r="V102" s="76">
        <v>1703</v>
      </c>
      <c r="W102" s="76">
        <v>1762</v>
      </c>
      <c r="X102" s="76">
        <v>1822</v>
      </c>
      <c r="Y102" s="76">
        <v>1881</v>
      </c>
      <c r="Z102" s="76">
        <v>1941</v>
      </c>
      <c r="AA102" s="76">
        <v>2000</v>
      </c>
      <c r="AB102" s="76">
        <v>2059</v>
      </c>
      <c r="AC102" s="76">
        <v>2119</v>
      </c>
      <c r="AD102" s="76">
        <v>2178</v>
      </c>
      <c r="AE102" s="76">
        <v>2238</v>
      </c>
      <c r="AF102" s="76">
        <v>2297</v>
      </c>
      <c r="AG102" s="76">
        <v>2356</v>
      </c>
      <c r="AH102" s="76">
        <v>2356</v>
      </c>
      <c r="AI102" s="76">
        <v>2356</v>
      </c>
    </row>
    <row r="103" spans="1:35" x14ac:dyDescent="0.35">
      <c r="A103" s="65" t="s">
        <v>245</v>
      </c>
      <c r="B103" s="74" t="s">
        <v>429</v>
      </c>
      <c r="C103" s="68">
        <v>257</v>
      </c>
      <c r="D103" s="69">
        <v>429</v>
      </c>
      <c r="E103" s="69">
        <v>661</v>
      </c>
      <c r="F103" s="69">
        <v>861</v>
      </c>
      <c r="G103" s="69">
        <v>1067</v>
      </c>
      <c r="H103" s="69">
        <v>1230</v>
      </c>
      <c r="I103" s="69">
        <v>1230</v>
      </c>
      <c r="J103" s="69">
        <v>1230</v>
      </c>
      <c r="K103" s="69">
        <v>1230</v>
      </c>
      <c r="L103" s="69">
        <v>1230</v>
      </c>
      <c r="M103" s="69">
        <v>1230</v>
      </c>
      <c r="N103" s="69">
        <v>1230</v>
      </c>
      <c r="O103" s="69">
        <v>1230</v>
      </c>
      <c r="P103" s="69">
        <v>1230</v>
      </c>
      <c r="Q103" s="69">
        <v>1230</v>
      </c>
      <c r="R103" s="69">
        <v>1230</v>
      </c>
      <c r="S103" s="69">
        <v>1230</v>
      </c>
      <c r="T103" s="69">
        <v>1230</v>
      </c>
      <c r="U103" s="69">
        <v>1230</v>
      </c>
      <c r="V103" s="69">
        <v>1230</v>
      </c>
      <c r="W103" s="69">
        <v>1230</v>
      </c>
      <c r="X103" s="69">
        <v>1230</v>
      </c>
      <c r="Y103" s="69">
        <v>1230</v>
      </c>
      <c r="Z103" s="69">
        <v>1230</v>
      </c>
      <c r="AA103" s="69">
        <v>1230</v>
      </c>
      <c r="AB103" s="69">
        <v>1230</v>
      </c>
      <c r="AC103" s="69">
        <v>1230</v>
      </c>
      <c r="AD103" s="69">
        <v>1230</v>
      </c>
      <c r="AE103" s="69">
        <v>1230</v>
      </c>
      <c r="AF103" s="69">
        <v>1230</v>
      </c>
      <c r="AG103" s="69">
        <v>1230</v>
      </c>
      <c r="AH103" s="69">
        <v>1230</v>
      </c>
      <c r="AI103" s="69">
        <v>1230</v>
      </c>
    </row>
    <row r="104" spans="1:35" x14ac:dyDescent="0.35">
      <c r="A104" s="65" t="s">
        <v>245</v>
      </c>
      <c r="B104" s="74" t="s">
        <v>430</v>
      </c>
      <c r="C104" s="68">
        <v>100</v>
      </c>
      <c r="D104" s="69">
        <v>150</v>
      </c>
      <c r="E104" s="69">
        <v>220</v>
      </c>
      <c r="F104" s="69">
        <v>287</v>
      </c>
      <c r="G104" s="69">
        <v>357</v>
      </c>
      <c r="H104" s="69">
        <v>415</v>
      </c>
      <c r="I104" s="69">
        <v>427</v>
      </c>
      <c r="J104" s="69">
        <v>454</v>
      </c>
      <c r="K104" s="69">
        <v>481</v>
      </c>
      <c r="L104" s="69">
        <v>508</v>
      </c>
      <c r="M104" s="76">
        <v>535</v>
      </c>
      <c r="N104" s="76">
        <v>561</v>
      </c>
      <c r="O104" s="76">
        <v>588</v>
      </c>
      <c r="P104" s="76">
        <v>615</v>
      </c>
      <c r="Q104" s="76">
        <v>642</v>
      </c>
      <c r="R104" s="76">
        <v>669</v>
      </c>
      <c r="S104" s="76">
        <v>696</v>
      </c>
      <c r="T104" s="76">
        <v>723</v>
      </c>
      <c r="U104" s="76">
        <v>750</v>
      </c>
      <c r="V104" s="76">
        <v>777</v>
      </c>
      <c r="W104" s="76">
        <v>804</v>
      </c>
      <c r="X104" s="76">
        <v>831</v>
      </c>
      <c r="Y104" s="76">
        <v>858</v>
      </c>
      <c r="Z104" s="76">
        <v>884</v>
      </c>
      <c r="AA104" s="76">
        <v>911</v>
      </c>
      <c r="AB104" s="76">
        <v>938</v>
      </c>
      <c r="AC104" s="76">
        <v>965</v>
      </c>
      <c r="AD104" s="76">
        <v>992</v>
      </c>
      <c r="AE104" s="76">
        <v>1019</v>
      </c>
      <c r="AF104" s="76">
        <v>1046</v>
      </c>
      <c r="AG104" s="76">
        <v>1073</v>
      </c>
      <c r="AH104" s="76">
        <v>1073</v>
      </c>
      <c r="AI104" s="76">
        <v>1073</v>
      </c>
    </row>
    <row r="105" spans="1:35" x14ac:dyDescent="0.35">
      <c r="A105" s="65" t="s">
        <v>245</v>
      </c>
      <c r="B105" s="74" t="s">
        <v>431</v>
      </c>
      <c r="C105" s="68">
        <v>134</v>
      </c>
      <c r="D105" s="69">
        <v>213</v>
      </c>
      <c r="E105" s="69">
        <v>320</v>
      </c>
      <c r="F105" s="69">
        <v>421</v>
      </c>
      <c r="G105" s="69">
        <v>527</v>
      </c>
      <c r="H105" s="69">
        <v>616</v>
      </c>
      <c r="I105" s="69">
        <v>705</v>
      </c>
      <c r="J105" s="69">
        <v>750</v>
      </c>
      <c r="K105" s="69">
        <v>795</v>
      </c>
      <c r="L105" s="69">
        <v>840</v>
      </c>
      <c r="M105" s="76">
        <v>885</v>
      </c>
      <c r="N105" s="76">
        <v>930</v>
      </c>
      <c r="O105" s="76">
        <v>975</v>
      </c>
      <c r="P105" s="76">
        <v>1020</v>
      </c>
      <c r="Q105" s="76">
        <v>1065</v>
      </c>
      <c r="R105" s="76">
        <v>1109</v>
      </c>
      <c r="S105" s="76">
        <v>1154</v>
      </c>
      <c r="T105" s="76">
        <v>1199</v>
      </c>
      <c r="U105" s="76">
        <v>1244</v>
      </c>
      <c r="V105" s="76">
        <v>1289</v>
      </c>
      <c r="W105" s="76">
        <v>1334</v>
      </c>
      <c r="X105" s="76">
        <v>1379</v>
      </c>
      <c r="Y105" s="76">
        <v>1424</v>
      </c>
      <c r="Z105" s="76">
        <v>1469</v>
      </c>
      <c r="AA105" s="76">
        <v>1514</v>
      </c>
      <c r="AB105" s="76">
        <v>1558</v>
      </c>
      <c r="AC105" s="76">
        <v>1603</v>
      </c>
      <c r="AD105" s="76">
        <v>1648</v>
      </c>
      <c r="AE105" s="76">
        <v>1693</v>
      </c>
      <c r="AF105" s="76">
        <v>1738</v>
      </c>
      <c r="AG105" s="76">
        <v>1783</v>
      </c>
      <c r="AH105" s="76">
        <v>1783</v>
      </c>
      <c r="AI105" s="76">
        <v>1783</v>
      </c>
    </row>
    <row r="106" spans="1:35" x14ac:dyDescent="0.35">
      <c r="A106" s="65" t="s">
        <v>245</v>
      </c>
      <c r="B106" s="74" t="s">
        <v>432</v>
      </c>
      <c r="C106" s="68">
        <v>147</v>
      </c>
      <c r="D106" s="69">
        <v>236</v>
      </c>
      <c r="E106" s="69">
        <v>358</v>
      </c>
      <c r="F106" s="69">
        <v>472</v>
      </c>
      <c r="G106" s="69">
        <v>592</v>
      </c>
      <c r="H106" s="69">
        <v>692</v>
      </c>
      <c r="I106" s="69">
        <v>931</v>
      </c>
      <c r="J106" s="69">
        <v>990</v>
      </c>
      <c r="K106" s="69">
        <v>1050</v>
      </c>
      <c r="L106" s="69">
        <v>1109</v>
      </c>
      <c r="M106" s="76">
        <v>1168</v>
      </c>
      <c r="N106" s="76">
        <v>1228</v>
      </c>
      <c r="O106" s="76">
        <v>1287</v>
      </c>
      <c r="P106" s="76">
        <v>1347</v>
      </c>
      <c r="Q106" s="76">
        <v>1406</v>
      </c>
      <c r="R106" s="76">
        <v>1465</v>
      </c>
      <c r="S106" s="76">
        <v>1525</v>
      </c>
      <c r="T106" s="76">
        <v>1584</v>
      </c>
      <c r="U106" s="76">
        <v>1644</v>
      </c>
      <c r="V106" s="76">
        <v>1703</v>
      </c>
      <c r="W106" s="76">
        <v>1762</v>
      </c>
      <c r="X106" s="76">
        <v>1822</v>
      </c>
      <c r="Y106" s="76">
        <v>1881</v>
      </c>
      <c r="Z106" s="76">
        <v>1941</v>
      </c>
      <c r="AA106" s="76">
        <v>2000</v>
      </c>
      <c r="AB106" s="76">
        <v>2059</v>
      </c>
      <c r="AC106" s="76">
        <v>2119</v>
      </c>
      <c r="AD106" s="76">
        <v>2178</v>
      </c>
      <c r="AE106" s="76">
        <v>2238</v>
      </c>
      <c r="AF106" s="76">
        <v>2297</v>
      </c>
      <c r="AG106" s="76">
        <v>2356</v>
      </c>
      <c r="AH106" s="76">
        <v>2356</v>
      </c>
      <c r="AI106" s="76">
        <v>2356</v>
      </c>
    </row>
    <row r="107" spans="1:35" x14ac:dyDescent="0.35">
      <c r="A107" s="65" t="s">
        <v>245</v>
      </c>
      <c r="B107" s="74" t="s">
        <v>433</v>
      </c>
      <c r="C107" s="68">
        <v>150</v>
      </c>
      <c r="D107" s="69">
        <v>241</v>
      </c>
      <c r="E107" s="69">
        <v>366</v>
      </c>
      <c r="F107" s="69">
        <v>482</v>
      </c>
      <c r="G107" s="69">
        <v>605</v>
      </c>
      <c r="H107" s="69">
        <v>708</v>
      </c>
      <c r="I107" s="69">
        <v>1154</v>
      </c>
      <c r="J107" s="69">
        <v>1228</v>
      </c>
      <c r="K107" s="69">
        <v>1301</v>
      </c>
      <c r="L107" s="69">
        <v>1375</v>
      </c>
      <c r="M107" s="76">
        <v>1449</v>
      </c>
      <c r="N107" s="76">
        <v>1522</v>
      </c>
      <c r="O107" s="76">
        <v>1596</v>
      </c>
      <c r="P107" s="76">
        <v>1669</v>
      </c>
      <c r="Q107" s="76">
        <v>1743</v>
      </c>
      <c r="R107" s="76">
        <v>1816</v>
      </c>
      <c r="S107" s="76">
        <v>1890</v>
      </c>
      <c r="T107" s="76">
        <v>1963</v>
      </c>
      <c r="U107" s="76">
        <v>2037</v>
      </c>
      <c r="V107" s="76">
        <v>2110</v>
      </c>
      <c r="W107" s="76">
        <v>2184</v>
      </c>
      <c r="X107" s="76">
        <v>2257</v>
      </c>
      <c r="Y107" s="76">
        <v>2331</v>
      </c>
      <c r="Z107" s="76">
        <v>2404</v>
      </c>
      <c r="AA107" s="76">
        <v>2478</v>
      </c>
      <c r="AB107" s="76">
        <v>2551</v>
      </c>
      <c r="AC107" s="76">
        <v>2625</v>
      </c>
      <c r="AD107" s="76">
        <v>2698</v>
      </c>
      <c r="AE107" s="76">
        <v>2772</v>
      </c>
      <c r="AF107" s="76">
        <v>2845</v>
      </c>
      <c r="AG107" s="76">
        <v>2919</v>
      </c>
      <c r="AH107" s="76">
        <v>2919</v>
      </c>
      <c r="AI107" s="76">
        <v>2919</v>
      </c>
    </row>
    <row r="108" spans="1:35" x14ac:dyDescent="0.35">
      <c r="A108" s="65" t="s">
        <v>245</v>
      </c>
      <c r="B108" s="74" t="s">
        <v>434</v>
      </c>
      <c r="C108" s="68">
        <v>118</v>
      </c>
      <c r="D108" s="69">
        <v>184</v>
      </c>
      <c r="E108" s="69">
        <v>275</v>
      </c>
      <c r="F108" s="69">
        <v>359</v>
      </c>
      <c r="G108" s="69">
        <v>449</v>
      </c>
      <c r="H108" s="69">
        <v>523</v>
      </c>
      <c r="I108" s="69">
        <v>639</v>
      </c>
      <c r="J108" s="69">
        <v>677</v>
      </c>
      <c r="K108" s="69">
        <v>715</v>
      </c>
      <c r="L108" s="69">
        <v>753</v>
      </c>
      <c r="M108" s="76">
        <v>791</v>
      </c>
      <c r="N108" s="76">
        <v>829</v>
      </c>
      <c r="O108" s="76">
        <v>867</v>
      </c>
      <c r="P108" s="76">
        <v>904</v>
      </c>
      <c r="Q108" s="76">
        <v>942</v>
      </c>
      <c r="R108" s="76">
        <v>980</v>
      </c>
      <c r="S108" s="76">
        <v>1018</v>
      </c>
      <c r="T108" s="76">
        <v>1056</v>
      </c>
      <c r="U108" s="76">
        <v>1094</v>
      </c>
      <c r="V108" s="76">
        <v>1132</v>
      </c>
      <c r="W108" s="76">
        <v>1170</v>
      </c>
      <c r="X108" s="76">
        <v>1208</v>
      </c>
      <c r="Y108" s="76">
        <v>1246</v>
      </c>
      <c r="Z108" s="76">
        <v>1284</v>
      </c>
      <c r="AA108" s="76">
        <v>1321</v>
      </c>
      <c r="AB108" s="76">
        <v>1343</v>
      </c>
      <c r="AC108" s="76">
        <v>1363</v>
      </c>
      <c r="AD108" s="76">
        <v>1375</v>
      </c>
      <c r="AE108" s="76">
        <v>1388</v>
      </c>
      <c r="AF108" s="76">
        <v>1400</v>
      </c>
      <c r="AG108" s="76">
        <v>1413</v>
      </c>
      <c r="AH108" s="76">
        <v>1413</v>
      </c>
      <c r="AI108" s="76">
        <v>1413</v>
      </c>
    </row>
    <row r="109" spans="1:35" x14ac:dyDescent="0.35">
      <c r="A109" s="65" t="s">
        <v>245</v>
      </c>
      <c r="B109" s="74" t="s">
        <v>435</v>
      </c>
      <c r="C109" s="68">
        <v>138</v>
      </c>
      <c r="D109" s="69">
        <v>219</v>
      </c>
      <c r="E109" s="69">
        <v>331</v>
      </c>
      <c r="F109" s="69">
        <v>435</v>
      </c>
      <c r="G109" s="69">
        <v>545</v>
      </c>
      <c r="H109" s="69">
        <v>636</v>
      </c>
      <c r="I109" s="69">
        <v>898</v>
      </c>
      <c r="J109" s="69">
        <v>955</v>
      </c>
      <c r="K109" s="69">
        <v>1013</v>
      </c>
      <c r="L109" s="69">
        <v>1070</v>
      </c>
      <c r="M109" s="76">
        <v>1127</v>
      </c>
      <c r="N109" s="76">
        <v>1184</v>
      </c>
      <c r="O109" s="76">
        <v>1241</v>
      </c>
      <c r="P109" s="76">
        <v>1299</v>
      </c>
      <c r="Q109" s="76">
        <v>1356</v>
      </c>
      <c r="R109" s="76">
        <v>1413</v>
      </c>
      <c r="S109" s="76">
        <v>1470</v>
      </c>
      <c r="T109" s="76">
        <v>1527</v>
      </c>
      <c r="U109" s="76">
        <v>1584</v>
      </c>
      <c r="V109" s="76">
        <v>1642</v>
      </c>
      <c r="W109" s="76">
        <v>1699</v>
      </c>
      <c r="X109" s="76">
        <v>1756</v>
      </c>
      <c r="Y109" s="76">
        <v>1813</v>
      </c>
      <c r="Z109" s="76">
        <v>1870</v>
      </c>
      <c r="AA109" s="76">
        <v>1928</v>
      </c>
      <c r="AB109" s="76">
        <v>1985</v>
      </c>
      <c r="AC109" s="76">
        <v>2042</v>
      </c>
      <c r="AD109" s="76">
        <v>2099</v>
      </c>
      <c r="AE109" s="76">
        <v>2156</v>
      </c>
      <c r="AF109" s="76">
        <v>2188</v>
      </c>
      <c r="AG109" s="76">
        <v>2213</v>
      </c>
      <c r="AH109" s="76">
        <v>2213</v>
      </c>
      <c r="AI109" s="76">
        <v>2213</v>
      </c>
    </row>
    <row r="110" spans="1:35" x14ac:dyDescent="0.35">
      <c r="A110" s="65" t="s">
        <v>245</v>
      </c>
      <c r="B110" s="74" t="s">
        <v>436</v>
      </c>
      <c r="C110" s="68">
        <v>146</v>
      </c>
      <c r="D110" s="69">
        <v>235</v>
      </c>
      <c r="E110" s="69">
        <v>356</v>
      </c>
      <c r="F110" s="69">
        <v>468</v>
      </c>
      <c r="G110" s="69">
        <v>587</v>
      </c>
      <c r="H110" s="69">
        <v>686</v>
      </c>
      <c r="I110" s="69">
        <v>931</v>
      </c>
      <c r="J110" s="69">
        <v>990</v>
      </c>
      <c r="K110" s="69">
        <v>1050</v>
      </c>
      <c r="L110" s="69">
        <v>1109</v>
      </c>
      <c r="M110" s="76">
        <v>1168</v>
      </c>
      <c r="N110" s="76">
        <v>1228</v>
      </c>
      <c r="O110" s="76">
        <v>1287</v>
      </c>
      <c r="P110" s="76">
        <v>1347</v>
      </c>
      <c r="Q110" s="76">
        <v>1406</v>
      </c>
      <c r="R110" s="76">
        <v>1465</v>
      </c>
      <c r="S110" s="76">
        <v>1525</v>
      </c>
      <c r="T110" s="76">
        <v>1584</v>
      </c>
      <c r="U110" s="76">
        <v>1644</v>
      </c>
      <c r="V110" s="76">
        <v>1703</v>
      </c>
      <c r="W110" s="76">
        <v>1762</v>
      </c>
      <c r="X110" s="76">
        <v>1822</v>
      </c>
      <c r="Y110" s="76">
        <v>1881</v>
      </c>
      <c r="Z110" s="76">
        <v>1941</v>
      </c>
      <c r="AA110" s="76">
        <v>2000</v>
      </c>
      <c r="AB110" s="76">
        <v>2059</v>
      </c>
      <c r="AC110" s="76">
        <v>2119</v>
      </c>
      <c r="AD110" s="76">
        <v>2178</v>
      </c>
      <c r="AE110" s="76">
        <v>2238</v>
      </c>
      <c r="AF110" s="76">
        <v>2297</v>
      </c>
      <c r="AG110" s="76">
        <v>2356</v>
      </c>
      <c r="AH110" s="76">
        <v>2356</v>
      </c>
      <c r="AI110" s="76">
        <v>2356</v>
      </c>
    </row>
    <row r="111" spans="1:35" x14ac:dyDescent="0.35">
      <c r="A111" s="65" t="s">
        <v>245</v>
      </c>
      <c r="B111" s="74" t="s">
        <v>437</v>
      </c>
      <c r="C111" s="68">
        <v>150</v>
      </c>
      <c r="D111" s="69">
        <v>241</v>
      </c>
      <c r="E111" s="69">
        <v>366</v>
      </c>
      <c r="F111" s="69">
        <v>482</v>
      </c>
      <c r="G111" s="69">
        <v>605</v>
      </c>
      <c r="H111" s="69">
        <v>708</v>
      </c>
      <c r="I111" s="69">
        <v>1056</v>
      </c>
      <c r="J111" s="69">
        <v>1124</v>
      </c>
      <c r="K111" s="69">
        <v>1191</v>
      </c>
      <c r="L111" s="69">
        <v>1259</v>
      </c>
      <c r="M111" s="76">
        <v>1326</v>
      </c>
      <c r="N111" s="76">
        <v>1394</v>
      </c>
      <c r="O111" s="76">
        <v>1461</v>
      </c>
      <c r="P111" s="76">
        <v>1529</v>
      </c>
      <c r="Q111" s="76">
        <v>1596</v>
      </c>
      <c r="R111" s="76">
        <v>1664</v>
      </c>
      <c r="S111" s="76">
        <v>1731</v>
      </c>
      <c r="T111" s="76">
        <v>1799</v>
      </c>
      <c r="U111" s="76">
        <v>1866</v>
      </c>
      <c r="V111" s="76">
        <v>1934</v>
      </c>
      <c r="W111" s="76">
        <v>2001</v>
      </c>
      <c r="X111" s="76">
        <v>2069</v>
      </c>
      <c r="Y111" s="76">
        <v>2136</v>
      </c>
      <c r="Z111" s="76">
        <v>2204</v>
      </c>
      <c r="AA111" s="76">
        <v>2271</v>
      </c>
      <c r="AB111" s="76">
        <v>2339</v>
      </c>
      <c r="AC111" s="76">
        <v>2406</v>
      </c>
      <c r="AD111" s="76">
        <v>2474</v>
      </c>
      <c r="AE111" s="76">
        <v>2541</v>
      </c>
      <c r="AF111" s="76">
        <v>2609</v>
      </c>
      <c r="AG111" s="76">
        <v>2675</v>
      </c>
      <c r="AH111" s="76">
        <v>2675</v>
      </c>
      <c r="AI111" s="76">
        <v>2675</v>
      </c>
    </row>
    <row r="112" spans="1:35" x14ac:dyDescent="0.35">
      <c r="A112" s="65" t="s">
        <v>245</v>
      </c>
      <c r="B112" s="74" t="s">
        <v>438</v>
      </c>
      <c r="C112" s="68">
        <v>131</v>
      </c>
      <c r="D112" s="69">
        <v>207</v>
      </c>
      <c r="E112" s="69">
        <v>311</v>
      </c>
      <c r="F112" s="69">
        <v>408</v>
      </c>
      <c r="G112" s="69">
        <v>511</v>
      </c>
      <c r="H112" s="69">
        <v>597</v>
      </c>
      <c r="I112" s="69">
        <v>757</v>
      </c>
      <c r="J112" s="69">
        <v>805</v>
      </c>
      <c r="K112" s="69">
        <v>853</v>
      </c>
      <c r="L112" s="69">
        <v>901</v>
      </c>
      <c r="M112" s="76">
        <v>949</v>
      </c>
      <c r="N112" s="76">
        <v>998</v>
      </c>
      <c r="O112" s="76">
        <v>1046</v>
      </c>
      <c r="P112" s="76">
        <v>1094</v>
      </c>
      <c r="Q112" s="76">
        <v>1142</v>
      </c>
      <c r="R112" s="76">
        <v>1190</v>
      </c>
      <c r="S112" s="76">
        <v>1238</v>
      </c>
      <c r="T112" s="76">
        <v>1286</v>
      </c>
      <c r="U112" s="76">
        <v>1334</v>
      </c>
      <c r="V112" s="76">
        <v>1383</v>
      </c>
      <c r="W112" s="76">
        <v>1431</v>
      </c>
      <c r="X112" s="76">
        <v>1479</v>
      </c>
      <c r="Y112" s="76">
        <v>1527</v>
      </c>
      <c r="Z112" s="76">
        <v>1575</v>
      </c>
      <c r="AA112" s="76">
        <v>1623</v>
      </c>
      <c r="AB112" s="76">
        <v>1671</v>
      </c>
      <c r="AC112" s="76">
        <v>1720</v>
      </c>
      <c r="AD112" s="76">
        <v>1768</v>
      </c>
      <c r="AE112" s="76">
        <v>1816</v>
      </c>
      <c r="AF112" s="76">
        <v>1864</v>
      </c>
      <c r="AG112" s="76">
        <v>1912</v>
      </c>
      <c r="AH112" s="76">
        <v>1912</v>
      </c>
      <c r="AI112" s="76">
        <v>1912</v>
      </c>
    </row>
    <row r="113" spans="1:35" x14ac:dyDescent="0.35">
      <c r="A113" s="65" t="s">
        <v>245</v>
      </c>
      <c r="B113" s="74" t="s">
        <v>439</v>
      </c>
      <c r="C113" s="68">
        <v>111</v>
      </c>
      <c r="D113" s="69">
        <v>170</v>
      </c>
      <c r="E113" s="69">
        <v>254</v>
      </c>
      <c r="F113" s="69">
        <v>331</v>
      </c>
      <c r="G113" s="69">
        <v>413</v>
      </c>
      <c r="H113" s="69">
        <v>481</v>
      </c>
      <c r="I113" s="69">
        <v>427</v>
      </c>
      <c r="J113" s="69">
        <v>454</v>
      </c>
      <c r="K113" s="69">
        <v>481</v>
      </c>
      <c r="L113" s="69">
        <v>508</v>
      </c>
      <c r="M113" s="76">
        <v>535</v>
      </c>
      <c r="N113" s="76">
        <v>561</v>
      </c>
      <c r="O113" s="76">
        <v>588</v>
      </c>
      <c r="P113" s="76">
        <v>615</v>
      </c>
      <c r="Q113" s="76">
        <v>642</v>
      </c>
      <c r="R113" s="76">
        <v>669</v>
      </c>
      <c r="S113" s="76">
        <v>696</v>
      </c>
      <c r="T113" s="76">
        <v>723</v>
      </c>
      <c r="U113" s="76">
        <v>750</v>
      </c>
      <c r="V113" s="76">
        <v>777</v>
      </c>
      <c r="W113" s="76">
        <v>804</v>
      </c>
      <c r="X113" s="76">
        <v>831</v>
      </c>
      <c r="Y113" s="76">
        <v>858</v>
      </c>
      <c r="Z113" s="76">
        <v>884</v>
      </c>
      <c r="AA113" s="76">
        <v>911</v>
      </c>
      <c r="AB113" s="76">
        <v>938</v>
      </c>
      <c r="AC113" s="76">
        <v>965</v>
      </c>
      <c r="AD113" s="76">
        <v>992</v>
      </c>
      <c r="AE113" s="76">
        <v>1019</v>
      </c>
      <c r="AF113" s="76">
        <v>1046</v>
      </c>
      <c r="AG113" s="76">
        <v>1073</v>
      </c>
      <c r="AH113" s="76">
        <v>1073</v>
      </c>
      <c r="AI113" s="76">
        <v>1073</v>
      </c>
    </row>
    <row r="114" spans="1:35" x14ac:dyDescent="0.35">
      <c r="A114" s="65" t="s">
        <v>245</v>
      </c>
      <c r="B114" s="74" t="s">
        <v>440</v>
      </c>
      <c r="C114" s="68">
        <v>145</v>
      </c>
      <c r="D114" s="69">
        <v>232</v>
      </c>
      <c r="E114" s="69">
        <v>352</v>
      </c>
      <c r="F114" s="69">
        <v>463</v>
      </c>
      <c r="G114" s="69">
        <v>581</v>
      </c>
      <c r="H114" s="69">
        <v>679</v>
      </c>
      <c r="I114" s="69">
        <v>931</v>
      </c>
      <c r="J114" s="69">
        <v>990</v>
      </c>
      <c r="K114" s="69">
        <v>1050</v>
      </c>
      <c r="L114" s="69">
        <v>1109</v>
      </c>
      <c r="M114" s="76">
        <v>1168</v>
      </c>
      <c r="N114" s="76">
        <v>1228</v>
      </c>
      <c r="O114" s="76">
        <v>1287</v>
      </c>
      <c r="P114" s="76">
        <v>1347</v>
      </c>
      <c r="Q114" s="76">
        <v>1406</v>
      </c>
      <c r="R114" s="76">
        <v>1465</v>
      </c>
      <c r="S114" s="76">
        <v>1525</v>
      </c>
      <c r="T114" s="76">
        <v>1584</v>
      </c>
      <c r="U114" s="76">
        <v>1644</v>
      </c>
      <c r="V114" s="76">
        <v>1703</v>
      </c>
      <c r="W114" s="76">
        <v>1762</v>
      </c>
      <c r="X114" s="76">
        <v>1822</v>
      </c>
      <c r="Y114" s="76">
        <v>1881</v>
      </c>
      <c r="Z114" s="76">
        <v>1941</v>
      </c>
      <c r="AA114" s="76">
        <v>2000</v>
      </c>
      <c r="AB114" s="76">
        <v>2059</v>
      </c>
      <c r="AC114" s="76">
        <v>2119</v>
      </c>
      <c r="AD114" s="76">
        <v>2178</v>
      </c>
      <c r="AE114" s="76">
        <v>2238</v>
      </c>
      <c r="AF114" s="76">
        <v>2297</v>
      </c>
      <c r="AG114" s="76">
        <v>2356</v>
      </c>
      <c r="AH114" s="76">
        <v>2356</v>
      </c>
      <c r="AI114" s="76">
        <v>2356</v>
      </c>
    </row>
    <row r="115" spans="1:35" x14ac:dyDescent="0.35">
      <c r="A115" s="65" t="s">
        <v>245</v>
      </c>
      <c r="B115" s="74" t="s">
        <v>441</v>
      </c>
      <c r="C115" s="68">
        <v>130</v>
      </c>
      <c r="D115" s="69">
        <v>205</v>
      </c>
      <c r="E115" s="69">
        <v>309</v>
      </c>
      <c r="F115" s="69">
        <v>406</v>
      </c>
      <c r="G115" s="69">
        <v>508</v>
      </c>
      <c r="H115" s="69">
        <v>593</v>
      </c>
      <c r="I115" s="69">
        <v>757</v>
      </c>
      <c r="J115" s="69">
        <v>805</v>
      </c>
      <c r="K115" s="69">
        <v>853</v>
      </c>
      <c r="L115" s="69">
        <v>901</v>
      </c>
      <c r="M115" s="76">
        <v>949</v>
      </c>
      <c r="N115" s="76">
        <v>998</v>
      </c>
      <c r="O115" s="76">
        <v>1046</v>
      </c>
      <c r="P115" s="76">
        <v>1094</v>
      </c>
      <c r="Q115" s="76">
        <v>1142</v>
      </c>
      <c r="R115" s="76">
        <v>1190</v>
      </c>
      <c r="S115" s="76">
        <v>1238</v>
      </c>
      <c r="T115" s="76">
        <v>1286</v>
      </c>
      <c r="U115" s="76">
        <v>1334</v>
      </c>
      <c r="V115" s="76">
        <v>1383</v>
      </c>
      <c r="W115" s="76">
        <v>1431</v>
      </c>
      <c r="X115" s="76">
        <v>1479</v>
      </c>
      <c r="Y115" s="76">
        <v>1527</v>
      </c>
      <c r="Z115" s="76">
        <v>1575</v>
      </c>
      <c r="AA115" s="76">
        <v>1623</v>
      </c>
      <c r="AB115" s="76">
        <v>1671</v>
      </c>
      <c r="AC115" s="76">
        <v>1720</v>
      </c>
      <c r="AD115" s="76">
        <v>1768</v>
      </c>
      <c r="AE115" s="76">
        <v>1816</v>
      </c>
      <c r="AF115" s="76">
        <v>1864</v>
      </c>
      <c r="AG115" s="76">
        <v>1912</v>
      </c>
      <c r="AH115" s="76">
        <v>1912</v>
      </c>
      <c r="AI115" s="76">
        <v>1912</v>
      </c>
    </row>
    <row r="116" spans="1:35" x14ac:dyDescent="0.35">
      <c r="A116" s="65" t="s">
        <v>245</v>
      </c>
      <c r="B116" s="74" t="s">
        <v>442</v>
      </c>
      <c r="C116" s="68">
        <v>132</v>
      </c>
      <c r="D116" s="69">
        <v>208</v>
      </c>
      <c r="E116" s="69">
        <v>313</v>
      </c>
      <c r="F116" s="69">
        <v>411</v>
      </c>
      <c r="G116" s="69">
        <v>515</v>
      </c>
      <c r="H116" s="69">
        <v>601</v>
      </c>
      <c r="I116" s="69">
        <v>639</v>
      </c>
      <c r="J116" s="69">
        <v>677</v>
      </c>
      <c r="K116" s="69">
        <v>715</v>
      </c>
      <c r="L116" s="69">
        <v>753</v>
      </c>
      <c r="M116" s="76">
        <v>791</v>
      </c>
      <c r="N116" s="76">
        <v>829</v>
      </c>
      <c r="O116" s="76">
        <v>867</v>
      </c>
      <c r="P116" s="76">
        <v>904</v>
      </c>
      <c r="Q116" s="76">
        <v>942</v>
      </c>
      <c r="R116" s="76">
        <v>980</v>
      </c>
      <c r="S116" s="76">
        <v>1018</v>
      </c>
      <c r="T116" s="76">
        <v>1056</v>
      </c>
      <c r="U116" s="76">
        <v>1094</v>
      </c>
      <c r="V116" s="76">
        <v>1132</v>
      </c>
      <c r="W116" s="76">
        <v>1170</v>
      </c>
      <c r="X116" s="76">
        <v>1208</v>
      </c>
      <c r="Y116" s="76">
        <v>1246</v>
      </c>
      <c r="Z116" s="76">
        <v>1284</v>
      </c>
      <c r="AA116" s="76">
        <v>1321</v>
      </c>
      <c r="AB116" s="76">
        <v>1359</v>
      </c>
      <c r="AC116" s="76">
        <v>1397</v>
      </c>
      <c r="AD116" s="76">
        <v>1435</v>
      </c>
      <c r="AE116" s="76">
        <v>1473</v>
      </c>
      <c r="AF116" s="76">
        <v>1511</v>
      </c>
      <c r="AG116" s="76">
        <v>1549</v>
      </c>
      <c r="AH116" s="76">
        <v>1549</v>
      </c>
      <c r="AI116" s="76">
        <v>1549</v>
      </c>
    </row>
    <row r="117" spans="1:35" x14ac:dyDescent="0.35">
      <c r="A117" s="65" t="s">
        <v>245</v>
      </c>
      <c r="B117" s="74" t="s">
        <v>443</v>
      </c>
      <c r="C117" s="68">
        <v>150</v>
      </c>
      <c r="D117" s="69">
        <v>241</v>
      </c>
      <c r="E117" s="69">
        <v>366</v>
      </c>
      <c r="F117" s="69">
        <v>482</v>
      </c>
      <c r="G117" s="69">
        <v>605</v>
      </c>
      <c r="H117" s="69">
        <v>708</v>
      </c>
      <c r="I117" s="69">
        <v>1155</v>
      </c>
      <c r="J117" s="69">
        <v>1228</v>
      </c>
      <c r="K117" s="69">
        <v>1302</v>
      </c>
      <c r="L117" s="69">
        <v>1376</v>
      </c>
      <c r="M117" s="76">
        <v>1450</v>
      </c>
      <c r="N117" s="76">
        <v>1523</v>
      </c>
      <c r="O117" s="76">
        <v>1597</v>
      </c>
      <c r="P117" s="76">
        <v>1671</v>
      </c>
      <c r="Q117" s="76">
        <v>1745</v>
      </c>
      <c r="R117" s="76">
        <v>1818</v>
      </c>
      <c r="S117" s="76">
        <v>1892</v>
      </c>
      <c r="T117" s="76">
        <v>1966</v>
      </c>
      <c r="U117" s="76">
        <v>2040</v>
      </c>
      <c r="V117" s="76">
        <v>2113</v>
      </c>
      <c r="W117" s="76">
        <v>2187</v>
      </c>
      <c r="X117" s="76">
        <v>2261</v>
      </c>
      <c r="Y117" s="76">
        <v>2335</v>
      </c>
      <c r="Z117" s="76">
        <v>2408</v>
      </c>
      <c r="AA117" s="76">
        <v>2482</v>
      </c>
      <c r="AB117" s="76">
        <v>2556</v>
      </c>
      <c r="AC117" s="76">
        <v>2630</v>
      </c>
      <c r="AD117" s="76">
        <v>2703</v>
      </c>
      <c r="AE117" s="76">
        <v>2777</v>
      </c>
      <c r="AF117" s="76">
        <v>2851</v>
      </c>
      <c r="AG117" s="76">
        <v>2925</v>
      </c>
      <c r="AH117" s="76">
        <v>2925</v>
      </c>
      <c r="AI117" s="76">
        <v>2925</v>
      </c>
    </row>
    <row r="118" spans="1:35" x14ac:dyDescent="0.35">
      <c r="A118" s="65" t="s">
        <v>245</v>
      </c>
      <c r="B118" s="74" t="s">
        <v>444</v>
      </c>
      <c r="C118" s="68">
        <v>118</v>
      </c>
      <c r="D118" s="69">
        <v>183</v>
      </c>
      <c r="E118" s="69">
        <v>274</v>
      </c>
      <c r="F118" s="69">
        <v>358</v>
      </c>
      <c r="G118" s="69">
        <v>447</v>
      </c>
      <c r="H118" s="69">
        <v>521</v>
      </c>
      <c r="I118" s="69">
        <v>688</v>
      </c>
      <c r="J118" s="69">
        <v>726</v>
      </c>
      <c r="K118" s="69">
        <v>764</v>
      </c>
      <c r="L118" s="69">
        <v>802</v>
      </c>
      <c r="M118" s="76">
        <v>840</v>
      </c>
      <c r="N118" s="76">
        <v>877</v>
      </c>
      <c r="O118" s="76">
        <v>915</v>
      </c>
      <c r="P118" s="76">
        <v>953</v>
      </c>
      <c r="Q118" s="76">
        <v>991</v>
      </c>
      <c r="R118" s="76">
        <v>1029</v>
      </c>
      <c r="S118" s="76">
        <v>1067</v>
      </c>
      <c r="T118" s="76">
        <v>1105</v>
      </c>
      <c r="U118" s="76">
        <v>1143</v>
      </c>
      <c r="V118" s="76">
        <v>1181</v>
      </c>
      <c r="W118" s="76">
        <v>1219</v>
      </c>
      <c r="X118" s="76">
        <v>1257</v>
      </c>
      <c r="Y118" s="76">
        <v>1295</v>
      </c>
      <c r="Z118" s="76">
        <v>1332</v>
      </c>
      <c r="AA118" s="76">
        <v>1370</v>
      </c>
      <c r="AB118" s="76">
        <v>1408</v>
      </c>
      <c r="AC118" s="76">
        <v>1446</v>
      </c>
      <c r="AD118" s="76">
        <v>1484</v>
      </c>
      <c r="AE118" s="76">
        <v>1522</v>
      </c>
      <c r="AF118" s="76">
        <v>1560</v>
      </c>
      <c r="AG118" s="76">
        <v>1598</v>
      </c>
      <c r="AH118" s="76">
        <v>1598</v>
      </c>
      <c r="AI118" s="76">
        <v>1598</v>
      </c>
    </row>
    <row r="119" spans="1:35" x14ac:dyDescent="0.35">
      <c r="A119" s="65" t="s">
        <v>245</v>
      </c>
      <c r="B119" s="74" t="s">
        <v>445</v>
      </c>
      <c r="C119" s="68">
        <v>140</v>
      </c>
      <c r="D119" s="69">
        <v>224</v>
      </c>
      <c r="E119" s="69">
        <v>339</v>
      </c>
      <c r="F119" s="69">
        <v>445</v>
      </c>
      <c r="G119" s="69">
        <v>558</v>
      </c>
      <c r="H119" s="69">
        <v>652</v>
      </c>
      <c r="I119" s="69">
        <v>931</v>
      </c>
      <c r="J119" s="69">
        <v>990</v>
      </c>
      <c r="K119" s="69">
        <v>1050</v>
      </c>
      <c r="L119" s="69">
        <v>1109</v>
      </c>
      <c r="M119" s="76">
        <v>1168</v>
      </c>
      <c r="N119" s="76">
        <v>1228</v>
      </c>
      <c r="O119" s="76">
        <v>1287</v>
      </c>
      <c r="P119" s="76">
        <v>1347</v>
      </c>
      <c r="Q119" s="76">
        <v>1406</v>
      </c>
      <c r="R119" s="76">
        <v>1465</v>
      </c>
      <c r="S119" s="76">
        <v>1525</v>
      </c>
      <c r="T119" s="76">
        <v>1584</v>
      </c>
      <c r="U119" s="76">
        <v>1644</v>
      </c>
      <c r="V119" s="76">
        <v>1703</v>
      </c>
      <c r="W119" s="76">
        <v>1762</v>
      </c>
      <c r="X119" s="76">
        <v>1822</v>
      </c>
      <c r="Y119" s="76">
        <v>1881</v>
      </c>
      <c r="Z119" s="76">
        <v>1941</v>
      </c>
      <c r="AA119" s="76">
        <v>2000</v>
      </c>
      <c r="AB119" s="76">
        <v>2059</v>
      </c>
      <c r="AC119" s="76">
        <v>2119</v>
      </c>
      <c r="AD119" s="76">
        <v>2178</v>
      </c>
      <c r="AE119" s="76">
        <v>2238</v>
      </c>
      <c r="AF119" s="76">
        <v>2297</v>
      </c>
      <c r="AG119" s="76">
        <v>2356</v>
      </c>
      <c r="AH119" s="76">
        <v>2356</v>
      </c>
      <c r="AI119" s="76">
        <v>2356</v>
      </c>
    </row>
    <row r="120" spans="1:35" x14ac:dyDescent="0.35">
      <c r="A120" s="65" t="s">
        <v>245</v>
      </c>
      <c r="B120" s="74" t="s">
        <v>446</v>
      </c>
      <c r="C120" s="68">
        <v>146</v>
      </c>
      <c r="D120" s="69">
        <v>234</v>
      </c>
      <c r="E120" s="69">
        <v>354</v>
      </c>
      <c r="F120" s="69">
        <v>466</v>
      </c>
      <c r="G120" s="69">
        <v>584</v>
      </c>
      <c r="H120" s="69">
        <v>683</v>
      </c>
      <c r="I120" s="69">
        <v>898</v>
      </c>
      <c r="J120" s="69">
        <v>955</v>
      </c>
      <c r="K120" s="69">
        <v>1013</v>
      </c>
      <c r="L120" s="69">
        <v>1070</v>
      </c>
      <c r="M120" s="76">
        <v>1127</v>
      </c>
      <c r="N120" s="76">
        <v>1184</v>
      </c>
      <c r="O120" s="76">
        <v>1241</v>
      </c>
      <c r="P120" s="76">
        <v>1299</v>
      </c>
      <c r="Q120" s="76">
        <v>1356</v>
      </c>
      <c r="R120" s="76">
        <v>1413</v>
      </c>
      <c r="S120" s="76">
        <v>1470</v>
      </c>
      <c r="T120" s="76">
        <v>1527</v>
      </c>
      <c r="U120" s="76">
        <v>1584</v>
      </c>
      <c r="V120" s="76">
        <v>1642</v>
      </c>
      <c r="W120" s="76">
        <v>1699</v>
      </c>
      <c r="X120" s="76">
        <v>1756</v>
      </c>
      <c r="Y120" s="76">
        <v>1813</v>
      </c>
      <c r="Z120" s="76">
        <v>1870</v>
      </c>
      <c r="AA120" s="76">
        <v>1928</v>
      </c>
      <c r="AB120" s="76">
        <v>1985</v>
      </c>
      <c r="AC120" s="76">
        <v>2042</v>
      </c>
      <c r="AD120" s="76">
        <v>2099</v>
      </c>
      <c r="AE120" s="76">
        <v>2156</v>
      </c>
      <c r="AF120" s="76">
        <v>2214</v>
      </c>
      <c r="AG120" s="76">
        <v>2271</v>
      </c>
      <c r="AH120" s="76">
        <v>2271</v>
      </c>
      <c r="AI120" s="76">
        <v>2271</v>
      </c>
    </row>
    <row r="121" spans="1:35" x14ac:dyDescent="0.35">
      <c r="A121" s="65" t="s">
        <v>245</v>
      </c>
      <c r="B121" s="74" t="s">
        <v>447</v>
      </c>
      <c r="C121" s="68">
        <v>113</v>
      </c>
      <c r="D121" s="69">
        <v>173</v>
      </c>
      <c r="E121" s="69">
        <v>259</v>
      </c>
      <c r="F121" s="69">
        <v>338</v>
      </c>
      <c r="G121" s="69">
        <v>421</v>
      </c>
      <c r="H121" s="69">
        <v>491</v>
      </c>
      <c r="I121" s="69">
        <v>504</v>
      </c>
      <c r="J121" s="69">
        <v>533</v>
      </c>
      <c r="K121" s="69">
        <v>561</v>
      </c>
      <c r="L121" s="69">
        <v>590</v>
      </c>
      <c r="M121" s="76">
        <v>619</v>
      </c>
      <c r="N121" s="76">
        <v>648</v>
      </c>
      <c r="O121" s="76">
        <v>676</v>
      </c>
      <c r="P121" s="76">
        <v>705</v>
      </c>
      <c r="Q121" s="76">
        <v>734</v>
      </c>
      <c r="R121" s="76">
        <v>763</v>
      </c>
      <c r="S121" s="76">
        <v>791</v>
      </c>
      <c r="T121" s="76">
        <v>820</v>
      </c>
      <c r="U121" s="76">
        <v>849</v>
      </c>
      <c r="V121" s="76">
        <v>878</v>
      </c>
      <c r="W121" s="76">
        <v>906</v>
      </c>
      <c r="X121" s="76">
        <v>935</v>
      </c>
      <c r="Y121" s="76">
        <v>964</v>
      </c>
      <c r="Z121" s="76">
        <v>993</v>
      </c>
      <c r="AA121" s="76">
        <v>1021</v>
      </c>
      <c r="AB121" s="76">
        <v>1050</v>
      </c>
      <c r="AC121" s="76">
        <v>1079</v>
      </c>
      <c r="AD121" s="76">
        <v>1108</v>
      </c>
      <c r="AE121" s="76">
        <v>1136</v>
      </c>
      <c r="AF121" s="76">
        <v>1165</v>
      </c>
      <c r="AG121" s="76">
        <v>1193</v>
      </c>
      <c r="AH121" s="76">
        <v>1193</v>
      </c>
      <c r="AI121" s="76">
        <v>1193</v>
      </c>
    </row>
    <row r="122" spans="1:35" x14ac:dyDescent="0.35">
      <c r="A122" s="65" t="s">
        <v>245</v>
      </c>
      <c r="B122" s="74" t="s">
        <v>448</v>
      </c>
      <c r="C122" s="68">
        <v>129</v>
      </c>
      <c r="D122" s="69">
        <v>203</v>
      </c>
      <c r="E122" s="69">
        <v>306</v>
      </c>
      <c r="F122" s="69">
        <v>402</v>
      </c>
      <c r="G122" s="69">
        <v>502</v>
      </c>
      <c r="H122" s="69">
        <v>587</v>
      </c>
      <c r="I122" s="69">
        <v>639</v>
      </c>
      <c r="J122" s="69">
        <v>677</v>
      </c>
      <c r="K122" s="69">
        <v>715</v>
      </c>
      <c r="L122" s="69">
        <v>753</v>
      </c>
      <c r="M122" s="76">
        <v>791</v>
      </c>
      <c r="N122" s="76">
        <v>829</v>
      </c>
      <c r="O122" s="76">
        <v>867</v>
      </c>
      <c r="P122" s="76">
        <v>904</v>
      </c>
      <c r="Q122" s="76">
        <v>942</v>
      </c>
      <c r="R122" s="76">
        <v>980</v>
      </c>
      <c r="S122" s="76">
        <v>1018</v>
      </c>
      <c r="T122" s="76">
        <v>1056</v>
      </c>
      <c r="U122" s="76">
        <v>1094</v>
      </c>
      <c r="V122" s="76">
        <v>1132</v>
      </c>
      <c r="W122" s="76">
        <v>1170</v>
      </c>
      <c r="X122" s="76">
        <v>1208</v>
      </c>
      <c r="Y122" s="76">
        <v>1246</v>
      </c>
      <c r="Z122" s="76">
        <v>1284</v>
      </c>
      <c r="AA122" s="76">
        <v>1321</v>
      </c>
      <c r="AB122" s="76">
        <v>1359</v>
      </c>
      <c r="AC122" s="76">
        <v>1397</v>
      </c>
      <c r="AD122" s="76">
        <v>1435</v>
      </c>
      <c r="AE122" s="76">
        <v>1473</v>
      </c>
      <c r="AF122" s="76">
        <v>1511</v>
      </c>
      <c r="AG122" s="76">
        <v>1549</v>
      </c>
      <c r="AH122" s="76">
        <v>1549</v>
      </c>
      <c r="AI122" s="76">
        <v>1549</v>
      </c>
    </row>
    <row r="123" spans="1:35" x14ac:dyDescent="0.35">
      <c r="A123" s="65" t="s">
        <v>245</v>
      </c>
      <c r="B123" s="74" t="s">
        <v>449</v>
      </c>
      <c r="C123" s="68">
        <v>150</v>
      </c>
      <c r="D123" s="69">
        <v>241</v>
      </c>
      <c r="E123" s="69">
        <v>366</v>
      </c>
      <c r="F123" s="69">
        <v>482</v>
      </c>
      <c r="G123" s="69">
        <v>605</v>
      </c>
      <c r="H123" s="69">
        <v>708</v>
      </c>
      <c r="I123" s="69">
        <v>983</v>
      </c>
      <c r="J123" s="69">
        <v>1047</v>
      </c>
      <c r="K123" s="69">
        <v>1111</v>
      </c>
      <c r="L123" s="69">
        <v>1175</v>
      </c>
      <c r="M123" s="76">
        <v>1238</v>
      </c>
      <c r="N123" s="76">
        <v>1302</v>
      </c>
      <c r="O123" s="76">
        <v>1366</v>
      </c>
      <c r="P123" s="76">
        <v>1430</v>
      </c>
      <c r="Q123" s="76">
        <v>1493</v>
      </c>
      <c r="R123" s="76">
        <v>1557</v>
      </c>
      <c r="S123" s="76">
        <v>1621</v>
      </c>
      <c r="T123" s="76">
        <v>1685</v>
      </c>
      <c r="U123" s="76">
        <v>1748</v>
      </c>
      <c r="V123" s="76">
        <v>1812</v>
      </c>
      <c r="W123" s="76">
        <v>1876</v>
      </c>
      <c r="X123" s="76">
        <v>1940</v>
      </c>
      <c r="Y123" s="76">
        <v>2003</v>
      </c>
      <c r="Z123" s="76">
        <v>2067</v>
      </c>
      <c r="AA123" s="76">
        <v>2131</v>
      </c>
      <c r="AB123" s="76">
        <v>2195</v>
      </c>
      <c r="AC123" s="76">
        <v>2258</v>
      </c>
      <c r="AD123" s="76">
        <v>2322</v>
      </c>
      <c r="AE123" s="76">
        <v>2386</v>
      </c>
      <c r="AF123" s="76">
        <v>2450</v>
      </c>
      <c r="AG123" s="76">
        <v>2487</v>
      </c>
      <c r="AH123" s="76">
        <v>2487</v>
      </c>
      <c r="AI123" s="76">
        <v>2487</v>
      </c>
    </row>
    <row r="124" spans="1:35" x14ac:dyDescent="0.35">
      <c r="A124" s="65" t="s">
        <v>245</v>
      </c>
      <c r="B124" s="74" t="s">
        <v>450</v>
      </c>
      <c r="C124" s="68">
        <v>136</v>
      </c>
      <c r="D124" s="69">
        <v>215</v>
      </c>
      <c r="E124" s="69">
        <v>325</v>
      </c>
      <c r="F124" s="69">
        <v>427</v>
      </c>
      <c r="G124" s="69">
        <v>534</v>
      </c>
      <c r="H124" s="69">
        <v>624</v>
      </c>
      <c r="I124" s="69">
        <v>733</v>
      </c>
      <c r="J124" s="69">
        <v>779</v>
      </c>
      <c r="K124" s="69">
        <v>825</v>
      </c>
      <c r="L124" s="69">
        <v>872</v>
      </c>
      <c r="M124" s="76">
        <v>918</v>
      </c>
      <c r="N124" s="76">
        <v>964</v>
      </c>
      <c r="O124" s="76">
        <v>1010</v>
      </c>
      <c r="P124" s="76">
        <v>1057</v>
      </c>
      <c r="Q124" s="76">
        <v>1103</v>
      </c>
      <c r="R124" s="76">
        <v>1149</v>
      </c>
      <c r="S124" s="76">
        <v>1195</v>
      </c>
      <c r="T124" s="76">
        <v>1242</v>
      </c>
      <c r="U124" s="76">
        <v>1288</v>
      </c>
      <c r="V124" s="76">
        <v>1334</v>
      </c>
      <c r="W124" s="76">
        <v>1380</v>
      </c>
      <c r="X124" s="76">
        <v>1427</v>
      </c>
      <c r="Y124" s="76">
        <v>1473</v>
      </c>
      <c r="Z124" s="76">
        <v>1519</v>
      </c>
      <c r="AA124" s="76">
        <v>1565</v>
      </c>
      <c r="AB124" s="76">
        <v>1612</v>
      </c>
      <c r="AC124" s="76">
        <v>1658</v>
      </c>
      <c r="AD124" s="76">
        <v>1704</v>
      </c>
      <c r="AE124" s="76">
        <v>1750</v>
      </c>
      <c r="AF124" s="76">
        <v>1797</v>
      </c>
      <c r="AG124" s="76">
        <v>1813</v>
      </c>
      <c r="AH124" s="76">
        <v>1813</v>
      </c>
      <c r="AI124" s="76">
        <v>1813</v>
      </c>
    </row>
    <row r="125" spans="1:35" x14ac:dyDescent="0.35">
      <c r="A125" s="65" t="s">
        <v>245</v>
      </c>
      <c r="B125" s="74" t="s">
        <v>451</v>
      </c>
      <c r="C125" s="68">
        <v>150</v>
      </c>
      <c r="D125" s="69">
        <v>241</v>
      </c>
      <c r="E125" s="69">
        <v>366</v>
      </c>
      <c r="F125" s="69">
        <v>482</v>
      </c>
      <c r="G125" s="69">
        <v>605</v>
      </c>
      <c r="H125" s="69">
        <v>708</v>
      </c>
      <c r="I125" s="69">
        <v>1030</v>
      </c>
      <c r="J125" s="69">
        <v>1096</v>
      </c>
      <c r="K125" s="69">
        <v>1162</v>
      </c>
      <c r="L125" s="69">
        <v>1229</v>
      </c>
      <c r="M125" s="76">
        <v>1295</v>
      </c>
      <c r="N125" s="76">
        <v>1361</v>
      </c>
      <c r="O125" s="76">
        <v>1427</v>
      </c>
      <c r="P125" s="76">
        <v>1494</v>
      </c>
      <c r="Q125" s="76">
        <v>1560</v>
      </c>
      <c r="R125" s="76">
        <v>1626</v>
      </c>
      <c r="S125" s="76">
        <v>1692</v>
      </c>
      <c r="T125" s="76">
        <v>1759</v>
      </c>
      <c r="U125" s="76">
        <v>1825</v>
      </c>
      <c r="V125" s="76">
        <v>1891</v>
      </c>
      <c r="W125" s="76">
        <v>1957</v>
      </c>
      <c r="X125" s="76">
        <v>2024</v>
      </c>
      <c r="Y125" s="76">
        <v>2090</v>
      </c>
      <c r="Z125" s="76">
        <v>2156</v>
      </c>
      <c r="AA125" s="76">
        <v>2222</v>
      </c>
      <c r="AB125" s="76">
        <v>2289</v>
      </c>
      <c r="AC125" s="76">
        <v>2355</v>
      </c>
      <c r="AD125" s="76">
        <v>2421</v>
      </c>
      <c r="AE125" s="76">
        <v>2487</v>
      </c>
      <c r="AF125" s="76">
        <v>2554</v>
      </c>
      <c r="AG125" s="76">
        <v>2620</v>
      </c>
      <c r="AH125" s="76">
        <v>2620</v>
      </c>
      <c r="AI125" s="76">
        <v>2620</v>
      </c>
    </row>
    <row r="126" spans="1:35" x14ac:dyDescent="0.35">
      <c r="A126" s="65" t="s">
        <v>245</v>
      </c>
      <c r="B126" s="74" t="s">
        <v>452</v>
      </c>
      <c r="C126" s="68">
        <v>133</v>
      </c>
      <c r="D126" s="69">
        <v>211</v>
      </c>
      <c r="E126" s="69">
        <v>319</v>
      </c>
      <c r="F126" s="69">
        <v>418</v>
      </c>
      <c r="G126" s="69">
        <v>524</v>
      </c>
      <c r="H126" s="69">
        <v>612</v>
      </c>
      <c r="I126" s="69">
        <v>892</v>
      </c>
      <c r="J126" s="69">
        <v>944</v>
      </c>
      <c r="K126" s="69">
        <v>995</v>
      </c>
      <c r="L126" s="69">
        <v>1046</v>
      </c>
      <c r="M126" s="76">
        <v>1097</v>
      </c>
      <c r="N126" s="76">
        <v>1149</v>
      </c>
      <c r="O126" s="76">
        <v>1200</v>
      </c>
      <c r="P126" s="76">
        <v>1251</v>
      </c>
      <c r="Q126" s="76">
        <v>1302</v>
      </c>
      <c r="R126" s="76">
        <v>1354</v>
      </c>
      <c r="S126" s="76">
        <v>1405</v>
      </c>
      <c r="T126" s="76">
        <v>1456</v>
      </c>
      <c r="U126" s="76">
        <v>1507</v>
      </c>
      <c r="V126" s="76">
        <v>1559</v>
      </c>
      <c r="W126" s="76">
        <v>1610</v>
      </c>
      <c r="X126" s="76">
        <v>1661</v>
      </c>
      <c r="Y126" s="76">
        <v>1712</v>
      </c>
      <c r="Z126" s="76">
        <v>1764</v>
      </c>
      <c r="AA126" s="76">
        <v>1815</v>
      </c>
      <c r="AB126" s="76">
        <v>1866</v>
      </c>
      <c r="AC126" s="76">
        <v>1917</v>
      </c>
      <c r="AD126" s="76">
        <v>1969</v>
      </c>
      <c r="AE126" s="76">
        <v>2020</v>
      </c>
      <c r="AF126" s="76">
        <v>2071</v>
      </c>
      <c r="AG126" s="76">
        <v>2122</v>
      </c>
      <c r="AH126" s="76">
        <v>2122</v>
      </c>
      <c r="AI126" s="76">
        <v>2122</v>
      </c>
    </row>
    <row r="127" spans="1:35" x14ac:dyDescent="0.35">
      <c r="A127" s="65" t="s">
        <v>245</v>
      </c>
      <c r="B127" s="74" t="s">
        <v>453</v>
      </c>
      <c r="C127" s="68">
        <v>128</v>
      </c>
      <c r="D127" s="69">
        <v>201</v>
      </c>
      <c r="E127" s="69">
        <v>302</v>
      </c>
      <c r="F127" s="69">
        <v>396</v>
      </c>
      <c r="G127" s="69">
        <v>495</v>
      </c>
      <c r="H127" s="69">
        <v>578</v>
      </c>
      <c r="I127" s="69">
        <v>639</v>
      </c>
      <c r="J127" s="69">
        <v>677</v>
      </c>
      <c r="K127" s="69">
        <v>715</v>
      </c>
      <c r="L127" s="69">
        <v>753</v>
      </c>
      <c r="M127" s="76">
        <v>791</v>
      </c>
      <c r="N127" s="76">
        <v>829</v>
      </c>
      <c r="O127" s="76">
        <v>867</v>
      </c>
      <c r="P127" s="76">
        <v>904</v>
      </c>
      <c r="Q127" s="76">
        <v>942</v>
      </c>
      <c r="R127" s="76">
        <v>980</v>
      </c>
      <c r="S127" s="76">
        <v>1018</v>
      </c>
      <c r="T127" s="76">
        <v>1056</v>
      </c>
      <c r="U127" s="76">
        <v>1094</v>
      </c>
      <c r="V127" s="76">
        <v>1132</v>
      </c>
      <c r="W127" s="76">
        <v>1170</v>
      </c>
      <c r="X127" s="76">
        <v>1208</v>
      </c>
      <c r="Y127" s="76">
        <v>1246</v>
      </c>
      <c r="Z127" s="76">
        <v>1284</v>
      </c>
      <c r="AA127" s="76">
        <v>1321</v>
      </c>
      <c r="AB127" s="76">
        <v>1359</v>
      </c>
      <c r="AC127" s="76">
        <v>1397</v>
      </c>
      <c r="AD127" s="76">
        <v>1435</v>
      </c>
      <c r="AE127" s="76">
        <v>1473</v>
      </c>
      <c r="AF127" s="76">
        <v>1511</v>
      </c>
      <c r="AG127" s="76">
        <v>1549</v>
      </c>
      <c r="AH127" s="76">
        <v>1549</v>
      </c>
      <c r="AI127" s="76">
        <v>1549</v>
      </c>
    </row>
    <row r="128" spans="1:35" x14ac:dyDescent="0.35">
      <c r="A128" s="65" t="s">
        <v>245</v>
      </c>
      <c r="B128" s="74" t="s">
        <v>454</v>
      </c>
      <c r="C128" s="68">
        <v>150</v>
      </c>
      <c r="D128" s="69">
        <v>241</v>
      </c>
      <c r="E128" s="69">
        <v>366</v>
      </c>
      <c r="F128" s="69">
        <v>482</v>
      </c>
      <c r="G128" s="69">
        <v>605</v>
      </c>
      <c r="H128" s="69">
        <v>708</v>
      </c>
      <c r="I128" s="69">
        <v>983</v>
      </c>
      <c r="J128" s="69">
        <v>1047</v>
      </c>
      <c r="K128" s="69">
        <v>1111</v>
      </c>
      <c r="L128" s="69">
        <v>1175</v>
      </c>
      <c r="M128" s="76">
        <v>1238</v>
      </c>
      <c r="N128" s="76">
        <v>1302</v>
      </c>
      <c r="O128" s="76">
        <v>1366</v>
      </c>
      <c r="P128" s="76">
        <v>1430</v>
      </c>
      <c r="Q128" s="76">
        <v>1493</v>
      </c>
      <c r="R128" s="76">
        <v>1557</v>
      </c>
      <c r="S128" s="76">
        <v>1621</v>
      </c>
      <c r="T128" s="76">
        <v>1685</v>
      </c>
      <c r="U128" s="76">
        <v>1748</v>
      </c>
      <c r="V128" s="76">
        <v>1812</v>
      </c>
      <c r="W128" s="76">
        <v>1876</v>
      </c>
      <c r="X128" s="76">
        <v>1940</v>
      </c>
      <c r="Y128" s="76">
        <v>2003</v>
      </c>
      <c r="Z128" s="76">
        <v>2067</v>
      </c>
      <c r="AA128" s="76">
        <v>2131</v>
      </c>
      <c r="AB128" s="76">
        <v>2195</v>
      </c>
      <c r="AC128" s="76">
        <v>2258</v>
      </c>
      <c r="AD128" s="76">
        <v>2322</v>
      </c>
      <c r="AE128" s="76">
        <v>2386</v>
      </c>
      <c r="AF128" s="76">
        <v>2450</v>
      </c>
      <c r="AG128" s="76">
        <v>2487</v>
      </c>
      <c r="AH128" s="76">
        <v>2487</v>
      </c>
      <c r="AI128" s="76">
        <v>2487</v>
      </c>
    </row>
    <row r="129" spans="1:35" x14ac:dyDescent="0.35">
      <c r="A129" s="65" t="s">
        <v>245</v>
      </c>
      <c r="B129" s="74" t="s">
        <v>455</v>
      </c>
      <c r="C129" s="68">
        <v>147</v>
      </c>
      <c r="D129" s="69">
        <v>236</v>
      </c>
      <c r="E129" s="69">
        <v>357</v>
      </c>
      <c r="F129" s="69">
        <v>470</v>
      </c>
      <c r="G129" s="69">
        <v>590</v>
      </c>
      <c r="H129" s="69">
        <v>690</v>
      </c>
      <c r="I129" s="69">
        <v>892</v>
      </c>
      <c r="J129" s="69">
        <v>944</v>
      </c>
      <c r="K129" s="69">
        <v>995</v>
      </c>
      <c r="L129" s="69">
        <v>1046</v>
      </c>
      <c r="M129" s="76">
        <v>1097</v>
      </c>
      <c r="N129" s="76">
        <v>1149</v>
      </c>
      <c r="O129" s="76">
        <v>1200</v>
      </c>
      <c r="P129" s="76">
        <v>1251</v>
      </c>
      <c r="Q129" s="76">
        <v>1302</v>
      </c>
      <c r="R129" s="76">
        <v>1354</v>
      </c>
      <c r="S129" s="76">
        <v>1405</v>
      </c>
      <c r="T129" s="76">
        <v>1456</v>
      </c>
      <c r="U129" s="76">
        <v>1507</v>
      </c>
      <c r="V129" s="76">
        <v>1559</v>
      </c>
      <c r="W129" s="76">
        <v>1610</v>
      </c>
      <c r="X129" s="76">
        <v>1661</v>
      </c>
      <c r="Y129" s="76">
        <v>1712</v>
      </c>
      <c r="Z129" s="76">
        <v>1764</v>
      </c>
      <c r="AA129" s="76">
        <v>1815</v>
      </c>
      <c r="AB129" s="76">
        <v>1866</v>
      </c>
      <c r="AC129" s="76">
        <v>1917</v>
      </c>
      <c r="AD129" s="76">
        <v>1969</v>
      </c>
      <c r="AE129" s="76">
        <v>2020</v>
      </c>
      <c r="AF129" s="76">
        <v>2071</v>
      </c>
      <c r="AG129" s="76">
        <v>2122</v>
      </c>
      <c r="AH129" s="76">
        <v>2122</v>
      </c>
      <c r="AI129" s="76">
        <v>2122</v>
      </c>
    </row>
    <row r="130" spans="1:35" x14ac:dyDescent="0.35">
      <c r="A130" s="65" t="s">
        <v>245</v>
      </c>
      <c r="B130" s="74" t="s">
        <v>456</v>
      </c>
      <c r="C130" s="68">
        <v>139</v>
      </c>
      <c r="D130" s="69">
        <v>221</v>
      </c>
      <c r="E130" s="69">
        <v>334</v>
      </c>
      <c r="F130" s="69">
        <v>439</v>
      </c>
      <c r="G130" s="69">
        <v>550</v>
      </c>
      <c r="H130" s="69">
        <v>643</v>
      </c>
      <c r="I130" s="69">
        <v>898</v>
      </c>
      <c r="J130" s="69">
        <v>955</v>
      </c>
      <c r="K130" s="69">
        <v>1013</v>
      </c>
      <c r="L130" s="69">
        <v>1070</v>
      </c>
      <c r="M130" s="76">
        <v>1127</v>
      </c>
      <c r="N130" s="76">
        <v>1184</v>
      </c>
      <c r="O130" s="76">
        <v>1241</v>
      </c>
      <c r="P130" s="76">
        <v>1299</v>
      </c>
      <c r="Q130" s="76">
        <v>1356</v>
      </c>
      <c r="R130" s="76">
        <v>1413</v>
      </c>
      <c r="S130" s="76">
        <v>1470</v>
      </c>
      <c r="T130" s="76">
        <v>1527</v>
      </c>
      <c r="U130" s="76">
        <v>1584</v>
      </c>
      <c r="V130" s="76">
        <v>1642</v>
      </c>
      <c r="W130" s="76">
        <v>1699</v>
      </c>
      <c r="X130" s="76">
        <v>1756</v>
      </c>
      <c r="Y130" s="76">
        <v>1813</v>
      </c>
      <c r="Z130" s="76">
        <v>1870</v>
      </c>
      <c r="AA130" s="76">
        <v>1928</v>
      </c>
      <c r="AB130" s="76">
        <v>1985</v>
      </c>
      <c r="AC130" s="76">
        <v>2042</v>
      </c>
      <c r="AD130" s="76">
        <v>2099</v>
      </c>
      <c r="AE130" s="76">
        <v>2156</v>
      </c>
      <c r="AF130" s="76">
        <v>2214</v>
      </c>
      <c r="AG130" s="76">
        <v>2271</v>
      </c>
      <c r="AH130" s="76">
        <v>2271</v>
      </c>
      <c r="AI130" s="76">
        <v>2271</v>
      </c>
    </row>
    <row r="131" spans="1:35" x14ac:dyDescent="0.35">
      <c r="A131" s="65" t="s">
        <v>245</v>
      </c>
      <c r="B131" s="74" t="s">
        <v>457</v>
      </c>
      <c r="C131" s="68">
        <v>329</v>
      </c>
      <c r="D131" s="69">
        <v>532</v>
      </c>
      <c r="E131" s="69">
        <v>840</v>
      </c>
      <c r="F131" s="69">
        <v>1123</v>
      </c>
      <c r="G131" s="69">
        <v>1413</v>
      </c>
      <c r="H131" s="69">
        <v>1647</v>
      </c>
      <c r="I131" s="69">
        <v>1647</v>
      </c>
      <c r="J131" s="69">
        <v>1647</v>
      </c>
      <c r="K131" s="69">
        <v>1647</v>
      </c>
      <c r="L131" s="69">
        <v>1647</v>
      </c>
      <c r="M131" s="69">
        <v>1647</v>
      </c>
      <c r="N131" s="69">
        <v>1647</v>
      </c>
      <c r="O131" s="69">
        <v>1647</v>
      </c>
      <c r="P131" s="69">
        <v>1647</v>
      </c>
      <c r="Q131" s="69">
        <v>1647</v>
      </c>
      <c r="R131" s="69">
        <v>1647</v>
      </c>
      <c r="S131" s="69">
        <v>1647</v>
      </c>
      <c r="T131" s="69">
        <v>1647</v>
      </c>
      <c r="U131" s="69">
        <v>1647</v>
      </c>
      <c r="V131" s="69">
        <v>1647</v>
      </c>
      <c r="W131" s="69">
        <v>1647</v>
      </c>
      <c r="X131" s="69">
        <v>1647</v>
      </c>
      <c r="Y131" s="69">
        <v>1647</v>
      </c>
      <c r="Z131" s="69">
        <v>1647</v>
      </c>
      <c r="AA131" s="69">
        <v>1647</v>
      </c>
      <c r="AB131" s="69">
        <v>1647</v>
      </c>
      <c r="AC131" s="69">
        <v>1647</v>
      </c>
      <c r="AD131" s="69">
        <v>1647</v>
      </c>
      <c r="AE131" s="69">
        <v>1647</v>
      </c>
      <c r="AF131" s="69">
        <v>1647</v>
      </c>
      <c r="AG131" s="69">
        <v>1647</v>
      </c>
      <c r="AH131" s="69">
        <v>1647</v>
      </c>
      <c r="AI131" s="69">
        <v>1647</v>
      </c>
    </row>
    <row r="132" spans="1:35" x14ac:dyDescent="0.35">
      <c r="A132" s="65" t="s">
        <v>245</v>
      </c>
      <c r="B132" s="74" t="s">
        <v>458</v>
      </c>
      <c r="C132" s="68">
        <v>150</v>
      </c>
      <c r="D132" s="69">
        <v>241</v>
      </c>
      <c r="E132" s="69">
        <v>366</v>
      </c>
      <c r="F132" s="69">
        <v>482</v>
      </c>
      <c r="G132" s="69">
        <v>605</v>
      </c>
      <c r="H132" s="69">
        <v>708</v>
      </c>
      <c r="I132" s="69">
        <v>1056</v>
      </c>
      <c r="J132" s="69">
        <v>1124</v>
      </c>
      <c r="K132" s="69">
        <v>1191</v>
      </c>
      <c r="L132" s="69">
        <v>1259</v>
      </c>
      <c r="M132" s="76">
        <v>1326</v>
      </c>
      <c r="N132" s="76">
        <v>1394</v>
      </c>
      <c r="O132" s="76">
        <v>1461</v>
      </c>
      <c r="P132" s="76">
        <v>1529</v>
      </c>
      <c r="Q132" s="76">
        <v>1596</v>
      </c>
      <c r="R132" s="76">
        <v>1664</v>
      </c>
      <c r="S132" s="76">
        <v>1731</v>
      </c>
      <c r="T132" s="76">
        <v>1799</v>
      </c>
      <c r="U132" s="76">
        <v>1866</v>
      </c>
      <c r="V132" s="76">
        <v>1934</v>
      </c>
      <c r="W132" s="76">
        <v>2001</v>
      </c>
      <c r="X132" s="76">
        <v>2069</v>
      </c>
      <c r="Y132" s="76">
        <v>2136</v>
      </c>
      <c r="Z132" s="76">
        <v>2204</v>
      </c>
      <c r="AA132" s="76">
        <v>2271</v>
      </c>
      <c r="AB132" s="76">
        <v>2339</v>
      </c>
      <c r="AC132" s="76">
        <v>2406</v>
      </c>
      <c r="AD132" s="76">
        <v>2474</v>
      </c>
      <c r="AE132" s="76">
        <v>2541</v>
      </c>
      <c r="AF132" s="76">
        <v>2609</v>
      </c>
      <c r="AG132" s="76">
        <v>2675</v>
      </c>
      <c r="AH132" s="76">
        <v>2675</v>
      </c>
      <c r="AI132" s="76">
        <v>2675</v>
      </c>
    </row>
    <row r="133" spans="1:35" x14ac:dyDescent="0.35">
      <c r="A133" s="65" t="s">
        <v>245</v>
      </c>
      <c r="B133" s="74" t="s">
        <v>459</v>
      </c>
      <c r="C133" s="68">
        <v>146</v>
      </c>
      <c r="D133" s="69">
        <v>235</v>
      </c>
      <c r="E133" s="69">
        <v>356</v>
      </c>
      <c r="F133" s="69">
        <v>468</v>
      </c>
      <c r="G133" s="69">
        <v>588</v>
      </c>
      <c r="H133" s="69">
        <v>687</v>
      </c>
      <c r="I133" s="69">
        <v>931</v>
      </c>
      <c r="J133" s="69">
        <v>990</v>
      </c>
      <c r="K133" s="69">
        <v>1050</v>
      </c>
      <c r="L133" s="69">
        <v>1109</v>
      </c>
      <c r="M133" s="76">
        <v>1168</v>
      </c>
      <c r="N133" s="76">
        <v>1228</v>
      </c>
      <c r="O133" s="76">
        <v>1287</v>
      </c>
      <c r="P133" s="76">
        <v>1347</v>
      </c>
      <c r="Q133" s="76">
        <v>1406</v>
      </c>
      <c r="R133" s="76">
        <v>1465</v>
      </c>
      <c r="S133" s="76">
        <v>1525</v>
      </c>
      <c r="T133" s="76">
        <v>1584</v>
      </c>
      <c r="U133" s="76">
        <v>1644</v>
      </c>
      <c r="V133" s="76">
        <v>1703</v>
      </c>
      <c r="W133" s="76">
        <v>1762</v>
      </c>
      <c r="X133" s="76">
        <v>1822</v>
      </c>
      <c r="Y133" s="76">
        <v>1881</v>
      </c>
      <c r="Z133" s="76">
        <v>1941</v>
      </c>
      <c r="AA133" s="76">
        <v>2000</v>
      </c>
      <c r="AB133" s="76">
        <v>2059</v>
      </c>
      <c r="AC133" s="76">
        <v>2119</v>
      </c>
      <c r="AD133" s="76">
        <v>2178</v>
      </c>
      <c r="AE133" s="76">
        <v>2238</v>
      </c>
      <c r="AF133" s="76">
        <v>2297</v>
      </c>
      <c r="AG133" s="76">
        <v>2356</v>
      </c>
      <c r="AH133" s="76">
        <v>2356</v>
      </c>
      <c r="AI133" s="76">
        <v>2356</v>
      </c>
    </row>
    <row r="134" spans="1:35" x14ac:dyDescent="0.35">
      <c r="A134" s="65" t="s">
        <v>245</v>
      </c>
      <c r="B134" s="74" t="s">
        <v>460</v>
      </c>
      <c r="C134" s="68">
        <v>327</v>
      </c>
      <c r="D134" s="69">
        <v>527</v>
      </c>
      <c r="E134" s="69">
        <v>832</v>
      </c>
      <c r="F134" s="69">
        <v>1111</v>
      </c>
      <c r="G134" s="69">
        <v>1398</v>
      </c>
      <c r="H134" s="69">
        <v>1630</v>
      </c>
      <c r="I134" s="69">
        <v>1630</v>
      </c>
      <c r="J134" s="69">
        <v>1630</v>
      </c>
      <c r="K134" s="69">
        <v>1630</v>
      </c>
      <c r="L134" s="69">
        <v>1630</v>
      </c>
      <c r="M134" s="69">
        <v>1630</v>
      </c>
      <c r="N134" s="69">
        <v>1630</v>
      </c>
      <c r="O134" s="69">
        <v>1630</v>
      </c>
      <c r="P134" s="69">
        <v>1630</v>
      </c>
      <c r="Q134" s="69">
        <v>1630</v>
      </c>
      <c r="R134" s="69">
        <v>1630</v>
      </c>
      <c r="S134" s="69">
        <v>1630</v>
      </c>
      <c r="T134" s="69">
        <v>1630</v>
      </c>
      <c r="U134" s="69">
        <v>1630</v>
      </c>
      <c r="V134" s="69">
        <v>1630</v>
      </c>
      <c r="W134" s="69">
        <v>1630</v>
      </c>
      <c r="X134" s="69">
        <v>1630</v>
      </c>
      <c r="Y134" s="69">
        <v>1630</v>
      </c>
      <c r="Z134" s="69">
        <v>1630</v>
      </c>
      <c r="AA134" s="69">
        <v>1630</v>
      </c>
      <c r="AB134" s="69">
        <v>1630</v>
      </c>
      <c r="AC134" s="69">
        <v>1630</v>
      </c>
      <c r="AD134" s="69">
        <v>1630</v>
      </c>
      <c r="AE134" s="69">
        <v>1630</v>
      </c>
      <c r="AF134" s="69">
        <v>1630</v>
      </c>
      <c r="AG134" s="69">
        <v>1630</v>
      </c>
      <c r="AH134" s="69">
        <v>1630</v>
      </c>
      <c r="AI134" s="69">
        <v>1630</v>
      </c>
    </row>
    <row r="135" spans="1:35" x14ac:dyDescent="0.35">
      <c r="A135" s="65" t="s">
        <v>245</v>
      </c>
      <c r="B135" s="74" t="s">
        <v>461</v>
      </c>
      <c r="C135" s="68">
        <v>138</v>
      </c>
      <c r="D135" s="69">
        <v>220</v>
      </c>
      <c r="E135" s="69">
        <v>333</v>
      </c>
      <c r="F135" s="69">
        <v>438</v>
      </c>
      <c r="G135" s="69">
        <v>548</v>
      </c>
      <c r="H135" s="69">
        <v>641</v>
      </c>
      <c r="I135" s="69">
        <v>792</v>
      </c>
      <c r="J135" s="69">
        <v>840</v>
      </c>
      <c r="K135" s="69">
        <v>888</v>
      </c>
      <c r="L135" s="69">
        <v>936</v>
      </c>
      <c r="M135" s="76">
        <v>984</v>
      </c>
      <c r="N135" s="76">
        <v>1033</v>
      </c>
      <c r="O135" s="76">
        <v>1081</v>
      </c>
      <c r="P135" s="76">
        <v>1129</v>
      </c>
      <c r="Q135" s="76">
        <v>1177</v>
      </c>
      <c r="R135" s="76">
        <v>1225</v>
      </c>
      <c r="S135" s="76">
        <v>1273</v>
      </c>
      <c r="T135" s="76">
        <v>1321</v>
      </c>
      <c r="U135" s="76">
        <v>1370</v>
      </c>
      <c r="V135" s="76">
        <v>1418</v>
      </c>
      <c r="W135" s="76">
        <v>1466</v>
      </c>
      <c r="X135" s="76">
        <v>1514</v>
      </c>
      <c r="Y135" s="76">
        <v>1562</v>
      </c>
      <c r="Z135" s="76">
        <v>1610</v>
      </c>
      <c r="AA135" s="76">
        <v>1658</v>
      </c>
      <c r="AB135" s="76">
        <v>1707</v>
      </c>
      <c r="AC135" s="76">
        <v>1755</v>
      </c>
      <c r="AD135" s="76">
        <v>1803</v>
      </c>
      <c r="AE135" s="76">
        <v>1851</v>
      </c>
      <c r="AF135" s="76">
        <v>1899</v>
      </c>
      <c r="AG135" s="76">
        <v>1947</v>
      </c>
      <c r="AH135" s="76">
        <v>1947</v>
      </c>
      <c r="AI135" s="76">
        <v>1947</v>
      </c>
    </row>
    <row r="136" spans="1:35" x14ac:dyDescent="0.35">
      <c r="A136" s="65" t="s">
        <v>245</v>
      </c>
      <c r="B136" s="74" t="s">
        <v>462</v>
      </c>
      <c r="C136" s="68">
        <v>138</v>
      </c>
      <c r="D136" s="69">
        <v>220</v>
      </c>
      <c r="E136" s="69">
        <v>332</v>
      </c>
      <c r="F136" s="69">
        <v>436</v>
      </c>
      <c r="G136" s="69">
        <v>546</v>
      </c>
      <c r="H136" s="69">
        <v>638</v>
      </c>
      <c r="I136" s="69">
        <v>757</v>
      </c>
      <c r="J136" s="69">
        <v>805</v>
      </c>
      <c r="K136" s="69">
        <v>853</v>
      </c>
      <c r="L136" s="69">
        <v>901</v>
      </c>
      <c r="M136" s="76">
        <v>949</v>
      </c>
      <c r="N136" s="76">
        <v>998</v>
      </c>
      <c r="O136" s="76">
        <v>1046</v>
      </c>
      <c r="P136" s="76">
        <v>1094</v>
      </c>
      <c r="Q136" s="76">
        <v>1142</v>
      </c>
      <c r="R136" s="76">
        <v>1190</v>
      </c>
      <c r="S136" s="76">
        <v>1238</v>
      </c>
      <c r="T136" s="76">
        <v>1286</v>
      </c>
      <c r="U136" s="76">
        <v>1334</v>
      </c>
      <c r="V136" s="76">
        <v>1383</v>
      </c>
      <c r="W136" s="76">
        <v>1431</v>
      </c>
      <c r="X136" s="76">
        <v>1479</v>
      </c>
      <c r="Y136" s="76">
        <v>1527</v>
      </c>
      <c r="Z136" s="76">
        <v>1575</v>
      </c>
      <c r="AA136" s="76">
        <v>1623</v>
      </c>
      <c r="AB136" s="76">
        <v>1671</v>
      </c>
      <c r="AC136" s="76">
        <v>1720</v>
      </c>
      <c r="AD136" s="76">
        <v>1768</v>
      </c>
      <c r="AE136" s="76">
        <v>1816</v>
      </c>
      <c r="AF136" s="76">
        <v>1864</v>
      </c>
      <c r="AG136" s="76">
        <v>1912</v>
      </c>
      <c r="AH136" s="76">
        <v>1912</v>
      </c>
      <c r="AI136" s="76">
        <v>1912</v>
      </c>
    </row>
    <row r="137" spans="1:35" x14ac:dyDescent="0.35">
      <c r="A137" s="65" t="s">
        <v>245</v>
      </c>
      <c r="B137" s="74" t="s">
        <v>463</v>
      </c>
      <c r="C137" s="68">
        <v>150</v>
      </c>
      <c r="D137" s="69">
        <v>241</v>
      </c>
      <c r="E137" s="69">
        <v>366</v>
      </c>
      <c r="F137" s="69">
        <v>482</v>
      </c>
      <c r="G137" s="69">
        <v>605</v>
      </c>
      <c r="H137" s="69">
        <v>707</v>
      </c>
      <c r="I137" s="69">
        <v>1056</v>
      </c>
      <c r="J137" s="69">
        <v>1124</v>
      </c>
      <c r="K137" s="69">
        <v>1191</v>
      </c>
      <c r="L137" s="69">
        <v>1259</v>
      </c>
      <c r="M137" s="76">
        <v>1326</v>
      </c>
      <c r="N137" s="76">
        <v>1394</v>
      </c>
      <c r="O137" s="76">
        <v>1461</v>
      </c>
      <c r="P137" s="76">
        <v>1529</v>
      </c>
      <c r="Q137" s="76">
        <v>1596</v>
      </c>
      <c r="R137" s="76">
        <v>1664</v>
      </c>
      <c r="S137" s="76">
        <v>1731</v>
      </c>
      <c r="T137" s="76">
        <v>1799</v>
      </c>
      <c r="U137" s="76">
        <v>1866</v>
      </c>
      <c r="V137" s="76">
        <v>1934</v>
      </c>
      <c r="W137" s="76">
        <v>2001</v>
      </c>
      <c r="X137" s="76">
        <v>2069</v>
      </c>
      <c r="Y137" s="76">
        <v>2136</v>
      </c>
      <c r="Z137" s="76">
        <v>2204</v>
      </c>
      <c r="AA137" s="76">
        <v>2271</v>
      </c>
      <c r="AB137" s="76">
        <v>2339</v>
      </c>
      <c r="AC137" s="76">
        <v>2406</v>
      </c>
      <c r="AD137" s="76">
        <v>2474</v>
      </c>
      <c r="AE137" s="76">
        <v>2541</v>
      </c>
      <c r="AF137" s="76">
        <v>2609</v>
      </c>
      <c r="AG137" s="76">
        <v>2675</v>
      </c>
      <c r="AH137" s="76">
        <v>2675</v>
      </c>
      <c r="AI137" s="76">
        <v>2675</v>
      </c>
    </row>
    <row r="138" spans="1:35" x14ac:dyDescent="0.35">
      <c r="A138" s="65" t="s">
        <v>245</v>
      </c>
      <c r="B138" s="74" t="s">
        <v>464</v>
      </c>
      <c r="C138" s="68">
        <v>128</v>
      </c>
      <c r="D138" s="69">
        <v>202</v>
      </c>
      <c r="E138" s="69">
        <v>304</v>
      </c>
      <c r="F138" s="69">
        <v>399</v>
      </c>
      <c r="G138" s="69">
        <v>499</v>
      </c>
      <c r="H138" s="69">
        <v>583</v>
      </c>
      <c r="I138" s="69">
        <v>792</v>
      </c>
      <c r="J138" s="69">
        <v>840</v>
      </c>
      <c r="K138" s="69">
        <v>888</v>
      </c>
      <c r="L138" s="69">
        <v>936</v>
      </c>
      <c r="M138" s="76">
        <v>984</v>
      </c>
      <c r="N138" s="76">
        <v>1033</v>
      </c>
      <c r="O138" s="76">
        <v>1081</v>
      </c>
      <c r="P138" s="76">
        <v>1129</v>
      </c>
      <c r="Q138" s="76">
        <v>1177</v>
      </c>
      <c r="R138" s="76">
        <v>1225</v>
      </c>
      <c r="S138" s="76">
        <v>1273</v>
      </c>
      <c r="T138" s="76">
        <v>1321</v>
      </c>
      <c r="U138" s="76">
        <v>1370</v>
      </c>
      <c r="V138" s="76">
        <v>1418</v>
      </c>
      <c r="W138" s="76">
        <v>1466</v>
      </c>
      <c r="X138" s="76">
        <v>1514</v>
      </c>
      <c r="Y138" s="76">
        <v>1562</v>
      </c>
      <c r="Z138" s="76">
        <v>1610</v>
      </c>
      <c r="AA138" s="76">
        <v>1658</v>
      </c>
      <c r="AB138" s="76">
        <v>1707</v>
      </c>
      <c r="AC138" s="76">
        <v>1755</v>
      </c>
      <c r="AD138" s="76">
        <v>1803</v>
      </c>
      <c r="AE138" s="76">
        <v>1851</v>
      </c>
      <c r="AF138" s="76">
        <v>1899</v>
      </c>
      <c r="AG138" s="76">
        <v>1947</v>
      </c>
      <c r="AH138" s="76">
        <v>1947</v>
      </c>
      <c r="AI138" s="76">
        <v>1947</v>
      </c>
    </row>
    <row r="139" spans="1:35" x14ac:dyDescent="0.35">
      <c r="A139" s="65" t="s">
        <v>245</v>
      </c>
      <c r="B139" s="74" t="s">
        <v>465</v>
      </c>
      <c r="C139" s="68">
        <v>110</v>
      </c>
      <c r="D139" s="69">
        <v>169</v>
      </c>
      <c r="E139" s="69">
        <v>251</v>
      </c>
      <c r="F139" s="69">
        <v>328</v>
      </c>
      <c r="G139" s="69">
        <v>409</v>
      </c>
      <c r="H139" s="69">
        <v>477</v>
      </c>
      <c r="I139" s="69">
        <v>504</v>
      </c>
      <c r="J139" s="69">
        <v>533</v>
      </c>
      <c r="K139" s="69">
        <v>561</v>
      </c>
      <c r="L139" s="69">
        <v>590</v>
      </c>
      <c r="M139" s="76">
        <v>619</v>
      </c>
      <c r="N139" s="76">
        <v>648</v>
      </c>
      <c r="O139" s="76">
        <v>676</v>
      </c>
      <c r="P139" s="76">
        <v>705</v>
      </c>
      <c r="Q139" s="76">
        <v>734</v>
      </c>
      <c r="R139" s="76">
        <v>763</v>
      </c>
      <c r="S139" s="76">
        <v>791</v>
      </c>
      <c r="T139" s="76">
        <v>820</v>
      </c>
      <c r="U139" s="76">
        <v>849</v>
      </c>
      <c r="V139" s="76">
        <v>878</v>
      </c>
      <c r="W139" s="76">
        <v>906</v>
      </c>
      <c r="X139" s="76">
        <v>935</v>
      </c>
      <c r="Y139" s="76">
        <v>964</v>
      </c>
      <c r="Z139" s="76">
        <v>993</v>
      </c>
      <c r="AA139" s="76">
        <v>1021</v>
      </c>
      <c r="AB139" s="76">
        <v>1050</v>
      </c>
      <c r="AC139" s="76">
        <v>1079</v>
      </c>
      <c r="AD139" s="76">
        <v>1108</v>
      </c>
      <c r="AE139" s="76">
        <v>1136</v>
      </c>
      <c r="AF139" s="76">
        <v>1165</v>
      </c>
      <c r="AG139" s="76">
        <v>1193</v>
      </c>
      <c r="AH139" s="76">
        <v>1193</v>
      </c>
      <c r="AI139" s="76">
        <v>1193</v>
      </c>
    </row>
    <row r="140" spans="1:35" x14ac:dyDescent="0.35">
      <c r="A140" s="65" t="s">
        <v>245</v>
      </c>
      <c r="B140" s="74" t="s">
        <v>466</v>
      </c>
      <c r="C140" s="68">
        <v>122</v>
      </c>
      <c r="D140" s="69">
        <v>190</v>
      </c>
      <c r="E140" s="69">
        <v>285</v>
      </c>
      <c r="F140" s="69">
        <v>374</v>
      </c>
      <c r="G140" s="69">
        <v>467</v>
      </c>
      <c r="H140" s="69">
        <v>545</v>
      </c>
      <c r="I140" s="69">
        <v>757</v>
      </c>
      <c r="J140" s="69">
        <v>805</v>
      </c>
      <c r="K140" s="69">
        <v>853</v>
      </c>
      <c r="L140" s="69">
        <v>901</v>
      </c>
      <c r="M140" s="76">
        <v>949</v>
      </c>
      <c r="N140" s="76">
        <v>998</v>
      </c>
      <c r="O140" s="76">
        <v>1046</v>
      </c>
      <c r="P140" s="76">
        <v>1094</v>
      </c>
      <c r="Q140" s="76">
        <v>1142</v>
      </c>
      <c r="R140" s="76">
        <v>1190</v>
      </c>
      <c r="S140" s="76">
        <v>1238</v>
      </c>
      <c r="T140" s="76">
        <v>1286</v>
      </c>
      <c r="U140" s="76">
        <v>1334</v>
      </c>
      <c r="V140" s="76">
        <v>1383</v>
      </c>
      <c r="W140" s="76">
        <v>1431</v>
      </c>
      <c r="X140" s="76">
        <v>1479</v>
      </c>
      <c r="Y140" s="76">
        <v>1527</v>
      </c>
      <c r="Z140" s="76">
        <v>1575</v>
      </c>
      <c r="AA140" s="76">
        <v>1623</v>
      </c>
      <c r="AB140" s="76">
        <v>1671</v>
      </c>
      <c r="AC140" s="76">
        <v>1720</v>
      </c>
      <c r="AD140" s="76">
        <v>1768</v>
      </c>
      <c r="AE140" s="76">
        <v>1816</v>
      </c>
      <c r="AF140" s="76">
        <v>1864</v>
      </c>
      <c r="AG140" s="76">
        <v>1912</v>
      </c>
      <c r="AH140" s="76">
        <v>1912</v>
      </c>
      <c r="AI140" s="76">
        <v>1912</v>
      </c>
    </row>
    <row r="141" spans="1:35" x14ac:dyDescent="0.35">
      <c r="A141" s="65" t="s">
        <v>245</v>
      </c>
      <c r="B141" s="74" t="s">
        <v>467</v>
      </c>
      <c r="C141" s="68">
        <v>139</v>
      </c>
      <c r="D141" s="69">
        <v>221</v>
      </c>
      <c r="E141" s="69">
        <v>334</v>
      </c>
      <c r="F141" s="69">
        <v>438</v>
      </c>
      <c r="G141" s="69">
        <v>549</v>
      </c>
      <c r="H141" s="69">
        <v>642</v>
      </c>
      <c r="I141" s="69">
        <v>757</v>
      </c>
      <c r="J141" s="69">
        <v>805</v>
      </c>
      <c r="K141" s="69">
        <v>853</v>
      </c>
      <c r="L141" s="69">
        <v>901</v>
      </c>
      <c r="M141" s="76">
        <v>949</v>
      </c>
      <c r="N141" s="76">
        <v>998</v>
      </c>
      <c r="O141" s="76">
        <v>1046</v>
      </c>
      <c r="P141" s="76">
        <v>1094</v>
      </c>
      <c r="Q141" s="76">
        <v>1142</v>
      </c>
      <c r="R141" s="76">
        <v>1190</v>
      </c>
      <c r="S141" s="76">
        <v>1238</v>
      </c>
      <c r="T141" s="76">
        <v>1286</v>
      </c>
      <c r="U141" s="76">
        <v>1334</v>
      </c>
      <c r="V141" s="76">
        <v>1383</v>
      </c>
      <c r="W141" s="76">
        <v>1431</v>
      </c>
      <c r="X141" s="76">
        <v>1479</v>
      </c>
      <c r="Y141" s="76">
        <v>1527</v>
      </c>
      <c r="Z141" s="76">
        <v>1575</v>
      </c>
      <c r="AA141" s="76">
        <v>1623</v>
      </c>
      <c r="AB141" s="76">
        <v>1671</v>
      </c>
      <c r="AC141" s="76">
        <v>1720</v>
      </c>
      <c r="AD141" s="76">
        <v>1768</v>
      </c>
      <c r="AE141" s="76">
        <v>1816</v>
      </c>
      <c r="AF141" s="76">
        <v>1864</v>
      </c>
      <c r="AG141" s="76">
        <v>1912</v>
      </c>
      <c r="AH141" s="76">
        <v>1912</v>
      </c>
      <c r="AI141" s="76">
        <v>1912</v>
      </c>
    </row>
    <row r="142" spans="1:35" x14ac:dyDescent="0.35">
      <c r="A142" s="65" t="s">
        <v>245</v>
      </c>
      <c r="B142" s="74" t="s">
        <v>468</v>
      </c>
      <c r="C142" s="68">
        <v>124</v>
      </c>
      <c r="D142" s="69">
        <v>194</v>
      </c>
      <c r="E142" s="69">
        <v>291</v>
      </c>
      <c r="F142" s="69">
        <v>382</v>
      </c>
      <c r="G142" s="69">
        <v>477</v>
      </c>
      <c r="H142" s="69">
        <v>557</v>
      </c>
      <c r="I142" s="69">
        <v>639</v>
      </c>
      <c r="J142" s="69">
        <v>677</v>
      </c>
      <c r="K142" s="69">
        <v>715</v>
      </c>
      <c r="L142" s="69">
        <v>753</v>
      </c>
      <c r="M142" s="76">
        <v>791</v>
      </c>
      <c r="N142" s="76">
        <v>829</v>
      </c>
      <c r="O142" s="76">
        <v>867</v>
      </c>
      <c r="P142" s="76">
        <v>904</v>
      </c>
      <c r="Q142" s="76">
        <v>942</v>
      </c>
      <c r="R142" s="76">
        <v>980</v>
      </c>
      <c r="S142" s="76">
        <v>1018</v>
      </c>
      <c r="T142" s="76">
        <v>1056</v>
      </c>
      <c r="U142" s="76">
        <v>1094</v>
      </c>
      <c r="V142" s="76">
        <v>1132</v>
      </c>
      <c r="W142" s="76">
        <v>1170</v>
      </c>
      <c r="X142" s="76">
        <v>1208</v>
      </c>
      <c r="Y142" s="76">
        <v>1246</v>
      </c>
      <c r="Z142" s="76">
        <v>1284</v>
      </c>
      <c r="AA142" s="76">
        <v>1321</v>
      </c>
      <c r="AB142" s="76">
        <v>1343</v>
      </c>
      <c r="AC142" s="76">
        <v>1363</v>
      </c>
      <c r="AD142" s="76">
        <v>1383</v>
      </c>
      <c r="AE142" s="76">
        <v>1403</v>
      </c>
      <c r="AF142" s="76">
        <v>1424</v>
      </c>
      <c r="AG142" s="76">
        <v>1444</v>
      </c>
      <c r="AH142" s="76">
        <v>1444</v>
      </c>
      <c r="AI142" s="76">
        <v>1444</v>
      </c>
    </row>
    <row r="143" spans="1:35" x14ac:dyDescent="0.35">
      <c r="A143" s="65" t="s">
        <v>245</v>
      </c>
      <c r="B143" s="74" t="s">
        <v>469</v>
      </c>
      <c r="C143" s="68">
        <v>141</v>
      </c>
      <c r="D143" s="69">
        <v>224</v>
      </c>
      <c r="E143" s="69">
        <v>339</v>
      </c>
      <c r="F143" s="69">
        <v>446</v>
      </c>
      <c r="G143" s="69">
        <v>559</v>
      </c>
      <c r="H143" s="69">
        <v>653</v>
      </c>
      <c r="I143" s="69">
        <v>757</v>
      </c>
      <c r="J143" s="69">
        <v>805</v>
      </c>
      <c r="K143" s="69">
        <v>853</v>
      </c>
      <c r="L143" s="69">
        <v>901</v>
      </c>
      <c r="M143" s="76">
        <v>949</v>
      </c>
      <c r="N143" s="76">
        <v>998</v>
      </c>
      <c r="O143" s="76">
        <v>1046</v>
      </c>
      <c r="P143" s="76">
        <v>1094</v>
      </c>
      <c r="Q143" s="76">
        <v>1142</v>
      </c>
      <c r="R143" s="76">
        <v>1190</v>
      </c>
      <c r="S143" s="76">
        <v>1238</v>
      </c>
      <c r="T143" s="76">
        <v>1286</v>
      </c>
      <c r="U143" s="76">
        <v>1334</v>
      </c>
      <c r="V143" s="76">
        <v>1383</v>
      </c>
      <c r="W143" s="76">
        <v>1431</v>
      </c>
      <c r="X143" s="76">
        <v>1479</v>
      </c>
      <c r="Y143" s="76">
        <v>1527</v>
      </c>
      <c r="Z143" s="76">
        <v>1575</v>
      </c>
      <c r="AA143" s="76">
        <v>1623</v>
      </c>
      <c r="AB143" s="76">
        <v>1671</v>
      </c>
      <c r="AC143" s="76">
        <v>1720</v>
      </c>
      <c r="AD143" s="76">
        <v>1768</v>
      </c>
      <c r="AE143" s="76">
        <v>1816</v>
      </c>
      <c r="AF143" s="76">
        <v>1864</v>
      </c>
      <c r="AG143" s="76">
        <v>1912</v>
      </c>
      <c r="AH143" s="76">
        <v>1912</v>
      </c>
      <c r="AI143" s="76">
        <v>1912</v>
      </c>
    </row>
    <row r="144" spans="1:35" x14ac:dyDescent="0.35">
      <c r="A144" s="65" t="s">
        <v>245</v>
      </c>
      <c r="B144" s="74" t="s">
        <v>470</v>
      </c>
      <c r="C144" s="68">
        <v>135</v>
      </c>
      <c r="D144" s="69">
        <v>215</v>
      </c>
      <c r="E144" s="69">
        <v>324</v>
      </c>
      <c r="F144" s="69">
        <v>426</v>
      </c>
      <c r="G144" s="69">
        <v>534</v>
      </c>
      <c r="H144" s="69">
        <v>623</v>
      </c>
      <c r="I144" s="69">
        <v>639</v>
      </c>
      <c r="J144" s="69">
        <v>677</v>
      </c>
      <c r="K144" s="69">
        <v>715</v>
      </c>
      <c r="L144" s="69">
        <v>753</v>
      </c>
      <c r="M144" s="76">
        <v>791</v>
      </c>
      <c r="N144" s="76">
        <v>829</v>
      </c>
      <c r="O144" s="76">
        <v>867</v>
      </c>
      <c r="P144" s="76">
        <v>904</v>
      </c>
      <c r="Q144" s="76">
        <v>942</v>
      </c>
      <c r="R144" s="76">
        <v>980</v>
      </c>
      <c r="S144" s="76">
        <v>1018</v>
      </c>
      <c r="T144" s="76">
        <v>1056</v>
      </c>
      <c r="U144" s="76">
        <v>1094</v>
      </c>
      <c r="V144" s="76">
        <v>1132</v>
      </c>
      <c r="W144" s="76">
        <v>1170</v>
      </c>
      <c r="X144" s="76">
        <v>1208</v>
      </c>
      <c r="Y144" s="76">
        <v>1246</v>
      </c>
      <c r="Z144" s="76">
        <v>1284</v>
      </c>
      <c r="AA144" s="76">
        <v>1321</v>
      </c>
      <c r="AB144" s="76">
        <v>1359</v>
      </c>
      <c r="AC144" s="76">
        <v>1397</v>
      </c>
      <c r="AD144" s="76">
        <v>1435</v>
      </c>
      <c r="AE144" s="76">
        <v>1473</v>
      </c>
      <c r="AF144" s="76">
        <v>1511</v>
      </c>
      <c r="AG144" s="76">
        <v>1549</v>
      </c>
      <c r="AH144" s="76">
        <v>1549</v>
      </c>
      <c r="AI144" s="76">
        <v>1549</v>
      </c>
    </row>
    <row r="145" spans="1:35" x14ac:dyDescent="0.35">
      <c r="A145" s="65" t="s">
        <v>245</v>
      </c>
      <c r="B145" s="74" t="s">
        <v>471</v>
      </c>
      <c r="C145" s="68">
        <v>146</v>
      </c>
      <c r="D145" s="69">
        <v>234</v>
      </c>
      <c r="E145" s="69">
        <v>355</v>
      </c>
      <c r="F145" s="69">
        <v>468</v>
      </c>
      <c r="G145" s="69">
        <v>587</v>
      </c>
      <c r="H145" s="69">
        <v>686</v>
      </c>
      <c r="I145" s="69">
        <v>931</v>
      </c>
      <c r="J145" s="69">
        <v>990</v>
      </c>
      <c r="K145" s="69">
        <v>1050</v>
      </c>
      <c r="L145" s="69">
        <v>1109</v>
      </c>
      <c r="M145" s="76">
        <v>1168</v>
      </c>
      <c r="N145" s="76">
        <v>1228</v>
      </c>
      <c r="O145" s="76">
        <v>1287</v>
      </c>
      <c r="P145" s="76">
        <v>1347</v>
      </c>
      <c r="Q145" s="76">
        <v>1406</v>
      </c>
      <c r="R145" s="76">
        <v>1465</v>
      </c>
      <c r="S145" s="76">
        <v>1525</v>
      </c>
      <c r="T145" s="76">
        <v>1584</v>
      </c>
      <c r="U145" s="76">
        <v>1644</v>
      </c>
      <c r="V145" s="76">
        <v>1703</v>
      </c>
      <c r="W145" s="76">
        <v>1762</v>
      </c>
      <c r="X145" s="76">
        <v>1822</v>
      </c>
      <c r="Y145" s="76">
        <v>1881</v>
      </c>
      <c r="Z145" s="76">
        <v>1941</v>
      </c>
      <c r="AA145" s="76">
        <v>2000</v>
      </c>
      <c r="AB145" s="76">
        <v>2059</v>
      </c>
      <c r="AC145" s="76">
        <v>2119</v>
      </c>
      <c r="AD145" s="76">
        <v>2178</v>
      </c>
      <c r="AE145" s="76">
        <v>2238</v>
      </c>
      <c r="AF145" s="76">
        <v>2297</v>
      </c>
      <c r="AG145" s="76">
        <v>2356</v>
      </c>
      <c r="AH145" s="76">
        <v>2356</v>
      </c>
      <c r="AI145" s="76">
        <v>2356</v>
      </c>
    </row>
    <row r="146" spans="1:35" x14ac:dyDescent="0.35">
      <c r="A146" s="77" t="s">
        <v>245</v>
      </c>
      <c r="B146" s="78" t="s">
        <v>472</v>
      </c>
      <c r="C146" s="79">
        <v>122</v>
      </c>
      <c r="D146" s="80">
        <v>191</v>
      </c>
      <c r="E146" s="80">
        <v>286</v>
      </c>
      <c r="F146" s="80">
        <v>374</v>
      </c>
      <c r="G146" s="80">
        <v>468</v>
      </c>
      <c r="H146" s="80">
        <v>546</v>
      </c>
      <c r="I146" s="80">
        <v>639</v>
      </c>
      <c r="J146" s="80">
        <v>677</v>
      </c>
      <c r="K146" s="80">
        <v>715</v>
      </c>
      <c r="L146" s="80">
        <v>753</v>
      </c>
      <c r="M146" s="81">
        <v>791</v>
      </c>
      <c r="N146" s="81">
        <v>829</v>
      </c>
      <c r="O146" s="81">
        <v>867</v>
      </c>
      <c r="P146" s="81">
        <v>904</v>
      </c>
      <c r="Q146" s="81">
        <v>942</v>
      </c>
      <c r="R146" s="81">
        <v>980</v>
      </c>
      <c r="S146" s="81">
        <v>1018</v>
      </c>
      <c r="T146" s="81">
        <v>1056</v>
      </c>
      <c r="U146" s="81">
        <v>1094</v>
      </c>
      <c r="V146" s="81">
        <v>1132</v>
      </c>
      <c r="W146" s="81">
        <v>1170</v>
      </c>
      <c r="X146" s="81">
        <v>1208</v>
      </c>
      <c r="Y146" s="81">
        <v>1246</v>
      </c>
      <c r="Z146" s="81">
        <v>1284</v>
      </c>
      <c r="AA146" s="81">
        <v>1321</v>
      </c>
      <c r="AB146" s="81">
        <v>1343</v>
      </c>
      <c r="AC146" s="81">
        <v>1363</v>
      </c>
      <c r="AD146" s="81">
        <v>1383</v>
      </c>
      <c r="AE146" s="81">
        <v>1403</v>
      </c>
      <c r="AF146" s="81">
        <v>1424</v>
      </c>
      <c r="AG146" s="81">
        <v>1444</v>
      </c>
      <c r="AH146" s="81">
        <v>1444</v>
      </c>
      <c r="AI146" s="81">
        <v>1444</v>
      </c>
    </row>
    <row r="147" spans="1:35" x14ac:dyDescent="0.35">
      <c r="A147" s="65" t="s">
        <v>473</v>
      </c>
      <c r="B147" s="74">
        <v>10</v>
      </c>
      <c r="C147" s="68">
        <v>113</v>
      </c>
      <c r="D147" s="69">
        <v>170</v>
      </c>
      <c r="E147" s="69">
        <v>245</v>
      </c>
      <c r="F147" s="69">
        <v>320</v>
      </c>
      <c r="G147" s="69">
        <v>369</v>
      </c>
      <c r="H147" s="69">
        <v>369</v>
      </c>
      <c r="I147" s="69">
        <v>369</v>
      </c>
      <c r="J147" s="69">
        <v>369</v>
      </c>
      <c r="K147" s="69">
        <v>369</v>
      </c>
      <c r="L147" s="69">
        <v>369</v>
      </c>
      <c r="M147" s="69">
        <v>369</v>
      </c>
      <c r="N147" s="69">
        <v>369</v>
      </c>
      <c r="O147" s="69">
        <v>369</v>
      </c>
      <c r="P147" s="69">
        <v>369</v>
      </c>
      <c r="Q147" s="69">
        <v>369</v>
      </c>
      <c r="R147" s="69">
        <v>369</v>
      </c>
      <c r="S147" s="69">
        <v>369</v>
      </c>
      <c r="T147" s="69">
        <v>369</v>
      </c>
      <c r="U147" s="69">
        <v>369</v>
      </c>
      <c r="V147" s="69">
        <v>369</v>
      </c>
      <c r="W147" s="69">
        <v>369</v>
      </c>
      <c r="X147" s="69">
        <v>369</v>
      </c>
      <c r="Y147" s="69">
        <v>369</v>
      </c>
      <c r="Z147" s="69">
        <v>369</v>
      </c>
      <c r="AA147" s="69">
        <v>369</v>
      </c>
      <c r="AB147" s="69">
        <v>369</v>
      </c>
      <c r="AC147" s="69">
        <v>369</v>
      </c>
      <c r="AD147" s="69">
        <v>369</v>
      </c>
      <c r="AE147" s="69">
        <v>369</v>
      </c>
      <c r="AF147" s="69">
        <v>369</v>
      </c>
      <c r="AG147" s="69">
        <v>369</v>
      </c>
      <c r="AH147" s="69">
        <v>369</v>
      </c>
      <c r="AI147" s="69">
        <v>369</v>
      </c>
    </row>
    <row r="148" spans="1:35" x14ac:dyDescent="0.35">
      <c r="A148" s="65" t="s">
        <v>473</v>
      </c>
      <c r="B148" s="74">
        <v>11</v>
      </c>
      <c r="C148" s="68">
        <v>113</v>
      </c>
      <c r="D148" s="69">
        <v>170</v>
      </c>
      <c r="E148" s="69">
        <v>245</v>
      </c>
      <c r="F148" s="69">
        <v>320</v>
      </c>
      <c r="G148" s="69">
        <v>369</v>
      </c>
      <c r="H148" s="69">
        <v>369</v>
      </c>
      <c r="I148" s="69">
        <v>369</v>
      </c>
      <c r="J148" s="69">
        <v>369</v>
      </c>
      <c r="K148" s="69">
        <v>369</v>
      </c>
      <c r="L148" s="69">
        <v>369</v>
      </c>
      <c r="M148" s="69">
        <v>369</v>
      </c>
      <c r="N148" s="69">
        <v>369</v>
      </c>
      <c r="O148" s="69">
        <v>369</v>
      </c>
      <c r="P148" s="69">
        <v>369</v>
      </c>
      <c r="Q148" s="69">
        <v>369</v>
      </c>
      <c r="R148" s="69">
        <v>369</v>
      </c>
      <c r="S148" s="69">
        <v>369</v>
      </c>
      <c r="T148" s="69">
        <v>369</v>
      </c>
      <c r="U148" s="69">
        <v>369</v>
      </c>
      <c r="V148" s="69">
        <v>369</v>
      </c>
      <c r="W148" s="69">
        <v>369</v>
      </c>
      <c r="X148" s="69">
        <v>369</v>
      </c>
      <c r="Y148" s="69">
        <v>369</v>
      </c>
      <c r="Z148" s="69">
        <v>369</v>
      </c>
      <c r="AA148" s="69">
        <v>369</v>
      </c>
      <c r="AB148" s="69">
        <v>369</v>
      </c>
      <c r="AC148" s="69">
        <v>369</v>
      </c>
      <c r="AD148" s="69">
        <v>369</v>
      </c>
      <c r="AE148" s="69">
        <v>369</v>
      </c>
      <c r="AF148" s="69">
        <v>369</v>
      </c>
      <c r="AG148" s="69">
        <v>369</v>
      </c>
      <c r="AH148" s="69">
        <v>369</v>
      </c>
      <c r="AI148" s="69">
        <v>369</v>
      </c>
    </row>
    <row r="149" spans="1:35" x14ac:dyDescent="0.35">
      <c r="A149" s="65" t="s">
        <v>473</v>
      </c>
      <c r="B149" s="74">
        <v>12</v>
      </c>
      <c r="C149" s="68">
        <v>113</v>
      </c>
      <c r="D149" s="69">
        <v>170</v>
      </c>
      <c r="E149" s="69">
        <v>245</v>
      </c>
      <c r="F149" s="69">
        <v>320</v>
      </c>
      <c r="G149" s="69">
        <v>369</v>
      </c>
      <c r="H149" s="69">
        <v>369</v>
      </c>
      <c r="I149" s="69">
        <v>369</v>
      </c>
      <c r="J149" s="69">
        <v>369</v>
      </c>
      <c r="K149" s="69">
        <v>369</v>
      </c>
      <c r="L149" s="69">
        <v>369</v>
      </c>
      <c r="M149" s="69">
        <v>369</v>
      </c>
      <c r="N149" s="69">
        <v>369</v>
      </c>
      <c r="O149" s="69">
        <v>369</v>
      </c>
      <c r="P149" s="69">
        <v>369</v>
      </c>
      <c r="Q149" s="69">
        <v>369</v>
      </c>
      <c r="R149" s="69">
        <v>369</v>
      </c>
      <c r="S149" s="69">
        <v>369</v>
      </c>
      <c r="T149" s="69">
        <v>369</v>
      </c>
      <c r="U149" s="69">
        <v>369</v>
      </c>
      <c r="V149" s="69">
        <v>369</v>
      </c>
      <c r="W149" s="69">
        <v>369</v>
      </c>
      <c r="X149" s="69">
        <v>369</v>
      </c>
      <c r="Y149" s="69">
        <v>369</v>
      </c>
      <c r="Z149" s="69">
        <v>369</v>
      </c>
      <c r="AA149" s="69">
        <v>369</v>
      </c>
      <c r="AB149" s="69">
        <v>369</v>
      </c>
      <c r="AC149" s="69">
        <v>369</v>
      </c>
      <c r="AD149" s="69">
        <v>369</v>
      </c>
      <c r="AE149" s="69">
        <v>369</v>
      </c>
      <c r="AF149" s="69">
        <v>369</v>
      </c>
      <c r="AG149" s="69">
        <v>369</v>
      </c>
      <c r="AH149" s="69">
        <v>369</v>
      </c>
      <c r="AI149" s="69">
        <v>369</v>
      </c>
    </row>
    <row r="150" spans="1:35" x14ac:dyDescent="0.35">
      <c r="A150" s="65" t="s">
        <v>473</v>
      </c>
      <c r="B150" s="74">
        <v>13</v>
      </c>
      <c r="C150" s="68">
        <v>113</v>
      </c>
      <c r="D150" s="69">
        <v>170</v>
      </c>
      <c r="E150" s="69">
        <v>245</v>
      </c>
      <c r="F150" s="69">
        <v>320</v>
      </c>
      <c r="G150" s="69">
        <v>369</v>
      </c>
      <c r="H150" s="69">
        <v>369</v>
      </c>
      <c r="I150" s="69">
        <v>369</v>
      </c>
      <c r="J150" s="69">
        <v>369</v>
      </c>
      <c r="K150" s="69">
        <v>369</v>
      </c>
      <c r="L150" s="69">
        <v>369</v>
      </c>
      <c r="M150" s="69">
        <v>369</v>
      </c>
      <c r="N150" s="69">
        <v>369</v>
      </c>
      <c r="O150" s="69">
        <v>369</v>
      </c>
      <c r="P150" s="69">
        <v>369</v>
      </c>
      <c r="Q150" s="69">
        <v>369</v>
      </c>
      <c r="R150" s="69">
        <v>369</v>
      </c>
      <c r="S150" s="69">
        <v>369</v>
      </c>
      <c r="T150" s="69">
        <v>369</v>
      </c>
      <c r="U150" s="69">
        <v>369</v>
      </c>
      <c r="V150" s="69">
        <v>369</v>
      </c>
      <c r="W150" s="69">
        <v>369</v>
      </c>
      <c r="X150" s="69">
        <v>369</v>
      </c>
      <c r="Y150" s="69">
        <v>369</v>
      </c>
      <c r="Z150" s="69">
        <v>369</v>
      </c>
      <c r="AA150" s="69">
        <v>369</v>
      </c>
      <c r="AB150" s="69">
        <v>369</v>
      </c>
      <c r="AC150" s="69">
        <v>369</v>
      </c>
      <c r="AD150" s="69">
        <v>369</v>
      </c>
      <c r="AE150" s="69">
        <v>369</v>
      </c>
      <c r="AF150" s="69">
        <v>369</v>
      </c>
      <c r="AG150" s="69">
        <v>369</v>
      </c>
      <c r="AH150" s="69">
        <v>369</v>
      </c>
      <c r="AI150" s="69">
        <v>369</v>
      </c>
    </row>
    <row r="151" spans="1:35" x14ac:dyDescent="0.35">
      <c r="A151" s="65" t="s">
        <v>473</v>
      </c>
      <c r="B151" s="74">
        <v>14</v>
      </c>
      <c r="C151" s="68">
        <v>113</v>
      </c>
      <c r="D151" s="69">
        <v>170</v>
      </c>
      <c r="E151" s="69">
        <v>245</v>
      </c>
      <c r="F151" s="69">
        <v>320</v>
      </c>
      <c r="G151" s="69">
        <v>369</v>
      </c>
      <c r="H151" s="69">
        <v>369</v>
      </c>
      <c r="I151" s="69">
        <v>369</v>
      </c>
      <c r="J151" s="69">
        <v>369</v>
      </c>
      <c r="K151" s="69">
        <v>369</v>
      </c>
      <c r="L151" s="69">
        <v>369</v>
      </c>
      <c r="M151" s="69">
        <v>369</v>
      </c>
      <c r="N151" s="69">
        <v>369</v>
      </c>
      <c r="O151" s="69">
        <v>369</v>
      </c>
      <c r="P151" s="69">
        <v>369</v>
      </c>
      <c r="Q151" s="69">
        <v>369</v>
      </c>
      <c r="R151" s="69">
        <v>369</v>
      </c>
      <c r="S151" s="69">
        <v>369</v>
      </c>
      <c r="T151" s="69">
        <v>369</v>
      </c>
      <c r="U151" s="69">
        <v>369</v>
      </c>
      <c r="V151" s="69">
        <v>369</v>
      </c>
      <c r="W151" s="69">
        <v>369</v>
      </c>
      <c r="X151" s="69">
        <v>369</v>
      </c>
      <c r="Y151" s="69">
        <v>369</v>
      </c>
      <c r="Z151" s="69">
        <v>369</v>
      </c>
      <c r="AA151" s="69">
        <v>369</v>
      </c>
      <c r="AB151" s="69">
        <v>369</v>
      </c>
      <c r="AC151" s="69">
        <v>369</v>
      </c>
      <c r="AD151" s="69">
        <v>369</v>
      </c>
      <c r="AE151" s="69">
        <v>369</v>
      </c>
      <c r="AF151" s="69">
        <v>369</v>
      </c>
      <c r="AG151" s="69">
        <v>369</v>
      </c>
      <c r="AH151" s="69">
        <v>369</v>
      </c>
      <c r="AI151" s="69">
        <v>369</v>
      </c>
    </row>
    <row r="152" spans="1:35" x14ac:dyDescent="0.35">
      <c r="A152" s="65" t="s">
        <v>473</v>
      </c>
      <c r="B152" s="74">
        <v>15</v>
      </c>
      <c r="C152" s="68">
        <v>113</v>
      </c>
      <c r="D152" s="69">
        <v>170</v>
      </c>
      <c r="E152" s="69">
        <v>245</v>
      </c>
      <c r="F152" s="69">
        <v>320</v>
      </c>
      <c r="G152" s="69">
        <v>369</v>
      </c>
      <c r="H152" s="69">
        <v>369</v>
      </c>
      <c r="I152" s="69">
        <v>369</v>
      </c>
      <c r="J152" s="69">
        <v>369</v>
      </c>
      <c r="K152" s="69">
        <v>369</v>
      </c>
      <c r="L152" s="69">
        <v>369</v>
      </c>
      <c r="M152" s="69">
        <v>369</v>
      </c>
      <c r="N152" s="69">
        <v>369</v>
      </c>
      <c r="O152" s="69">
        <v>369</v>
      </c>
      <c r="P152" s="69">
        <v>369</v>
      </c>
      <c r="Q152" s="69">
        <v>369</v>
      </c>
      <c r="R152" s="69">
        <v>369</v>
      </c>
      <c r="S152" s="69">
        <v>369</v>
      </c>
      <c r="T152" s="69">
        <v>369</v>
      </c>
      <c r="U152" s="69">
        <v>369</v>
      </c>
      <c r="V152" s="69">
        <v>369</v>
      </c>
      <c r="W152" s="69">
        <v>369</v>
      </c>
      <c r="X152" s="69">
        <v>369</v>
      </c>
      <c r="Y152" s="69">
        <v>369</v>
      </c>
      <c r="Z152" s="69">
        <v>369</v>
      </c>
      <c r="AA152" s="69">
        <v>369</v>
      </c>
      <c r="AB152" s="69">
        <v>369</v>
      </c>
      <c r="AC152" s="69">
        <v>369</v>
      </c>
      <c r="AD152" s="69">
        <v>369</v>
      </c>
      <c r="AE152" s="69">
        <v>369</v>
      </c>
      <c r="AF152" s="69">
        <v>369</v>
      </c>
      <c r="AG152" s="69">
        <v>369</v>
      </c>
      <c r="AH152" s="69">
        <v>369</v>
      </c>
      <c r="AI152" s="69">
        <v>369</v>
      </c>
    </row>
    <row r="153" spans="1:35" x14ac:dyDescent="0.35">
      <c r="A153" s="65" t="s">
        <v>473</v>
      </c>
      <c r="B153" s="74">
        <v>16</v>
      </c>
      <c r="C153" s="68">
        <v>113</v>
      </c>
      <c r="D153" s="69">
        <v>170</v>
      </c>
      <c r="E153" s="69">
        <v>245</v>
      </c>
      <c r="F153" s="69">
        <v>320</v>
      </c>
      <c r="G153" s="69">
        <v>369</v>
      </c>
      <c r="H153" s="69">
        <v>369</v>
      </c>
      <c r="I153" s="69">
        <v>369</v>
      </c>
      <c r="J153" s="69">
        <v>369</v>
      </c>
      <c r="K153" s="69">
        <v>369</v>
      </c>
      <c r="L153" s="69">
        <v>369</v>
      </c>
      <c r="M153" s="69">
        <v>369</v>
      </c>
      <c r="N153" s="69">
        <v>369</v>
      </c>
      <c r="O153" s="69">
        <v>369</v>
      </c>
      <c r="P153" s="69">
        <v>369</v>
      </c>
      <c r="Q153" s="69">
        <v>369</v>
      </c>
      <c r="R153" s="69">
        <v>369</v>
      </c>
      <c r="S153" s="69">
        <v>369</v>
      </c>
      <c r="T153" s="69">
        <v>369</v>
      </c>
      <c r="U153" s="69">
        <v>369</v>
      </c>
      <c r="V153" s="69">
        <v>369</v>
      </c>
      <c r="W153" s="69">
        <v>369</v>
      </c>
      <c r="X153" s="69">
        <v>369</v>
      </c>
      <c r="Y153" s="69">
        <v>369</v>
      </c>
      <c r="Z153" s="69">
        <v>369</v>
      </c>
      <c r="AA153" s="69">
        <v>369</v>
      </c>
      <c r="AB153" s="69">
        <v>369</v>
      </c>
      <c r="AC153" s="69">
        <v>369</v>
      </c>
      <c r="AD153" s="69">
        <v>369</v>
      </c>
      <c r="AE153" s="69">
        <v>369</v>
      </c>
      <c r="AF153" s="69">
        <v>369</v>
      </c>
      <c r="AG153" s="69">
        <v>369</v>
      </c>
      <c r="AH153" s="69">
        <v>369</v>
      </c>
      <c r="AI153" s="69">
        <v>369</v>
      </c>
    </row>
    <row r="154" spans="1:35" x14ac:dyDescent="0.35">
      <c r="A154" s="65" t="s">
        <v>473</v>
      </c>
      <c r="B154" s="74">
        <v>17</v>
      </c>
      <c r="C154" s="68">
        <v>113</v>
      </c>
      <c r="D154" s="69">
        <v>170</v>
      </c>
      <c r="E154" s="69">
        <v>245</v>
      </c>
      <c r="F154" s="69">
        <v>320</v>
      </c>
      <c r="G154" s="69">
        <v>369</v>
      </c>
      <c r="H154" s="69">
        <v>369</v>
      </c>
      <c r="I154" s="69">
        <v>369</v>
      </c>
      <c r="J154" s="69">
        <v>369</v>
      </c>
      <c r="K154" s="69">
        <v>369</v>
      </c>
      <c r="L154" s="69">
        <v>369</v>
      </c>
      <c r="M154" s="69">
        <v>369</v>
      </c>
      <c r="N154" s="69">
        <v>369</v>
      </c>
      <c r="O154" s="69">
        <v>369</v>
      </c>
      <c r="P154" s="69">
        <v>369</v>
      </c>
      <c r="Q154" s="69">
        <v>369</v>
      </c>
      <c r="R154" s="69">
        <v>369</v>
      </c>
      <c r="S154" s="69">
        <v>369</v>
      </c>
      <c r="T154" s="69">
        <v>369</v>
      </c>
      <c r="U154" s="69">
        <v>369</v>
      </c>
      <c r="V154" s="69">
        <v>369</v>
      </c>
      <c r="W154" s="69">
        <v>369</v>
      </c>
      <c r="X154" s="69">
        <v>369</v>
      </c>
      <c r="Y154" s="69">
        <v>369</v>
      </c>
      <c r="Z154" s="69">
        <v>369</v>
      </c>
      <c r="AA154" s="69">
        <v>369</v>
      </c>
      <c r="AB154" s="69">
        <v>369</v>
      </c>
      <c r="AC154" s="69">
        <v>369</v>
      </c>
      <c r="AD154" s="69">
        <v>369</v>
      </c>
      <c r="AE154" s="69">
        <v>369</v>
      </c>
      <c r="AF154" s="69">
        <v>369</v>
      </c>
      <c r="AG154" s="69">
        <v>369</v>
      </c>
      <c r="AH154" s="69">
        <v>369</v>
      </c>
      <c r="AI154" s="69">
        <v>369</v>
      </c>
    </row>
    <row r="155" spans="1:35" x14ac:dyDescent="0.35">
      <c r="A155" s="65" t="s">
        <v>473</v>
      </c>
      <c r="B155" s="74">
        <v>18</v>
      </c>
      <c r="C155" s="68">
        <v>113</v>
      </c>
      <c r="D155" s="69">
        <v>170</v>
      </c>
      <c r="E155" s="69">
        <v>245</v>
      </c>
      <c r="F155" s="69">
        <v>320</v>
      </c>
      <c r="G155" s="69">
        <v>369</v>
      </c>
      <c r="H155" s="69">
        <v>369</v>
      </c>
      <c r="I155" s="69">
        <v>369</v>
      </c>
      <c r="J155" s="69">
        <v>369</v>
      </c>
      <c r="K155" s="69">
        <v>369</v>
      </c>
      <c r="L155" s="69">
        <v>369</v>
      </c>
      <c r="M155" s="69">
        <v>369</v>
      </c>
      <c r="N155" s="69">
        <v>369</v>
      </c>
      <c r="O155" s="69">
        <v>369</v>
      </c>
      <c r="P155" s="69">
        <v>369</v>
      </c>
      <c r="Q155" s="69">
        <v>369</v>
      </c>
      <c r="R155" s="69">
        <v>369</v>
      </c>
      <c r="S155" s="69">
        <v>369</v>
      </c>
      <c r="T155" s="69">
        <v>369</v>
      </c>
      <c r="U155" s="69">
        <v>369</v>
      </c>
      <c r="V155" s="69">
        <v>369</v>
      </c>
      <c r="W155" s="69">
        <v>369</v>
      </c>
      <c r="X155" s="69">
        <v>369</v>
      </c>
      <c r="Y155" s="69">
        <v>369</v>
      </c>
      <c r="Z155" s="69">
        <v>369</v>
      </c>
      <c r="AA155" s="69">
        <v>369</v>
      </c>
      <c r="AB155" s="69">
        <v>369</v>
      </c>
      <c r="AC155" s="69">
        <v>369</v>
      </c>
      <c r="AD155" s="69">
        <v>369</v>
      </c>
      <c r="AE155" s="69">
        <v>369</v>
      </c>
      <c r="AF155" s="69">
        <v>369</v>
      </c>
      <c r="AG155" s="69">
        <v>369</v>
      </c>
      <c r="AH155" s="69">
        <v>369</v>
      </c>
      <c r="AI155" s="69">
        <v>369</v>
      </c>
    </row>
    <row r="156" spans="1:35" x14ac:dyDescent="0.35">
      <c r="A156" s="65" t="s">
        <v>473</v>
      </c>
      <c r="B156" s="74">
        <v>19</v>
      </c>
      <c r="C156" s="68">
        <v>113</v>
      </c>
      <c r="D156" s="69">
        <v>170</v>
      </c>
      <c r="E156" s="69">
        <v>245</v>
      </c>
      <c r="F156" s="69">
        <v>320</v>
      </c>
      <c r="G156" s="69">
        <v>369</v>
      </c>
      <c r="H156" s="69">
        <v>369</v>
      </c>
      <c r="I156" s="69">
        <v>369</v>
      </c>
      <c r="J156" s="69">
        <v>369</v>
      </c>
      <c r="K156" s="69">
        <v>369</v>
      </c>
      <c r="L156" s="69">
        <v>369</v>
      </c>
      <c r="M156" s="69">
        <v>369</v>
      </c>
      <c r="N156" s="69">
        <v>369</v>
      </c>
      <c r="O156" s="69">
        <v>369</v>
      </c>
      <c r="P156" s="69">
        <v>369</v>
      </c>
      <c r="Q156" s="69">
        <v>369</v>
      </c>
      <c r="R156" s="69">
        <v>369</v>
      </c>
      <c r="S156" s="69">
        <v>369</v>
      </c>
      <c r="T156" s="69">
        <v>369</v>
      </c>
      <c r="U156" s="69">
        <v>369</v>
      </c>
      <c r="V156" s="69">
        <v>369</v>
      </c>
      <c r="W156" s="69">
        <v>369</v>
      </c>
      <c r="X156" s="69">
        <v>369</v>
      </c>
      <c r="Y156" s="69">
        <v>369</v>
      </c>
      <c r="Z156" s="69">
        <v>369</v>
      </c>
      <c r="AA156" s="69">
        <v>369</v>
      </c>
      <c r="AB156" s="69">
        <v>369</v>
      </c>
      <c r="AC156" s="69">
        <v>369</v>
      </c>
      <c r="AD156" s="69">
        <v>369</v>
      </c>
      <c r="AE156" s="69">
        <v>369</v>
      </c>
      <c r="AF156" s="69">
        <v>369</v>
      </c>
      <c r="AG156" s="69">
        <v>369</v>
      </c>
      <c r="AH156" s="69">
        <v>369</v>
      </c>
      <c r="AI156" s="69">
        <v>369</v>
      </c>
    </row>
    <row r="157" spans="1:35" x14ac:dyDescent="0.35">
      <c r="A157" s="65" t="s">
        <v>473</v>
      </c>
      <c r="B157" s="74">
        <v>20</v>
      </c>
      <c r="C157" s="68">
        <v>113</v>
      </c>
      <c r="D157" s="69">
        <v>170</v>
      </c>
      <c r="E157" s="69">
        <v>245</v>
      </c>
      <c r="F157" s="69">
        <v>320</v>
      </c>
      <c r="G157" s="69">
        <v>369</v>
      </c>
      <c r="H157" s="69">
        <v>369</v>
      </c>
      <c r="I157" s="69">
        <v>369</v>
      </c>
      <c r="J157" s="69">
        <v>369</v>
      </c>
      <c r="K157" s="69">
        <v>369</v>
      </c>
      <c r="L157" s="69">
        <v>369</v>
      </c>
      <c r="M157" s="69">
        <v>369</v>
      </c>
      <c r="N157" s="69">
        <v>369</v>
      </c>
      <c r="O157" s="69">
        <v>369</v>
      </c>
      <c r="P157" s="69">
        <v>369</v>
      </c>
      <c r="Q157" s="69">
        <v>369</v>
      </c>
      <c r="R157" s="69">
        <v>369</v>
      </c>
      <c r="S157" s="69">
        <v>369</v>
      </c>
      <c r="T157" s="69">
        <v>369</v>
      </c>
      <c r="U157" s="69">
        <v>369</v>
      </c>
      <c r="V157" s="69">
        <v>369</v>
      </c>
      <c r="W157" s="69">
        <v>369</v>
      </c>
      <c r="X157" s="69">
        <v>369</v>
      </c>
      <c r="Y157" s="69">
        <v>369</v>
      </c>
      <c r="Z157" s="69">
        <v>369</v>
      </c>
      <c r="AA157" s="69">
        <v>369</v>
      </c>
      <c r="AB157" s="69">
        <v>369</v>
      </c>
      <c r="AC157" s="69">
        <v>369</v>
      </c>
      <c r="AD157" s="69">
        <v>369</v>
      </c>
      <c r="AE157" s="69">
        <v>369</v>
      </c>
      <c r="AF157" s="69">
        <v>369</v>
      </c>
      <c r="AG157" s="69">
        <v>369</v>
      </c>
      <c r="AH157" s="69">
        <v>369</v>
      </c>
      <c r="AI157" s="69">
        <v>369</v>
      </c>
    </row>
    <row r="158" spans="1:35" x14ac:dyDescent="0.35">
      <c r="A158" s="65" t="s">
        <v>473</v>
      </c>
      <c r="B158" s="74">
        <v>21</v>
      </c>
      <c r="C158" s="68">
        <v>113</v>
      </c>
      <c r="D158" s="69">
        <v>170</v>
      </c>
      <c r="E158" s="69">
        <v>245</v>
      </c>
      <c r="F158" s="69">
        <v>320</v>
      </c>
      <c r="G158" s="69">
        <v>369</v>
      </c>
      <c r="H158" s="69">
        <v>369</v>
      </c>
      <c r="I158" s="69">
        <v>369</v>
      </c>
      <c r="J158" s="69">
        <v>369</v>
      </c>
      <c r="K158" s="69">
        <v>369</v>
      </c>
      <c r="L158" s="69">
        <v>369</v>
      </c>
      <c r="M158" s="69">
        <v>369</v>
      </c>
      <c r="N158" s="69">
        <v>369</v>
      </c>
      <c r="O158" s="69">
        <v>369</v>
      </c>
      <c r="P158" s="69">
        <v>369</v>
      </c>
      <c r="Q158" s="69">
        <v>369</v>
      </c>
      <c r="R158" s="69">
        <v>369</v>
      </c>
      <c r="S158" s="69">
        <v>369</v>
      </c>
      <c r="T158" s="69">
        <v>369</v>
      </c>
      <c r="U158" s="69">
        <v>369</v>
      </c>
      <c r="V158" s="69">
        <v>369</v>
      </c>
      <c r="W158" s="69">
        <v>369</v>
      </c>
      <c r="X158" s="69">
        <v>369</v>
      </c>
      <c r="Y158" s="69">
        <v>369</v>
      </c>
      <c r="Z158" s="69">
        <v>369</v>
      </c>
      <c r="AA158" s="69">
        <v>369</v>
      </c>
      <c r="AB158" s="69">
        <v>369</v>
      </c>
      <c r="AC158" s="69">
        <v>369</v>
      </c>
      <c r="AD158" s="69">
        <v>369</v>
      </c>
      <c r="AE158" s="69">
        <v>369</v>
      </c>
      <c r="AF158" s="69">
        <v>369</v>
      </c>
      <c r="AG158" s="69">
        <v>369</v>
      </c>
      <c r="AH158" s="69">
        <v>369</v>
      </c>
      <c r="AI158" s="69">
        <v>369</v>
      </c>
    </row>
    <row r="159" spans="1:35" x14ac:dyDescent="0.35">
      <c r="A159" s="65" t="s">
        <v>473</v>
      </c>
      <c r="B159" s="74">
        <v>22</v>
      </c>
      <c r="C159" s="68">
        <v>148</v>
      </c>
      <c r="D159" s="69">
        <v>216</v>
      </c>
      <c r="E159" s="69">
        <v>301</v>
      </c>
      <c r="F159" s="69">
        <v>394</v>
      </c>
      <c r="G159" s="69">
        <v>455</v>
      </c>
      <c r="H159" s="69">
        <v>455</v>
      </c>
      <c r="I159" s="69">
        <v>455</v>
      </c>
      <c r="J159" s="69">
        <v>455</v>
      </c>
      <c r="K159" s="69">
        <v>455</v>
      </c>
      <c r="L159" s="69">
        <v>455</v>
      </c>
      <c r="M159" s="69">
        <v>455</v>
      </c>
      <c r="N159" s="69">
        <v>455</v>
      </c>
      <c r="O159" s="69">
        <v>455</v>
      </c>
      <c r="P159" s="69">
        <v>455</v>
      </c>
      <c r="Q159" s="69">
        <v>455</v>
      </c>
      <c r="R159" s="69">
        <v>455</v>
      </c>
      <c r="S159" s="69">
        <v>455</v>
      </c>
      <c r="T159" s="69">
        <v>455</v>
      </c>
      <c r="U159" s="69">
        <v>455</v>
      </c>
      <c r="V159" s="69">
        <v>455</v>
      </c>
      <c r="W159" s="69">
        <v>455</v>
      </c>
      <c r="X159" s="69">
        <v>455</v>
      </c>
      <c r="Y159" s="69">
        <v>455</v>
      </c>
      <c r="Z159" s="69">
        <v>455</v>
      </c>
      <c r="AA159" s="69">
        <v>455</v>
      </c>
      <c r="AB159" s="69">
        <v>455</v>
      </c>
      <c r="AC159" s="69">
        <v>455</v>
      </c>
      <c r="AD159" s="69">
        <v>455</v>
      </c>
      <c r="AE159" s="69">
        <v>455</v>
      </c>
      <c r="AF159" s="69">
        <v>455</v>
      </c>
      <c r="AG159" s="69">
        <v>455</v>
      </c>
      <c r="AH159" s="69">
        <v>455</v>
      </c>
      <c r="AI159" s="69">
        <v>455</v>
      </c>
    </row>
    <row r="160" spans="1:35" x14ac:dyDescent="0.35">
      <c r="A160" s="65" t="s">
        <v>473</v>
      </c>
      <c r="B160" s="74">
        <v>23</v>
      </c>
      <c r="C160" s="68">
        <v>148</v>
      </c>
      <c r="D160" s="69">
        <v>216</v>
      </c>
      <c r="E160" s="69">
        <v>301</v>
      </c>
      <c r="F160" s="69">
        <v>394</v>
      </c>
      <c r="G160" s="69">
        <v>455</v>
      </c>
      <c r="H160" s="69">
        <v>455</v>
      </c>
      <c r="I160" s="69">
        <v>455</v>
      </c>
      <c r="J160" s="69">
        <v>455</v>
      </c>
      <c r="K160" s="69">
        <v>455</v>
      </c>
      <c r="L160" s="69">
        <v>455</v>
      </c>
      <c r="M160" s="69">
        <v>455</v>
      </c>
      <c r="N160" s="69">
        <v>455</v>
      </c>
      <c r="O160" s="69">
        <v>455</v>
      </c>
      <c r="P160" s="69">
        <v>455</v>
      </c>
      <c r="Q160" s="69">
        <v>455</v>
      </c>
      <c r="R160" s="69">
        <v>455</v>
      </c>
      <c r="S160" s="69">
        <v>455</v>
      </c>
      <c r="T160" s="69">
        <v>455</v>
      </c>
      <c r="U160" s="69">
        <v>455</v>
      </c>
      <c r="V160" s="69">
        <v>455</v>
      </c>
      <c r="W160" s="69">
        <v>455</v>
      </c>
      <c r="X160" s="69">
        <v>455</v>
      </c>
      <c r="Y160" s="69">
        <v>455</v>
      </c>
      <c r="Z160" s="69">
        <v>455</v>
      </c>
      <c r="AA160" s="69">
        <v>455</v>
      </c>
      <c r="AB160" s="69">
        <v>455</v>
      </c>
      <c r="AC160" s="69">
        <v>455</v>
      </c>
      <c r="AD160" s="69">
        <v>455</v>
      </c>
      <c r="AE160" s="69">
        <v>455</v>
      </c>
      <c r="AF160" s="69">
        <v>455</v>
      </c>
      <c r="AG160" s="69">
        <v>455</v>
      </c>
      <c r="AH160" s="69">
        <v>455</v>
      </c>
      <c r="AI160" s="69">
        <v>455</v>
      </c>
    </row>
    <row r="161" spans="1:35" x14ac:dyDescent="0.35">
      <c r="A161" s="65" t="s">
        <v>473</v>
      </c>
      <c r="B161" s="74">
        <v>24</v>
      </c>
      <c r="C161" s="68">
        <v>148</v>
      </c>
      <c r="D161" s="69">
        <v>216</v>
      </c>
      <c r="E161" s="69">
        <v>301</v>
      </c>
      <c r="F161" s="69">
        <v>394</v>
      </c>
      <c r="G161" s="69">
        <v>455</v>
      </c>
      <c r="H161" s="69">
        <v>455</v>
      </c>
      <c r="I161" s="69">
        <v>455</v>
      </c>
      <c r="J161" s="69">
        <v>455</v>
      </c>
      <c r="K161" s="69">
        <v>455</v>
      </c>
      <c r="L161" s="69">
        <v>455</v>
      </c>
      <c r="M161" s="69">
        <v>455</v>
      </c>
      <c r="N161" s="69">
        <v>455</v>
      </c>
      <c r="O161" s="69">
        <v>455</v>
      </c>
      <c r="P161" s="69">
        <v>455</v>
      </c>
      <c r="Q161" s="69">
        <v>455</v>
      </c>
      <c r="R161" s="69">
        <v>455</v>
      </c>
      <c r="S161" s="69">
        <v>455</v>
      </c>
      <c r="T161" s="69">
        <v>455</v>
      </c>
      <c r="U161" s="69">
        <v>455</v>
      </c>
      <c r="V161" s="69">
        <v>455</v>
      </c>
      <c r="W161" s="69">
        <v>455</v>
      </c>
      <c r="X161" s="69">
        <v>455</v>
      </c>
      <c r="Y161" s="69">
        <v>455</v>
      </c>
      <c r="Z161" s="69">
        <v>455</v>
      </c>
      <c r="AA161" s="69">
        <v>455</v>
      </c>
      <c r="AB161" s="69">
        <v>455</v>
      </c>
      <c r="AC161" s="69">
        <v>455</v>
      </c>
      <c r="AD161" s="69">
        <v>455</v>
      </c>
      <c r="AE161" s="69">
        <v>455</v>
      </c>
      <c r="AF161" s="69">
        <v>455</v>
      </c>
      <c r="AG161" s="69">
        <v>455</v>
      </c>
      <c r="AH161" s="69">
        <v>455</v>
      </c>
      <c r="AI161" s="69">
        <v>455</v>
      </c>
    </row>
    <row r="162" spans="1:35" x14ac:dyDescent="0.35">
      <c r="A162" s="65" t="s">
        <v>473</v>
      </c>
      <c r="B162" s="74">
        <v>25</v>
      </c>
      <c r="C162" s="68">
        <v>113</v>
      </c>
      <c r="D162" s="69">
        <v>170</v>
      </c>
      <c r="E162" s="69">
        <v>245</v>
      </c>
      <c r="F162" s="69">
        <v>320</v>
      </c>
      <c r="G162" s="69">
        <v>369</v>
      </c>
      <c r="H162" s="69">
        <v>369</v>
      </c>
      <c r="I162" s="69">
        <v>369</v>
      </c>
      <c r="J162" s="69">
        <v>369</v>
      </c>
      <c r="K162" s="69">
        <v>369</v>
      </c>
      <c r="L162" s="69">
        <v>369</v>
      </c>
      <c r="M162" s="69">
        <v>369</v>
      </c>
      <c r="N162" s="69">
        <v>369</v>
      </c>
      <c r="O162" s="69">
        <v>369</v>
      </c>
      <c r="P162" s="69">
        <v>369</v>
      </c>
      <c r="Q162" s="69">
        <v>369</v>
      </c>
      <c r="R162" s="69">
        <v>369</v>
      </c>
      <c r="S162" s="69">
        <v>369</v>
      </c>
      <c r="T162" s="69">
        <v>369</v>
      </c>
      <c r="U162" s="69">
        <v>369</v>
      </c>
      <c r="V162" s="69">
        <v>369</v>
      </c>
      <c r="W162" s="69">
        <v>369</v>
      </c>
      <c r="X162" s="69">
        <v>369</v>
      </c>
      <c r="Y162" s="69">
        <v>369</v>
      </c>
      <c r="Z162" s="69">
        <v>369</v>
      </c>
      <c r="AA162" s="69">
        <v>369</v>
      </c>
      <c r="AB162" s="69">
        <v>369</v>
      </c>
      <c r="AC162" s="69">
        <v>369</v>
      </c>
      <c r="AD162" s="69">
        <v>369</v>
      </c>
      <c r="AE162" s="69">
        <v>369</v>
      </c>
      <c r="AF162" s="69">
        <v>369</v>
      </c>
      <c r="AG162" s="69">
        <v>369</v>
      </c>
      <c r="AH162" s="69">
        <v>369</v>
      </c>
      <c r="AI162" s="69">
        <v>369</v>
      </c>
    </row>
    <row r="163" spans="1:35" x14ac:dyDescent="0.35">
      <c r="A163" s="65" t="s">
        <v>473</v>
      </c>
      <c r="B163" s="74">
        <v>26</v>
      </c>
      <c r="C163" s="68">
        <v>113</v>
      </c>
      <c r="D163" s="69">
        <v>170</v>
      </c>
      <c r="E163" s="69">
        <v>245</v>
      </c>
      <c r="F163" s="69">
        <v>320</v>
      </c>
      <c r="G163" s="69">
        <v>369</v>
      </c>
      <c r="H163" s="69">
        <v>369</v>
      </c>
      <c r="I163" s="69">
        <v>369</v>
      </c>
      <c r="J163" s="69">
        <v>369</v>
      </c>
      <c r="K163" s="69">
        <v>369</v>
      </c>
      <c r="L163" s="69">
        <v>369</v>
      </c>
      <c r="M163" s="69">
        <v>369</v>
      </c>
      <c r="N163" s="69">
        <v>369</v>
      </c>
      <c r="O163" s="69">
        <v>369</v>
      </c>
      <c r="P163" s="69">
        <v>369</v>
      </c>
      <c r="Q163" s="69">
        <v>369</v>
      </c>
      <c r="R163" s="69">
        <v>369</v>
      </c>
      <c r="S163" s="69">
        <v>369</v>
      </c>
      <c r="T163" s="69">
        <v>369</v>
      </c>
      <c r="U163" s="69">
        <v>369</v>
      </c>
      <c r="V163" s="69">
        <v>369</v>
      </c>
      <c r="W163" s="69">
        <v>369</v>
      </c>
      <c r="X163" s="69">
        <v>369</v>
      </c>
      <c r="Y163" s="69">
        <v>369</v>
      </c>
      <c r="Z163" s="69">
        <v>369</v>
      </c>
      <c r="AA163" s="69">
        <v>369</v>
      </c>
      <c r="AB163" s="69">
        <v>369</v>
      </c>
      <c r="AC163" s="69">
        <v>369</v>
      </c>
      <c r="AD163" s="69">
        <v>369</v>
      </c>
      <c r="AE163" s="69">
        <v>369</v>
      </c>
      <c r="AF163" s="69">
        <v>369</v>
      </c>
      <c r="AG163" s="69">
        <v>369</v>
      </c>
      <c r="AH163" s="69">
        <v>369</v>
      </c>
      <c r="AI163" s="69">
        <v>369</v>
      </c>
    </row>
    <row r="164" spans="1:35" x14ac:dyDescent="0.35">
      <c r="A164" s="65" t="s">
        <v>473</v>
      </c>
      <c r="B164" s="74">
        <v>27</v>
      </c>
      <c r="C164" s="68">
        <v>113</v>
      </c>
      <c r="D164" s="69">
        <v>170</v>
      </c>
      <c r="E164" s="69">
        <v>245</v>
      </c>
      <c r="F164" s="69">
        <v>320</v>
      </c>
      <c r="G164" s="69">
        <v>369</v>
      </c>
      <c r="H164" s="69">
        <v>369</v>
      </c>
      <c r="I164" s="69">
        <v>369</v>
      </c>
      <c r="J164" s="69">
        <v>369</v>
      </c>
      <c r="K164" s="69">
        <v>369</v>
      </c>
      <c r="L164" s="69">
        <v>369</v>
      </c>
      <c r="M164" s="69">
        <v>369</v>
      </c>
      <c r="N164" s="69">
        <v>369</v>
      </c>
      <c r="O164" s="69">
        <v>369</v>
      </c>
      <c r="P164" s="69">
        <v>369</v>
      </c>
      <c r="Q164" s="69">
        <v>369</v>
      </c>
      <c r="R164" s="69">
        <v>369</v>
      </c>
      <c r="S164" s="69">
        <v>369</v>
      </c>
      <c r="T164" s="69">
        <v>369</v>
      </c>
      <c r="U164" s="69">
        <v>369</v>
      </c>
      <c r="V164" s="69">
        <v>369</v>
      </c>
      <c r="W164" s="69">
        <v>369</v>
      </c>
      <c r="X164" s="69">
        <v>369</v>
      </c>
      <c r="Y164" s="69">
        <v>369</v>
      </c>
      <c r="Z164" s="69">
        <v>369</v>
      </c>
      <c r="AA164" s="69">
        <v>369</v>
      </c>
      <c r="AB164" s="69">
        <v>369</v>
      </c>
      <c r="AC164" s="69">
        <v>369</v>
      </c>
      <c r="AD164" s="69">
        <v>369</v>
      </c>
      <c r="AE164" s="69">
        <v>369</v>
      </c>
      <c r="AF164" s="69">
        <v>369</v>
      </c>
      <c r="AG164" s="69">
        <v>369</v>
      </c>
      <c r="AH164" s="69">
        <v>369</v>
      </c>
      <c r="AI164" s="69">
        <v>369</v>
      </c>
    </row>
    <row r="165" spans="1:35" x14ac:dyDescent="0.35">
      <c r="A165" s="65" t="s">
        <v>473</v>
      </c>
      <c r="B165" s="74">
        <v>28</v>
      </c>
      <c r="C165" s="68">
        <v>113</v>
      </c>
      <c r="D165" s="69">
        <v>170</v>
      </c>
      <c r="E165" s="69">
        <v>245</v>
      </c>
      <c r="F165" s="69">
        <v>320</v>
      </c>
      <c r="G165" s="69">
        <v>369</v>
      </c>
      <c r="H165" s="69">
        <v>369</v>
      </c>
      <c r="I165" s="69">
        <v>369</v>
      </c>
      <c r="J165" s="69">
        <v>369</v>
      </c>
      <c r="K165" s="69">
        <v>369</v>
      </c>
      <c r="L165" s="69">
        <v>369</v>
      </c>
      <c r="M165" s="69">
        <v>369</v>
      </c>
      <c r="N165" s="69">
        <v>369</v>
      </c>
      <c r="O165" s="69">
        <v>369</v>
      </c>
      <c r="P165" s="69">
        <v>369</v>
      </c>
      <c r="Q165" s="69">
        <v>369</v>
      </c>
      <c r="R165" s="69">
        <v>369</v>
      </c>
      <c r="S165" s="69">
        <v>369</v>
      </c>
      <c r="T165" s="69">
        <v>369</v>
      </c>
      <c r="U165" s="69">
        <v>369</v>
      </c>
      <c r="V165" s="69">
        <v>369</v>
      </c>
      <c r="W165" s="69">
        <v>369</v>
      </c>
      <c r="X165" s="69">
        <v>369</v>
      </c>
      <c r="Y165" s="69">
        <v>369</v>
      </c>
      <c r="Z165" s="69">
        <v>369</v>
      </c>
      <c r="AA165" s="69">
        <v>369</v>
      </c>
      <c r="AB165" s="69">
        <v>369</v>
      </c>
      <c r="AC165" s="69">
        <v>369</v>
      </c>
      <c r="AD165" s="69">
        <v>369</v>
      </c>
      <c r="AE165" s="69">
        <v>369</v>
      </c>
      <c r="AF165" s="69">
        <v>369</v>
      </c>
      <c r="AG165" s="69">
        <v>369</v>
      </c>
      <c r="AH165" s="69">
        <v>369</v>
      </c>
      <c r="AI165" s="69">
        <v>369</v>
      </c>
    </row>
    <row r="166" spans="1:35" x14ac:dyDescent="0.35">
      <c r="A166" s="65" t="s">
        <v>473</v>
      </c>
      <c r="B166" s="74">
        <v>29</v>
      </c>
      <c r="C166" s="68">
        <v>148</v>
      </c>
      <c r="D166" s="69">
        <v>216</v>
      </c>
      <c r="E166" s="69">
        <v>301</v>
      </c>
      <c r="F166" s="69">
        <v>394</v>
      </c>
      <c r="G166" s="69">
        <v>455</v>
      </c>
      <c r="H166" s="69">
        <v>455</v>
      </c>
      <c r="I166" s="69">
        <v>455</v>
      </c>
      <c r="J166" s="69">
        <v>455</v>
      </c>
      <c r="K166" s="69">
        <v>455</v>
      </c>
      <c r="L166" s="69">
        <v>455</v>
      </c>
      <c r="M166" s="69">
        <v>455</v>
      </c>
      <c r="N166" s="69">
        <v>455</v>
      </c>
      <c r="O166" s="69">
        <v>455</v>
      </c>
      <c r="P166" s="69">
        <v>455</v>
      </c>
      <c r="Q166" s="69">
        <v>455</v>
      </c>
      <c r="R166" s="69">
        <v>455</v>
      </c>
      <c r="S166" s="69">
        <v>455</v>
      </c>
      <c r="T166" s="69">
        <v>455</v>
      </c>
      <c r="U166" s="69">
        <v>455</v>
      </c>
      <c r="V166" s="69">
        <v>455</v>
      </c>
      <c r="W166" s="69">
        <v>455</v>
      </c>
      <c r="X166" s="69">
        <v>455</v>
      </c>
      <c r="Y166" s="69">
        <v>455</v>
      </c>
      <c r="Z166" s="69">
        <v>455</v>
      </c>
      <c r="AA166" s="69">
        <v>455</v>
      </c>
      <c r="AB166" s="69">
        <v>455</v>
      </c>
      <c r="AC166" s="69">
        <v>455</v>
      </c>
      <c r="AD166" s="69">
        <v>455</v>
      </c>
      <c r="AE166" s="69">
        <v>455</v>
      </c>
      <c r="AF166" s="69">
        <v>455</v>
      </c>
      <c r="AG166" s="69">
        <v>455</v>
      </c>
      <c r="AH166" s="69">
        <v>455</v>
      </c>
      <c r="AI166" s="69">
        <v>455</v>
      </c>
    </row>
    <row r="167" spans="1:35" x14ac:dyDescent="0.35">
      <c r="A167" s="65" t="s">
        <v>473</v>
      </c>
      <c r="B167" s="74">
        <v>30</v>
      </c>
      <c r="C167" s="68">
        <v>113</v>
      </c>
      <c r="D167" s="69">
        <v>170</v>
      </c>
      <c r="E167" s="69">
        <v>245</v>
      </c>
      <c r="F167" s="69">
        <v>320</v>
      </c>
      <c r="G167" s="69">
        <v>369</v>
      </c>
      <c r="H167" s="69">
        <v>369</v>
      </c>
      <c r="I167" s="69">
        <v>369</v>
      </c>
      <c r="J167" s="69">
        <v>369</v>
      </c>
      <c r="K167" s="69">
        <v>369</v>
      </c>
      <c r="L167" s="69">
        <v>369</v>
      </c>
      <c r="M167" s="69">
        <v>369</v>
      </c>
      <c r="N167" s="69">
        <v>369</v>
      </c>
      <c r="O167" s="69">
        <v>369</v>
      </c>
      <c r="P167" s="69">
        <v>369</v>
      </c>
      <c r="Q167" s="69">
        <v>369</v>
      </c>
      <c r="R167" s="69">
        <v>369</v>
      </c>
      <c r="S167" s="69">
        <v>369</v>
      </c>
      <c r="T167" s="69">
        <v>369</v>
      </c>
      <c r="U167" s="69">
        <v>369</v>
      </c>
      <c r="V167" s="69">
        <v>369</v>
      </c>
      <c r="W167" s="69">
        <v>369</v>
      </c>
      <c r="X167" s="69">
        <v>369</v>
      </c>
      <c r="Y167" s="69">
        <v>369</v>
      </c>
      <c r="Z167" s="69">
        <v>369</v>
      </c>
      <c r="AA167" s="69">
        <v>369</v>
      </c>
      <c r="AB167" s="69">
        <v>369</v>
      </c>
      <c r="AC167" s="69">
        <v>369</v>
      </c>
      <c r="AD167" s="69">
        <v>369</v>
      </c>
      <c r="AE167" s="69">
        <v>369</v>
      </c>
      <c r="AF167" s="69">
        <v>369</v>
      </c>
      <c r="AG167" s="69">
        <v>369</v>
      </c>
      <c r="AH167" s="69">
        <v>369</v>
      </c>
      <c r="AI167" s="69">
        <v>369</v>
      </c>
    </row>
    <row r="168" spans="1:35" x14ac:dyDescent="0.35">
      <c r="A168" s="65" t="s">
        <v>473</v>
      </c>
      <c r="B168" s="74">
        <v>31</v>
      </c>
      <c r="C168" s="68">
        <v>113</v>
      </c>
      <c r="D168" s="69">
        <v>170</v>
      </c>
      <c r="E168" s="69">
        <v>245</v>
      </c>
      <c r="F168" s="69">
        <v>320</v>
      </c>
      <c r="G168" s="69">
        <v>369</v>
      </c>
      <c r="H168" s="69">
        <v>369</v>
      </c>
      <c r="I168" s="69">
        <v>369</v>
      </c>
      <c r="J168" s="69">
        <v>369</v>
      </c>
      <c r="K168" s="69">
        <v>369</v>
      </c>
      <c r="L168" s="69">
        <v>369</v>
      </c>
      <c r="M168" s="69">
        <v>369</v>
      </c>
      <c r="N168" s="69">
        <v>369</v>
      </c>
      <c r="O168" s="69">
        <v>369</v>
      </c>
      <c r="P168" s="69">
        <v>369</v>
      </c>
      <c r="Q168" s="69">
        <v>369</v>
      </c>
      <c r="R168" s="69">
        <v>369</v>
      </c>
      <c r="S168" s="69">
        <v>369</v>
      </c>
      <c r="T168" s="69">
        <v>369</v>
      </c>
      <c r="U168" s="69">
        <v>369</v>
      </c>
      <c r="V168" s="69">
        <v>369</v>
      </c>
      <c r="W168" s="69">
        <v>369</v>
      </c>
      <c r="X168" s="69">
        <v>369</v>
      </c>
      <c r="Y168" s="69">
        <v>369</v>
      </c>
      <c r="Z168" s="69">
        <v>369</v>
      </c>
      <c r="AA168" s="69">
        <v>369</v>
      </c>
      <c r="AB168" s="69">
        <v>369</v>
      </c>
      <c r="AC168" s="69">
        <v>369</v>
      </c>
      <c r="AD168" s="69">
        <v>369</v>
      </c>
      <c r="AE168" s="69">
        <v>369</v>
      </c>
      <c r="AF168" s="69">
        <v>369</v>
      </c>
      <c r="AG168" s="69">
        <v>369</v>
      </c>
      <c r="AH168" s="69">
        <v>369</v>
      </c>
      <c r="AI168" s="69">
        <v>369</v>
      </c>
    </row>
    <row r="169" spans="1:35" x14ac:dyDescent="0.35">
      <c r="A169" s="65" t="s">
        <v>473</v>
      </c>
      <c r="B169" s="74">
        <v>32</v>
      </c>
      <c r="C169" s="68">
        <v>113</v>
      </c>
      <c r="D169" s="69">
        <v>170</v>
      </c>
      <c r="E169" s="69">
        <v>245</v>
      </c>
      <c r="F169" s="69">
        <v>320</v>
      </c>
      <c r="G169" s="69">
        <v>369</v>
      </c>
      <c r="H169" s="69">
        <v>369</v>
      </c>
      <c r="I169" s="69">
        <v>369</v>
      </c>
      <c r="J169" s="69">
        <v>369</v>
      </c>
      <c r="K169" s="69">
        <v>369</v>
      </c>
      <c r="L169" s="69">
        <v>369</v>
      </c>
      <c r="M169" s="69">
        <v>369</v>
      </c>
      <c r="N169" s="69">
        <v>369</v>
      </c>
      <c r="O169" s="69">
        <v>369</v>
      </c>
      <c r="P169" s="69">
        <v>369</v>
      </c>
      <c r="Q169" s="69">
        <v>369</v>
      </c>
      <c r="R169" s="69">
        <v>369</v>
      </c>
      <c r="S169" s="69">
        <v>369</v>
      </c>
      <c r="T169" s="69">
        <v>369</v>
      </c>
      <c r="U169" s="69">
        <v>369</v>
      </c>
      <c r="V169" s="69">
        <v>369</v>
      </c>
      <c r="W169" s="69">
        <v>369</v>
      </c>
      <c r="X169" s="69">
        <v>369</v>
      </c>
      <c r="Y169" s="69">
        <v>369</v>
      </c>
      <c r="Z169" s="69">
        <v>369</v>
      </c>
      <c r="AA169" s="69">
        <v>369</v>
      </c>
      <c r="AB169" s="69">
        <v>369</v>
      </c>
      <c r="AC169" s="69">
        <v>369</v>
      </c>
      <c r="AD169" s="69">
        <v>369</v>
      </c>
      <c r="AE169" s="69">
        <v>369</v>
      </c>
      <c r="AF169" s="69">
        <v>369</v>
      </c>
      <c r="AG169" s="69">
        <v>369</v>
      </c>
      <c r="AH169" s="69">
        <v>369</v>
      </c>
      <c r="AI169" s="69">
        <v>369</v>
      </c>
    </row>
    <row r="170" spans="1:35" x14ac:dyDescent="0.35">
      <c r="A170" s="65" t="s">
        <v>473</v>
      </c>
      <c r="B170" s="74">
        <v>33</v>
      </c>
      <c r="C170" s="68">
        <v>113</v>
      </c>
      <c r="D170" s="69">
        <v>170</v>
      </c>
      <c r="E170" s="69">
        <v>245</v>
      </c>
      <c r="F170" s="69">
        <v>320</v>
      </c>
      <c r="G170" s="69">
        <v>369</v>
      </c>
      <c r="H170" s="69">
        <v>369</v>
      </c>
      <c r="I170" s="69">
        <v>369</v>
      </c>
      <c r="J170" s="69">
        <v>369</v>
      </c>
      <c r="K170" s="69">
        <v>369</v>
      </c>
      <c r="L170" s="69">
        <v>369</v>
      </c>
      <c r="M170" s="69">
        <v>369</v>
      </c>
      <c r="N170" s="69">
        <v>369</v>
      </c>
      <c r="O170" s="69">
        <v>369</v>
      </c>
      <c r="P170" s="69">
        <v>369</v>
      </c>
      <c r="Q170" s="69">
        <v>369</v>
      </c>
      <c r="R170" s="69">
        <v>369</v>
      </c>
      <c r="S170" s="69">
        <v>369</v>
      </c>
      <c r="T170" s="69">
        <v>369</v>
      </c>
      <c r="U170" s="69">
        <v>369</v>
      </c>
      <c r="V170" s="69">
        <v>369</v>
      </c>
      <c r="W170" s="69">
        <v>369</v>
      </c>
      <c r="X170" s="69">
        <v>369</v>
      </c>
      <c r="Y170" s="69">
        <v>369</v>
      </c>
      <c r="Z170" s="69">
        <v>369</v>
      </c>
      <c r="AA170" s="69">
        <v>369</v>
      </c>
      <c r="AB170" s="69">
        <v>369</v>
      </c>
      <c r="AC170" s="69">
        <v>369</v>
      </c>
      <c r="AD170" s="69">
        <v>369</v>
      </c>
      <c r="AE170" s="69">
        <v>369</v>
      </c>
      <c r="AF170" s="69">
        <v>369</v>
      </c>
      <c r="AG170" s="69">
        <v>369</v>
      </c>
      <c r="AH170" s="69">
        <v>369</v>
      </c>
      <c r="AI170" s="69">
        <v>369</v>
      </c>
    </row>
    <row r="171" spans="1:35" x14ac:dyDescent="0.35">
      <c r="A171" s="65" t="s">
        <v>473</v>
      </c>
      <c r="B171" s="74">
        <v>34</v>
      </c>
      <c r="C171" s="68">
        <v>148</v>
      </c>
      <c r="D171" s="69">
        <v>216</v>
      </c>
      <c r="E171" s="69">
        <v>301</v>
      </c>
      <c r="F171" s="69">
        <v>394</v>
      </c>
      <c r="G171" s="69">
        <v>455</v>
      </c>
      <c r="H171" s="69">
        <v>455</v>
      </c>
      <c r="I171" s="69">
        <v>455</v>
      </c>
      <c r="J171" s="69">
        <v>455</v>
      </c>
      <c r="K171" s="69">
        <v>455</v>
      </c>
      <c r="L171" s="69">
        <v>455</v>
      </c>
      <c r="M171" s="69">
        <v>455</v>
      </c>
      <c r="N171" s="69">
        <v>455</v>
      </c>
      <c r="O171" s="69">
        <v>455</v>
      </c>
      <c r="P171" s="69">
        <v>455</v>
      </c>
      <c r="Q171" s="69">
        <v>455</v>
      </c>
      <c r="R171" s="69">
        <v>455</v>
      </c>
      <c r="S171" s="69">
        <v>455</v>
      </c>
      <c r="T171" s="69">
        <v>455</v>
      </c>
      <c r="U171" s="69">
        <v>455</v>
      </c>
      <c r="V171" s="69">
        <v>455</v>
      </c>
      <c r="W171" s="69">
        <v>455</v>
      </c>
      <c r="X171" s="69">
        <v>455</v>
      </c>
      <c r="Y171" s="69">
        <v>455</v>
      </c>
      <c r="Z171" s="69">
        <v>455</v>
      </c>
      <c r="AA171" s="69">
        <v>455</v>
      </c>
      <c r="AB171" s="69">
        <v>455</v>
      </c>
      <c r="AC171" s="69">
        <v>455</v>
      </c>
      <c r="AD171" s="69">
        <v>455</v>
      </c>
      <c r="AE171" s="69">
        <v>455</v>
      </c>
      <c r="AF171" s="69">
        <v>455</v>
      </c>
      <c r="AG171" s="69">
        <v>455</v>
      </c>
      <c r="AH171" s="69">
        <v>455</v>
      </c>
      <c r="AI171" s="69">
        <v>455</v>
      </c>
    </row>
    <row r="172" spans="1:35" x14ac:dyDescent="0.35">
      <c r="A172" s="65" t="s">
        <v>473</v>
      </c>
      <c r="B172" s="74">
        <v>35</v>
      </c>
      <c r="C172" s="68">
        <v>148</v>
      </c>
      <c r="D172" s="69">
        <v>216</v>
      </c>
      <c r="E172" s="69">
        <v>301</v>
      </c>
      <c r="F172" s="69">
        <v>394</v>
      </c>
      <c r="G172" s="69">
        <v>455</v>
      </c>
      <c r="H172" s="69">
        <v>455</v>
      </c>
      <c r="I172" s="69">
        <v>455</v>
      </c>
      <c r="J172" s="69">
        <v>455</v>
      </c>
      <c r="K172" s="69">
        <v>455</v>
      </c>
      <c r="L172" s="69">
        <v>455</v>
      </c>
      <c r="M172" s="69">
        <v>455</v>
      </c>
      <c r="N172" s="69">
        <v>455</v>
      </c>
      <c r="O172" s="69">
        <v>455</v>
      </c>
      <c r="P172" s="69">
        <v>455</v>
      </c>
      <c r="Q172" s="69">
        <v>455</v>
      </c>
      <c r="R172" s="69">
        <v>455</v>
      </c>
      <c r="S172" s="69">
        <v>455</v>
      </c>
      <c r="T172" s="69">
        <v>455</v>
      </c>
      <c r="U172" s="69">
        <v>455</v>
      </c>
      <c r="V172" s="69">
        <v>455</v>
      </c>
      <c r="W172" s="69">
        <v>455</v>
      </c>
      <c r="X172" s="69">
        <v>455</v>
      </c>
      <c r="Y172" s="69">
        <v>455</v>
      </c>
      <c r="Z172" s="69">
        <v>455</v>
      </c>
      <c r="AA172" s="69">
        <v>455</v>
      </c>
      <c r="AB172" s="69">
        <v>455</v>
      </c>
      <c r="AC172" s="69">
        <v>455</v>
      </c>
      <c r="AD172" s="69">
        <v>455</v>
      </c>
      <c r="AE172" s="69">
        <v>455</v>
      </c>
      <c r="AF172" s="69">
        <v>455</v>
      </c>
      <c r="AG172" s="69">
        <v>455</v>
      </c>
      <c r="AH172" s="69">
        <v>455</v>
      </c>
      <c r="AI172" s="69">
        <v>455</v>
      </c>
    </row>
    <row r="173" spans="1:35" x14ac:dyDescent="0.35">
      <c r="A173" s="65" t="s">
        <v>473</v>
      </c>
      <c r="B173" s="74">
        <v>36</v>
      </c>
      <c r="C173" s="68">
        <v>148</v>
      </c>
      <c r="D173" s="69">
        <v>216</v>
      </c>
      <c r="E173" s="69">
        <v>301</v>
      </c>
      <c r="F173" s="69">
        <v>394</v>
      </c>
      <c r="G173" s="69">
        <v>455</v>
      </c>
      <c r="H173" s="69">
        <v>455</v>
      </c>
      <c r="I173" s="69">
        <v>455</v>
      </c>
      <c r="J173" s="69">
        <v>455</v>
      </c>
      <c r="K173" s="69">
        <v>455</v>
      </c>
      <c r="L173" s="69">
        <v>455</v>
      </c>
      <c r="M173" s="69">
        <v>455</v>
      </c>
      <c r="N173" s="69">
        <v>455</v>
      </c>
      <c r="O173" s="69">
        <v>455</v>
      </c>
      <c r="P173" s="69">
        <v>455</v>
      </c>
      <c r="Q173" s="69">
        <v>455</v>
      </c>
      <c r="R173" s="69">
        <v>455</v>
      </c>
      <c r="S173" s="69">
        <v>455</v>
      </c>
      <c r="T173" s="69">
        <v>455</v>
      </c>
      <c r="U173" s="69">
        <v>455</v>
      </c>
      <c r="V173" s="69">
        <v>455</v>
      </c>
      <c r="W173" s="69">
        <v>455</v>
      </c>
      <c r="X173" s="69">
        <v>455</v>
      </c>
      <c r="Y173" s="69">
        <v>455</v>
      </c>
      <c r="Z173" s="69">
        <v>455</v>
      </c>
      <c r="AA173" s="69">
        <v>455</v>
      </c>
      <c r="AB173" s="69">
        <v>455</v>
      </c>
      <c r="AC173" s="69">
        <v>455</v>
      </c>
      <c r="AD173" s="69">
        <v>455</v>
      </c>
      <c r="AE173" s="69">
        <v>455</v>
      </c>
      <c r="AF173" s="69">
        <v>455</v>
      </c>
      <c r="AG173" s="69">
        <v>455</v>
      </c>
      <c r="AH173" s="69">
        <v>455</v>
      </c>
      <c r="AI173" s="69">
        <v>455</v>
      </c>
    </row>
    <row r="174" spans="1:35" x14ac:dyDescent="0.35">
      <c r="A174" s="65" t="s">
        <v>473</v>
      </c>
      <c r="B174" s="74">
        <v>37</v>
      </c>
      <c r="C174" s="68">
        <v>148</v>
      </c>
      <c r="D174" s="69">
        <v>216</v>
      </c>
      <c r="E174" s="69">
        <v>301</v>
      </c>
      <c r="F174" s="69">
        <v>394</v>
      </c>
      <c r="G174" s="69">
        <v>455</v>
      </c>
      <c r="H174" s="69">
        <v>455</v>
      </c>
      <c r="I174" s="69">
        <v>455</v>
      </c>
      <c r="J174" s="69">
        <v>455</v>
      </c>
      <c r="K174" s="69">
        <v>455</v>
      </c>
      <c r="L174" s="69">
        <v>455</v>
      </c>
      <c r="M174" s="69">
        <v>455</v>
      </c>
      <c r="N174" s="69">
        <v>455</v>
      </c>
      <c r="O174" s="69">
        <v>455</v>
      </c>
      <c r="P174" s="69">
        <v>455</v>
      </c>
      <c r="Q174" s="69">
        <v>455</v>
      </c>
      <c r="R174" s="69">
        <v>455</v>
      </c>
      <c r="S174" s="69">
        <v>455</v>
      </c>
      <c r="T174" s="69">
        <v>455</v>
      </c>
      <c r="U174" s="69">
        <v>455</v>
      </c>
      <c r="V174" s="69">
        <v>455</v>
      </c>
      <c r="W174" s="69">
        <v>455</v>
      </c>
      <c r="X174" s="69">
        <v>455</v>
      </c>
      <c r="Y174" s="69">
        <v>455</v>
      </c>
      <c r="Z174" s="69">
        <v>455</v>
      </c>
      <c r="AA174" s="69">
        <v>455</v>
      </c>
      <c r="AB174" s="69">
        <v>455</v>
      </c>
      <c r="AC174" s="69">
        <v>455</v>
      </c>
      <c r="AD174" s="69">
        <v>455</v>
      </c>
      <c r="AE174" s="69">
        <v>455</v>
      </c>
      <c r="AF174" s="69">
        <v>455</v>
      </c>
      <c r="AG174" s="69">
        <v>455</v>
      </c>
      <c r="AH174" s="69">
        <v>455</v>
      </c>
      <c r="AI174" s="69">
        <v>455</v>
      </c>
    </row>
    <row r="175" spans="1:35" x14ac:dyDescent="0.35">
      <c r="A175" s="65" t="s">
        <v>473</v>
      </c>
      <c r="B175" s="74">
        <v>38</v>
      </c>
      <c r="C175" s="68">
        <v>148</v>
      </c>
      <c r="D175" s="69">
        <v>216</v>
      </c>
      <c r="E175" s="69">
        <v>301</v>
      </c>
      <c r="F175" s="69">
        <v>394</v>
      </c>
      <c r="G175" s="69">
        <v>455</v>
      </c>
      <c r="H175" s="69">
        <v>455</v>
      </c>
      <c r="I175" s="69">
        <v>455</v>
      </c>
      <c r="J175" s="69">
        <v>455</v>
      </c>
      <c r="K175" s="69">
        <v>455</v>
      </c>
      <c r="L175" s="69">
        <v>455</v>
      </c>
      <c r="M175" s="69">
        <v>455</v>
      </c>
      <c r="N175" s="69">
        <v>455</v>
      </c>
      <c r="O175" s="69">
        <v>455</v>
      </c>
      <c r="P175" s="69">
        <v>455</v>
      </c>
      <c r="Q175" s="69">
        <v>455</v>
      </c>
      <c r="R175" s="69">
        <v>455</v>
      </c>
      <c r="S175" s="69">
        <v>455</v>
      </c>
      <c r="T175" s="69">
        <v>455</v>
      </c>
      <c r="U175" s="69">
        <v>455</v>
      </c>
      <c r="V175" s="69">
        <v>455</v>
      </c>
      <c r="W175" s="69">
        <v>455</v>
      </c>
      <c r="X175" s="69">
        <v>455</v>
      </c>
      <c r="Y175" s="69">
        <v>455</v>
      </c>
      <c r="Z175" s="69">
        <v>455</v>
      </c>
      <c r="AA175" s="69">
        <v>455</v>
      </c>
      <c r="AB175" s="69">
        <v>455</v>
      </c>
      <c r="AC175" s="69">
        <v>455</v>
      </c>
      <c r="AD175" s="69">
        <v>455</v>
      </c>
      <c r="AE175" s="69">
        <v>455</v>
      </c>
      <c r="AF175" s="69">
        <v>455</v>
      </c>
      <c r="AG175" s="69">
        <v>455</v>
      </c>
      <c r="AH175" s="69">
        <v>455</v>
      </c>
      <c r="AI175" s="69">
        <v>455</v>
      </c>
    </row>
    <row r="176" spans="1:35" x14ac:dyDescent="0.35">
      <c r="A176" s="65" t="s">
        <v>473</v>
      </c>
      <c r="B176" s="74">
        <v>39</v>
      </c>
      <c r="C176" s="68">
        <v>148</v>
      </c>
      <c r="D176" s="69">
        <v>216</v>
      </c>
      <c r="E176" s="69">
        <v>301</v>
      </c>
      <c r="F176" s="69">
        <v>394</v>
      </c>
      <c r="G176" s="69">
        <v>455</v>
      </c>
      <c r="H176" s="69">
        <v>455</v>
      </c>
      <c r="I176" s="69">
        <v>455</v>
      </c>
      <c r="J176" s="69">
        <v>455</v>
      </c>
      <c r="K176" s="69">
        <v>455</v>
      </c>
      <c r="L176" s="69">
        <v>455</v>
      </c>
      <c r="M176" s="69">
        <v>455</v>
      </c>
      <c r="N176" s="69">
        <v>455</v>
      </c>
      <c r="O176" s="69">
        <v>455</v>
      </c>
      <c r="P176" s="69">
        <v>455</v>
      </c>
      <c r="Q176" s="69">
        <v>455</v>
      </c>
      <c r="R176" s="69">
        <v>455</v>
      </c>
      <c r="S176" s="69">
        <v>455</v>
      </c>
      <c r="T176" s="69">
        <v>455</v>
      </c>
      <c r="U176" s="69">
        <v>455</v>
      </c>
      <c r="V176" s="69">
        <v>455</v>
      </c>
      <c r="W176" s="69">
        <v>455</v>
      </c>
      <c r="X176" s="69">
        <v>455</v>
      </c>
      <c r="Y176" s="69">
        <v>455</v>
      </c>
      <c r="Z176" s="69">
        <v>455</v>
      </c>
      <c r="AA176" s="69">
        <v>455</v>
      </c>
      <c r="AB176" s="69">
        <v>455</v>
      </c>
      <c r="AC176" s="69">
        <v>455</v>
      </c>
      <c r="AD176" s="69">
        <v>455</v>
      </c>
      <c r="AE176" s="69">
        <v>455</v>
      </c>
      <c r="AF176" s="69">
        <v>455</v>
      </c>
      <c r="AG176" s="69">
        <v>455</v>
      </c>
      <c r="AH176" s="69">
        <v>455</v>
      </c>
      <c r="AI176" s="69">
        <v>455</v>
      </c>
    </row>
    <row r="177" spans="1:35" x14ac:dyDescent="0.35">
      <c r="A177" s="65" t="s">
        <v>473</v>
      </c>
      <c r="B177" s="74">
        <v>40</v>
      </c>
      <c r="C177" s="68">
        <v>148</v>
      </c>
      <c r="D177" s="69">
        <v>216</v>
      </c>
      <c r="E177" s="69">
        <v>301</v>
      </c>
      <c r="F177" s="69">
        <v>394</v>
      </c>
      <c r="G177" s="69">
        <v>455</v>
      </c>
      <c r="H177" s="69">
        <v>455</v>
      </c>
      <c r="I177" s="69">
        <v>455</v>
      </c>
      <c r="J177" s="69">
        <v>455</v>
      </c>
      <c r="K177" s="69">
        <v>455</v>
      </c>
      <c r="L177" s="69">
        <v>455</v>
      </c>
      <c r="M177" s="69">
        <v>455</v>
      </c>
      <c r="N177" s="69">
        <v>455</v>
      </c>
      <c r="O177" s="69">
        <v>455</v>
      </c>
      <c r="P177" s="69">
        <v>455</v>
      </c>
      <c r="Q177" s="69">
        <v>455</v>
      </c>
      <c r="R177" s="69">
        <v>455</v>
      </c>
      <c r="S177" s="69">
        <v>455</v>
      </c>
      <c r="T177" s="69">
        <v>455</v>
      </c>
      <c r="U177" s="69">
        <v>455</v>
      </c>
      <c r="V177" s="69">
        <v>455</v>
      </c>
      <c r="W177" s="69">
        <v>455</v>
      </c>
      <c r="X177" s="69">
        <v>455</v>
      </c>
      <c r="Y177" s="69">
        <v>455</v>
      </c>
      <c r="Z177" s="69">
        <v>455</v>
      </c>
      <c r="AA177" s="69">
        <v>455</v>
      </c>
      <c r="AB177" s="69">
        <v>455</v>
      </c>
      <c r="AC177" s="69">
        <v>455</v>
      </c>
      <c r="AD177" s="69">
        <v>455</v>
      </c>
      <c r="AE177" s="69">
        <v>455</v>
      </c>
      <c r="AF177" s="69">
        <v>455</v>
      </c>
      <c r="AG177" s="69">
        <v>455</v>
      </c>
      <c r="AH177" s="69">
        <v>455</v>
      </c>
      <c r="AI177" s="69">
        <v>455</v>
      </c>
    </row>
    <row r="178" spans="1:35" x14ac:dyDescent="0.35">
      <c r="A178" s="65" t="s">
        <v>473</v>
      </c>
      <c r="B178" s="74">
        <v>41</v>
      </c>
      <c r="C178" s="68">
        <v>148</v>
      </c>
      <c r="D178" s="69">
        <v>216</v>
      </c>
      <c r="E178" s="69">
        <v>301</v>
      </c>
      <c r="F178" s="69">
        <v>394</v>
      </c>
      <c r="G178" s="69">
        <v>455</v>
      </c>
      <c r="H178" s="69">
        <v>455</v>
      </c>
      <c r="I178" s="69">
        <v>455</v>
      </c>
      <c r="J178" s="69">
        <v>455</v>
      </c>
      <c r="K178" s="69">
        <v>455</v>
      </c>
      <c r="L178" s="69">
        <v>455</v>
      </c>
      <c r="M178" s="69">
        <v>455</v>
      </c>
      <c r="N178" s="69">
        <v>455</v>
      </c>
      <c r="O178" s="69">
        <v>455</v>
      </c>
      <c r="P178" s="69">
        <v>455</v>
      </c>
      <c r="Q178" s="69">
        <v>455</v>
      </c>
      <c r="R178" s="69">
        <v>455</v>
      </c>
      <c r="S178" s="69">
        <v>455</v>
      </c>
      <c r="T178" s="69">
        <v>455</v>
      </c>
      <c r="U178" s="69">
        <v>455</v>
      </c>
      <c r="V178" s="69">
        <v>455</v>
      </c>
      <c r="W178" s="69">
        <v>455</v>
      </c>
      <c r="X178" s="69">
        <v>455</v>
      </c>
      <c r="Y178" s="69">
        <v>455</v>
      </c>
      <c r="Z178" s="69">
        <v>455</v>
      </c>
      <c r="AA178" s="69">
        <v>455</v>
      </c>
      <c r="AB178" s="69">
        <v>455</v>
      </c>
      <c r="AC178" s="69">
        <v>455</v>
      </c>
      <c r="AD178" s="69">
        <v>455</v>
      </c>
      <c r="AE178" s="69">
        <v>455</v>
      </c>
      <c r="AF178" s="69">
        <v>455</v>
      </c>
      <c r="AG178" s="69">
        <v>455</v>
      </c>
      <c r="AH178" s="69">
        <v>455</v>
      </c>
      <c r="AI178" s="69">
        <v>455</v>
      </c>
    </row>
    <row r="179" spans="1:35" x14ac:dyDescent="0.35">
      <c r="A179" s="65" t="s">
        <v>473</v>
      </c>
      <c r="B179" s="74">
        <v>42</v>
      </c>
      <c r="C179" s="68">
        <v>148</v>
      </c>
      <c r="D179" s="69">
        <v>216</v>
      </c>
      <c r="E179" s="69">
        <v>301</v>
      </c>
      <c r="F179" s="69">
        <v>394</v>
      </c>
      <c r="G179" s="69">
        <v>455</v>
      </c>
      <c r="H179" s="69">
        <v>455</v>
      </c>
      <c r="I179" s="69">
        <v>455</v>
      </c>
      <c r="J179" s="69">
        <v>455</v>
      </c>
      <c r="K179" s="69">
        <v>455</v>
      </c>
      <c r="L179" s="69">
        <v>455</v>
      </c>
      <c r="M179" s="69">
        <v>455</v>
      </c>
      <c r="N179" s="69">
        <v>455</v>
      </c>
      <c r="O179" s="69">
        <v>455</v>
      </c>
      <c r="P179" s="69">
        <v>455</v>
      </c>
      <c r="Q179" s="69">
        <v>455</v>
      </c>
      <c r="R179" s="69">
        <v>455</v>
      </c>
      <c r="S179" s="69">
        <v>455</v>
      </c>
      <c r="T179" s="69">
        <v>455</v>
      </c>
      <c r="U179" s="69">
        <v>455</v>
      </c>
      <c r="V179" s="69">
        <v>455</v>
      </c>
      <c r="W179" s="69">
        <v>455</v>
      </c>
      <c r="X179" s="69">
        <v>455</v>
      </c>
      <c r="Y179" s="69">
        <v>455</v>
      </c>
      <c r="Z179" s="69">
        <v>455</v>
      </c>
      <c r="AA179" s="69">
        <v>455</v>
      </c>
      <c r="AB179" s="69">
        <v>455</v>
      </c>
      <c r="AC179" s="69">
        <v>455</v>
      </c>
      <c r="AD179" s="69">
        <v>455</v>
      </c>
      <c r="AE179" s="69">
        <v>455</v>
      </c>
      <c r="AF179" s="69">
        <v>455</v>
      </c>
      <c r="AG179" s="69">
        <v>455</v>
      </c>
      <c r="AH179" s="69">
        <v>455</v>
      </c>
      <c r="AI179" s="69">
        <v>455</v>
      </c>
    </row>
    <row r="180" spans="1:35" x14ac:dyDescent="0.35">
      <c r="A180" s="65" t="s">
        <v>473</v>
      </c>
      <c r="B180" s="74">
        <v>43</v>
      </c>
      <c r="C180" s="68">
        <v>148</v>
      </c>
      <c r="D180" s="69">
        <v>216</v>
      </c>
      <c r="E180" s="69">
        <v>301</v>
      </c>
      <c r="F180" s="69">
        <v>394</v>
      </c>
      <c r="G180" s="69">
        <v>455</v>
      </c>
      <c r="H180" s="69">
        <v>455</v>
      </c>
      <c r="I180" s="69">
        <v>455</v>
      </c>
      <c r="J180" s="69">
        <v>455</v>
      </c>
      <c r="K180" s="69">
        <v>455</v>
      </c>
      <c r="L180" s="69">
        <v>455</v>
      </c>
      <c r="M180" s="69">
        <v>455</v>
      </c>
      <c r="N180" s="69">
        <v>455</v>
      </c>
      <c r="O180" s="69">
        <v>455</v>
      </c>
      <c r="P180" s="69">
        <v>455</v>
      </c>
      <c r="Q180" s="69">
        <v>455</v>
      </c>
      <c r="R180" s="69">
        <v>455</v>
      </c>
      <c r="S180" s="69">
        <v>455</v>
      </c>
      <c r="T180" s="69">
        <v>455</v>
      </c>
      <c r="U180" s="69">
        <v>455</v>
      </c>
      <c r="V180" s="69">
        <v>455</v>
      </c>
      <c r="W180" s="69">
        <v>455</v>
      </c>
      <c r="X180" s="69">
        <v>455</v>
      </c>
      <c r="Y180" s="69">
        <v>455</v>
      </c>
      <c r="Z180" s="69">
        <v>455</v>
      </c>
      <c r="AA180" s="69">
        <v>455</v>
      </c>
      <c r="AB180" s="69">
        <v>455</v>
      </c>
      <c r="AC180" s="69">
        <v>455</v>
      </c>
      <c r="AD180" s="69">
        <v>455</v>
      </c>
      <c r="AE180" s="69">
        <v>455</v>
      </c>
      <c r="AF180" s="69">
        <v>455</v>
      </c>
      <c r="AG180" s="69">
        <v>455</v>
      </c>
      <c r="AH180" s="69">
        <v>455</v>
      </c>
      <c r="AI180" s="69">
        <v>455</v>
      </c>
    </row>
    <row r="181" spans="1:35" x14ac:dyDescent="0.35">
      <c r="A181" s="65" t="s">
        <v>473</v>
      </c>
      <c r="B181" s="74">
        <v>44</v>
      </c>
      <c r="C181" s="68">
        <v>148</v>
      </c>
      <c r="D181" s="69">
        <v>216</v>
      </c>
      <c r="E181" s="69">
        <v>301</v>
      </c>
      <c r="F181" s="69">
        <v>394</v>
      </c>
      <c r="G181" s="69">
        <v>455</v>
      </c>
      <c r="H181" s="69">
        <v>455</v>
      </c>
      <c r="I181" s="69">
        <v>455</v>
      </c>
      <c r="J181" s="69">
        <v>455</v>
      </c>
      <c r="K181" s="69">
        <v>455</v>
      </c>
      <c r="L181" s="69">
        <v>455</v>
      </c>
      <c r="M181" s="69">
        <v>455</v>
      </c>
      <c r="N181" s="69">
        <v>455</v>
      </c>
      <c r="O181" s="69">
        <v>455</v>
      </c>
      <c r="P181" s="69">
        <v>455</v>
      </c>
      <c r="Q181" s="69">
        <v>455</v>
      </c>
      <c r="R181" s="69">
        <v>455</v>
      </c>
      <c r="S181" s="69">
        <v>455</v>
      </c>
      <c r="T181" s="69">
        <v>455</v>
      </c>
      <c r="U181" s="69">
        <v>455</v>
      </c>
      <c r="V181" s="69">
        <v>455</v>
      </c>
      <c r="W181" s="69">
        <v>455</v>
      </c>
      <c r="X181" s="69">
        <v>455</v>
      </c>
      <c r="Y181" s="69">
        <v>455</v>
      </c>
      <c r="Z181" s="69">
        <v>455</v>
      </c>
      <c r="AA181" s="69">
        <v>455</v>
      </c>
      <c r="AB181" s="69">
        <v>455</v>
      </c>
      <c r="AC181" s="69">
        <v>455</v>
      </c>
      <c r="AD181" s="69">
        <v>455</v>
      </c>
      <c r="AE181" s="69">
        <v>455</v>
      </c>
      <c r="AF181" s="69">
        <v>455</v>
      </c>
      <c r="AG181" s="69">
        <v>455</v>
      </c>
      <c r="AH181" s="69">
        <v>455</v>
      </c>
      <c r="AI181" s="69">
        <v>455</v>
      </c>
    </row>
    <row r="182" spans="1:35" x14ac:dyDescent="0.35">
      <c r="A182" s="65" t="s">
        <v>473</v>
      </c>
      <c r="B182" s="74">
        <v>45</v>
      </c>
      <c r="C182" s="68">
        <v>148</v>
      </c>
      <c r="D182" s="69">
        <v>216</v>
      </c>
      <c r="E182" s="69">
        <v>301</v>
      </c>
      <c r="F182" s="69">
        <v>394</v>
      </c>
      <c r="G182" s="69">
        <v>455</v>
      </c>
      <c r="H182" s="69">
        <v>455</v>
      </c>
      <c r="I182" s="69">
        <v>455</v>
      </c>
      <c r="J182" s="69">
        <v>455</v>
      </c>
      <c r="K182" s="69">
        <v>455</v>
      </c>
      <c r="L182" s="69">
        <v>455</v>
      </c>
      <c r="M182" s="69">
        <v>455</v>
      </c>
      <c r="N182" s="69">
        <v>455</v>
      </c>
      <c r="O182" s="69">
        <v>455</v>
      </c>
      <c r="P182" s="69">
        <v>455</v>
      </c>
      <c r="Q182" s="69">
        <v>455</v>
      </c>
      <c r="R182" s="69">
        <v>455</v>
      </c>
      <c r="S182" s="69">
        <v>455</v>
      </c>
      <c r="T182" s="69">
        <v>455</v>
      </c>
      <c r="U182" s="69">
        <v>455</v>
      </c>
      <c r="V182" s="69">
        <v>455</v>
      </c>
      <c r="W182" s="69">
        <v>455</v>
      </c>
      <c r="X182" s="69">
        <v>455</v>
      </c>
      <c r="Y182" s="69">
        <v>455</v>
      </c>
      <c r="Z182" s="69">
        <v>455</v>
      </c>
      <c r="AA182" s="69">
        <v>455</v>
      </c>
      <c r="AB182" s="69">
        <v>455</v>
      </c>
      <c r="AC182" s="69">
        <v>455</v>
      </c>
      <c r="AD182" s="69">
        <v>455</v>
      </c>
      <c r="AE182" s="69">
        <v>455</v>
      </c>
      <c r="AF182" s="69">
        <v>455</v>
      </c>
      <c r="AG182" s="69">
        <v>455</v>
      </c>
      <c r="AH182" s="69">
        <v>455</v>
      </c>
      <c r="AI182" s="69">
        <v>455</v>
      </c>
    </row>
    <row r="183" spans="1:35" x14ac:dyDescent="0.35">
      <c r="A183" s="65" t="s">
        <v>473</v>
      </c>
      <c r="B183" s="74">
        <v>46</v>
      </c>
      <c r="C183" s="68">
        <v>148</v>
      </c>
      <c r="D183" s="69">
        <v>216</v>
      </c>
      <c r="E183" s="69">
        <v>301</v>
      </c>
      <c r="F183" s="69">
        <v>394</v>
      </c>
      <c r="G183" s="69">
        <v>455</v>
      </c>
      <c r="H183" s="69">
        <v>455</v>
      </c>
      <c r="I183" s="69">
        <v>455</v>
      </c>
      <c r="J183" s="69">
        <v>455</v>
      </c>
      <c r="K183" s="69">
        <v>455</v>
      </c>
      <c r="L183" s="69">
        <v>455</v>
      </c>
      <c r="M183" s="69">
        <v>455</v>
      </c>
      <c r="N183" s="69">
        <v>455</v>
      </c>
      <c r="O183" s="69">
        <v>455</v>
      </c>
      <c r="P183" s="69">
        <v>455</v>
      </c>
      <c r="Q183" s="69">
        <v>455</v>
      </c>
      <c r="R183" s="69">
        <v>455</v>
      </c>
      <c r="S183" s="69">
        <v>455</v>
      </c>
      <c r="T183" s="69">
        <v>455</v>
      </c>
      <c r="U183" s="69">
        <v>455</v>
      </c>
      <c r="V183" s="69">
        <v>455</v>
      </c>
      <c r="W183" s="69">
        <v>455</v>
      </c>
      <c r="X183" s="69">
        <v>455</v>
      </c>
      <c r="Y183" s="69">
        <v>455</v>
      </c>
      <c r="Z183" s="69">
        <v>455</v>
      </c>
      <c r="AA183" s="69">
        <v>455</v>
      </c>
      <c r="AB183" s="69">
        <v>455</v>
      </c>
      <c r="AC183" s="69">
        <v>455</v>
      </c>
      <c r="AD183" s="69">
        <v>455</v>
      </c>
      <c r="AE183" s="69">
        <v>455</v>
      </c>
      <c r="AF183" s="69">
        <v>455</v>
      </c>
      <c r="AG183" s="69">
        <v>455</v>
      </c>
      <c r="AH183" s="69">
        <v>455</v>
      </c>
      <c r="AI183" s="69">
        <v>455</v>
      </c>
    </row>
    <row r="184" spans="1:35" x14ac:dyDescent="0.35">
      <c r="A184" s="65" t="s">
        <v>473</v>
      </c>
      <c r="B184" s="74">
        <v>47</v>
      </c>
      <c r="C184" s="68">
        <v>148</v>
      </c>
      <c r="D184" s="69">
        <v>216</v>
      </c>
      <c r="E184" s="69">
        <v>301</v>
      </c>
      <c r="F184" s="69">
        <v>394</v>
      </c>
      <c r="G184" s="69">
        <v>455</v>
      </c>
      <c r="H184" s="69">
        <v>455</v>
      </c>
      <c r="I184" s="69">
        <v>455</v>
      </c>
      <c r="J184" s="69">
        <v>455</v>
      </c>
      <c r="K184" s="69">
        <v>455</v>
      </c>
      <c r="L184" s="69">
        <v>455</v>
      </c>
      <c r="M184" s="69">
        <v>455</v>
      </c>
      <c r="N184" s="69">
        <v>455</v>
      </c>
      <c r="O184" s="69">
        <v>455</v>
      </c>
      <c r="P184" s="69">
        <v>455</v>
      </c>
      <c r="Q184" s="69">
        <v>455</v>
      </c>
      <c r="R184" s="69">
        <v>455</v>
      </c>
      <c r="S184" s="69">
        <v>455</v>
      </c>
      <c r="T184" s="69">
        <v>455</v>
      </c>
      <c r="U184" s="69">
        <v>455</v>
      </c>
      <c r="V184" s="69">
        <v>455</v>
      </c>
      <c r="W184" s="69">
        <v>455</v>
      </c>
      <c r="X184" s="69">
        <v>455</v>
      </c>
      <c r="Y184" s="69">
        <v>455</v>
      </c>
      <c r="Z184" s="69">
        <v>455</v>
      </c>
      <c r="AA184" s="69">
        <v>455</v>
      </c>
      <c r="AB184" s="69">
        <v>455</v>
      </c>
      <c r="AC184" s="69">
        <v>455</v>
      </c>
      <c r="AD184" s="69">
        <v>455</v>
      </c>
      <c r="AE184" s="69">
        <v>455</v>
      </c>
      <c r="AF184" s="69">
        <v>455</v>
      </c>
      <c r="AG184" s="69">
        <v>455</v>
      </c>
      <c r="AH184" s="69">
        <v>455</v>
      </c>
      <c r="AI184" s="69">
        <v>455</v>
      </c>
    </row>
    <row r="185" spans="1:35" x14ac:dyDescent="0.35">
      <c r="A185" s="65" t="s">
        <v>473</v>
      </c>
      <c r="B185" s="74">
        <v>48</v>
      </c>
      <c r="C185" s="68">
        <v>148</v>
      </c>
      <c r="D185" s="69">
        <v>216</v>
      </c>
      <c r="E185" s="69">
        <v>301</v>
      </c>
      <c r="F185" s="69">
        <v>394</v>
      </c>
      <c r="G185" s="69">
        <v>455</v>
      </c>
      <c r="H185" s="69">
        <v>455</v>
      </c>
      <c r="I185" s="69">
        <v>455</v>
      </c>
      <c r="J185" s="69">
        <v>455</v>
      </c>
      <c r="K185" s="69">
        <v>455</v>
      </c>
      <c r="L185" s="69">
        <v>455</v>
      </c>
      <c r="M185" s="69">
        <v>455</v>
      </c>
      <c r="N185" s="69">
        <v>455</v>
      </c>
      <c r="O185" s="69">
        <v>455</v>
      </c>
      <c r="P185" s="69">
        <v>455</v>
      </c>
      <c r="Q185" s="69">
        <v>455</v>
      </c>
      <c r="R185" s="69">
        <v>455</v>
      </c>
      <c r="S185" s="69">
        <v>455</v>
      </c>
      <c r="T185" s="69">
        <v>455</v>
      </c>
      <c r="U185" s="69">
        <v>455</v>
      </c>
      <c r="V185" s="69">
        <v>455</v>
      </c>
      <c r="W185" s="69">
        <v>455</v>
      </c>
      <c r="X185" s="69">
        <v>455</v>
      </c>
      <c r="Y185" s="69">
        <v>455</v>
      </c>
      <c r="Z185" s="69">
        <v>455</v>
      </c>
      <c r="AA185" s="69">
        <v>455</v>
      </c>
      <c r="AB185" s="69">
        <v>455</v>
      </c>
      <c r="AC185" s="69">
        <v>455</v>
      </c>
      <c r="AD185" s="69">
        <v>455</v>
      </c>
      <c r="AE185" s="69">
        <v>455</v>
      </c>
      <c r="AF185" s="69">
        <v>455</v>
      </c>
      <c r="AG185" s="69">
        <v>455</v>
      </c>
      <c r="AH185" s="69">
        <v>455</v>
      </c>
      <c r="AI185" s="69">
        <v>455</v>
      </c>
    </row>
    <row r="186" spans="1:35" x14ac:dyDescent="0.35">
      <c r="A186" s="65" t="s">
        <v>473</v>
      </c>
      <c r="B186" s="74">
        <v>49</v>
      </c>
      <c r="C186" s="68">
        <v>148</v>
      </c>
      <c r="D186" s="69">
        <v>216</v>
      </c>
      <c r="E186" s="69">
        <v>301</v>
      </c>
      <c r="F186" s="69">
        <v>394</v>
      </c>
      <c r="G186" s="69">
        <v>455</v>
      </c>
      <c r="H186" s="69">
        <v>455</v>
      </c>
      <c r="I186" s="69">
        <v>455</v>
      </c>
      <c r="J186" s="69">
        <v>455</v>
      </c>
      <c r="K186" s="69">
        <v>455</v>
      </c>
      <c r="L186" s="69">
        <v>455</v>
      </c>
      <c r="M186" s="69">
        <v>455</v>
      </c>
      <c r="N186" s="69">
        <v>455</v>
      </c>
      <c r="O186" s="69">
        <v>455</v>
      </c>
      <c r="P186" s="69">
        <v>455</v>
      </c>
      <c r="Q186" s="69">
        <v>455</v>
      </c>
      <c r="R186" s="69">
        <v>455</v>
      </c>
      <c r="S186" s="69">
        <v>455</v>
      </c>
      <c r="T186" s="69">
        <v>455</v>
      </c>
      <c r="U186" s="69">
        <v>455</v>
      </c>
      <c r="V186" s="69">
        <v>455</v>
      </c>
      <c r="W186" s="69">
        <v>455</v>
      </c>
      <c r="X186" s="69">
        <v>455</v>
      </c>
      <c r="Y186" s="69">
        <v>455</v>
      </c>
      <c r="Z186" s="69">
        <v>455</v>
      </c>
      <c r="AA186" s="69">
        <v>455</v>
      </c>
      <c r="AB186" s="69">
        <v>455</v>
      </c>
      <c r="AC186" s="69">
        <v>455</v>
      </c>
      <c r="AD186" s="69">
        <v>455</v>
      </c>
      <c r="AE186" s="69">
        <v>455</v>
      </c>
      <c r="AF186" s="69">
        <v>455</v>
      </c>
      <c r="AG186" s="69">
        <v>455</v>
      </c>
      <c r="AH186" s="69">
        <v>455</v>
      </c>
      <c r="AI186" s="69">
        <v>455</v>
      </c>
    </row>
    <row r="187" spans="1:35" x14ac:dyDescent="0.35">
      <c r="A187" s="65" t="s">
        <v>473</v>
      </c>
      <c r="B187" s="74">
        <v>50</v>
      </c>
      <c r="C187" s="68">
        <v>148</v>
      </c>
      <c r="D187" s="69">
        <v>216</v>
      </c>
      <c r="E187" s="69">
        <v>301</v>
      </c>
      <c r="F187" s="69">
        <v>394</v>
      </c>
      <c r="G187" s="69">
        <v>455</v>
      </c>
      <c r="H187" s="69">
        <v>455</v>
      </c>
      <c r="I187" s="69">
        <v>455</v>
      </c>
      <c r="J187" s="69">
        <v>455</v>
      </c>
      <c r="K187" s="69">
        <v>455</v>
      </c>
      <c r="L187" s="69">
        <v>455</v>
      </c>
      <c r="M187" s="69">
        <v>455</v>
      </c>
      <c r="N187" s="69">
        <v>455</v>
      </c>
      <c r="O187" s="69">
        <v>455</v>
      </c>
      <c r="P187" s="69">
        <v>455</v>
      </c>
      <c r="Q187" s="69">
        <v>455</v>
      </c>
      <c r="R187" s="69">
        <v>455</v>
      </c>
      <c r="S187" s="69">
        <v>455</v>
      </c>
      <c r="T187" s="69">
        <v>455</v>
      </c>
      <c r="U187" s="69">
        <v>455</v>
      </c>
      <c r="V187" s="69">
        <v>455</v>
      </c>
      <c r="W187" s="69">
        <v>455</v>
      </c>
      <c r="X187" s="69">
        <v>455</v>
      </c>
      <c r="Y187" s="69">
        <v>455</v>
      </c>
      <c r="Z187" s="69">
        <v>455</v>
      </c>
      <c r="AA187" s="69">
        <v>455</v>
      </c>
      <c r="AB187" s="69">
        <v>455</v>
      </c>
      <c r="AC187" s="69">
        <v>455</v>
      </c>
      <c r="AD187" s="69">
        <v>455</v>
      </c>
      <c r="AE187" s="69">
        <v>455</v>
      </c>
      <c r="AF187" s="69">
        <v>455</v>
      </c>
      <c r="AG187" s="69">
        <v>455</v>
      </c>
      <c r="AH187" s="69">
        <v>455</v>
      </c>
      <c r="AI187" s="69">
        <v>455</v>
      </c>
    </row>
    <row r="188" spans="1:35" x14ac:dyDescent="0.35">
      <c r="A188" s="65" t="s">
        <v>473</v>
      </c>
      <c r="B188" s="74">
        <v>51</v>
      </c>
      <c r="C188" s="68">
        <v>148</v>
      </c>
      <c r="D188" s="69">
        <v>216</v>
      </c>
      <c r="E188" s="69">
        <v>301</v>
      </c>
      <c r="F188" s="69">
        <v>394</v>
      </c>
      <c r="G188" s="69">
        <v>455</v>
      </c>
      <c r="H188" s="69">
        <v>455</v>
      </c>
      <c r="I188" s="69">
        <v>455</v>
      </c>
      <c r="J188" s="69">
        <v>455</v>
      </c>
      <c r="K188" s="69">
        <v>455</v>
      </c>
      <c r="L188" s="69">
        <v>455</v>
      </c>
      <c r="M188" s="69">
        <v>455</v>
      </c>
      <c r="N188" s="69">
        <v>455</v>
      </c>
      <c r="O188" s="69">
        <v>455</v>
      </c>
      <c r="P188" s="69">
        <v>455</v>
      </c>
      <c r="Q188" s="69">
        <v>455</v>
      </c>
      <c r="R188" s="69">
        <v>455</v>
      </c>
      <c r="S188" s="69">
        <v>455</v>
      </c>
      <c r="T188" s="69">
        <v>455</v>
      </c>
      <c r="U188" s="69">
        <v>455</v>
      </c>
      <c r="V188" s="69">
        <v>455</v>
      </c>
      <c r="W188" s="69">
        <v>455</v>
      </c>
      <c r="X188" s="69">
        <v>455</v>
      </c>
      <c r="Y188" s="69">
        <v>455</v>
      </c>
      <c r="Z188" s="69">
        <v>455</v>
      </c>
      <c r="AA188" s="69">
        <v>455</v>
      </c>
      <c r="AB188" s="69">
        <v>455</v>
      </c>
      <c r="AC188" s="69">
        <v>455</v>
      </c>
      <c r="AD188" s="69">
        <v>455</v>
      </c>
      <c r="AE188" s="69">
        <v>455</v>
      </c>
      <c r="AF188" s="69">
        <v>455</v>
      </c>
      <c r="AG188" s="69">
        <v>455</v>
      </c>
      <c r="AH188" s="69">
        <v>455</v>
      </c>
      <c r="AI188" s="69">
        <v>455</v>
      </c>
    </row>
    <row r="189" spans="1:35" x14ac:dyDescent="0.35">
      <c r="A189" s="65" t="s">
        <v>473</v>
      </c>
      <c r="B189" s="74">
        <v>52</v>
      </c>
      <c r="C189" s="68">
        <v>148</v>
      </c>
      <c r="D189" s="69">
        <v>216</v>
      </c>
      <c r="E189" s="69">
        <v>301</v>
      </c>
      <c r="F189" s="69">
        <v>394</v>
      </c>
      <c r="G189" s="69">
        <v>455</v>
      </c>
      <c r="H189" s="69">
        <v>455</v>
      </c>
      <c r="I189" s="69">
        <v>455</v>
      </c>
      <c r="J189" s="69">
        <v>455</v>
      </c>
      <c r="K189" s="69">
        <v>455</v>
      </c>
      <c r="L189" s="69">
        <v>455</v>
      </c>
      <c r="M189" s="69">
        <v>455</v>
      </c>
      <c r="N189" s="69">
        <v>455</v>
      </c>
      <c r="O189" s="69">
        <v>455</v>
      </c>
      <c r="P189" s="69">
        <v>455</v>
      </c>
      <c r="Q189" s="69">
        <v>455</v>
      </c>
      <c r="R189" s="69">
        <v>455</v>
      </c>
      <c r="S189" s="69">
        <v>455</v>
      </c>
      <c r="T189" s="69">
        <v>455</v>
      </c>
      <c r="U189" s="69">
        <v>455</v>
      </c>
      <c r="V189" s="69">
        <v>455</v>
      </c>
      <c r="W189" s="69">
        <v>455</v>
      </c>
      <c r="X189" s="69">
        <v>455</v>
      </c>
      <c r="Y189" s="69">
        <v>455</v>
      </c>
      <c r="Z189" s="69">
        <v>455</v>
      </c>
      <c r="AA189" s="69">
        <v>455</v>
      </c>
      <c r="AB189" s="69">
        <v>455</v>
      </c>
      <c r="AC189" s="69">
        <v>455</v>
      </c>
      <c r="AD189" s="69">
        <v>455</v>
      </c>
      <c r="AE189" s="69">
        <v>455</v>
      </c>
      <c r="AF189" s="69">
        <v>455</v>
      </c>
      <c r="AG189" s="69">
        <v>455</v>
      </c>
      <c r="AH189" s="69">
        <v>455</v>
      </c>
      <c r="AI189" s="69">
        <v>455</v>
      </c>
    </row>
    <row r="190" spans="1:35" x14ac:dyDescent="0.35">
      <c r="A190" s="65" t="s">
        <v>473</v>
      </c>
      <c r="B190" s="74">
        <v>53</v>
      </c>
      <c r="C190" s="68">
        <v>148</v>
      </c>
      <c r="D190" s="69">
        <v>216</v>
      </c>
      <c r="E190" s="69">
        <v>301</v>
      </c>
      <c r="F190" s="69">
        <v>394</v>
      </c>
      <c r="G190" s="69">
        <v>455</v>
      </c>
      <c r="H190" s="69">
        <v>455</v>
      </c>
      <c r="I190" s="69">
        <v>455</v>
      </c>
      <c r="J190" s="69">
        <v>455</v>
      </c>
      <c r="K190" s="69">
        <v>455</v>
      </c>
      <c r="L190" s="69">
        <v>455</v>
      </c>
      <c r="M190" s="69">
        <v>455</v>
      </c>
      <c r="N190" s="69">
        <v>455</v>
      </c>
      <c r="O190" s="69">
        <v>455</v>
      </c>
      <c r="P190" s="69">
        <v>455</v>
      </c>
      <c r="Q190" s="69">
        <v>455</v>
      </c>
      <c r="R190" s="69">
        <v>455</v>
      </c>
      <c r="S190" s="69">
        <v>455</v>
      </c>
      <c r="T190" s="69">
        <v>455</v>
      </c>
      <c r="U190" s="69">
        <v>455</v>
      </c>
      <c r="V190" s="69">
        <v>455</v>
      </c>
      <c r="W190" s="69">
        <v>455</v>
      </c>
      <c r="X190" s="69">
        <v>455</v>
      </c>
      <c r="Y190" s="69">
        <v>455</v>
      </c>
      <c r="Z190" s="69">
        <v>455</v>
      </c>
      <c r="AA190" s="69">
        <v>455</v>
      </c>
      <c r="AB190" s="69">
        <v>455</v>
      </c>
      <c r="AC190" s="69">
        <v>455</v>
      </c>
      <c r="AD190" s="69">
        <v>455</v>
      </c>
      <c r="AE190" s="69">
        <v>455</v>
      </c>
      <c r="AF190" s="69">
        <v>455</v>
      </c>
      <c r="AG190" s="69">
        <v>455</v>
      </c>
      <c r="AH190" s="69">
        <v>455</v>
      </c>
      <c r="AI190" s="69">
        <v>455</v>
      </c>
    </row>
    <row r="191" spans="1:35" x14ac:dyDescent="0.35">
      <c r="A191" s="65" t="s">
        <v>473</v>
      </c>
      <c r="B191" s="74">
        <v>54</v>
      </c>
      <c r="C191" s="68">
        <v>148</v>
      </c>
      <c r="D191" s="69">
        <v>216</v>
      </c>
      <c r="E191" s="69">
        <v>301</v>
      </c>
      <c r="F191" s="69">
        <v>394</v>
      </c>
      <c r="G191" s="69">
        <v>455</v>
      </c>
      <c r="H191" s="69">
        <v>455</v>
      </c>
      <c r="I191" s="69">
        <v>455</v>
      </c>
      <c r="J191" s="69">
        <v>455</v>
      </c>
      <c r="K191" s="69">
        <v>455</v>
      </c>
      <c r="L191" s="69">
        <v>455</v>
      </c>
      <c r="M191" s="69">
        <v>455</v>
      </c>
      <c r="N191" s="69">
        <v>455</v>
      </c>
      <c r="O191" s="69">
        <v>455</v>
      </c>
      <c r="P191" s="69">
        <v>455</v>
      </c>
      <c r="Q191" s="69">
        <v>455</v>
      </c>
      <c r="R191" s="69">
        <v>455</v>
      </c>
      <c r="S191" s="69">
        <v>455</v>
      </c>
      <c r="T191" s="69">
        <v>455</v>
      </c>
      <c r="U191" s="69">
        <v>455</v>
      </c>
      <c r="V191" s="69">
        <v>455</v>
      </c>
      <c r="W191" s="69">
        <v>455</v>
      </c>
      <c r="X191" s="69">
        <v>455</v>
      </c>
      <c r="Y191" s="69">
        <v>455</v>
      </c>
      <c r="Z191" s="69">
        <v>455</v>
      </c>
      <c r="AA191" s="69">
        <v>455</v>
      </c>
      <c r="AB191" s="69">
        <v>455</v>
      </c>
      <c r="AC191" s="69">
        <v>455</v>
      </c>
      <c r="AD191" s="69">
        <v>455</v>
      </c>
      <c r="AE191" s="69">
        <v>455</v>
      </c>
      <c r="AF191" s="69">
        <v>455</v>
      </c>
      <c r="AG191" s="69">
        <v>455</v>
      </c>
      <c r="AH191" s="69">
        <v>455</v>
      </c>
      <c r="AI191" s="69">
        <v>455</v>
      </c>
    </row>
    <row r="192" spans="1:35" x14ac:dyDescent="0.35">
      <c r="A192" s="65" t="s">
        <v>473</v>
      </c>
      <c r="B192" s="74">
        <v>55</v>
      </c>
      <c r="C192" s="68">
        <v>148</v>
      </c>
      <c r="D192" s="69">
        <v>216</v>
      </c>
      <c r="E192" s="69">
        <v>301</v>
      </c>
      <c r="F192" s="69">
        <v>394</v>
      </c>
      <c r="G192" s="69">
        <v>455</v>
      </c>
      <c r="H192" s="69">
        <v>455</v>
      </c>
      <c r="I192" s="69">
        <v>455</v>
      </c>
      <c r="J192" s="69">
        <v>455</v>
      </c>
      <c r="K192" s="69">
        <v>455</v>
      </c>
      <c r="L192" s="69">
        <v>455</v>
      </c>
      <c r="M192" s="69">
        <v>455</v>
      </c>
      <c r="N192" s="69">
        <v>455</v>
      </c>
      <c r="O192" s="69">
        <v>455</v>
      </c>
      <c r="P192" s="69">
        <v>455</v>
      </c>
      <c r="Q192" s="69">
        <v>455</v>
      </c>
      <c r="R192" s="69">
        <v>455</v>
      </c>
      <c r="S192" s="69">
        <v>455</v>
      </c>
      <c r="T192" s="69">
        <v>455</v>
      </c>
      <c r="U192" s="69">
        <v>455</v>
      </c>
      <c r="V192" s="69">
        <v>455</v>
      </c>
      <c r="W192" s="69">
        <v>455</v>
      </c>
      <c r="X192" s="69">
        <v>455</v>
      </c>
      <c r="Y192" s="69">
        <v>455</v>
      </c>
      <c r="Z192" s="69">
        <v>455</v>
      </c>
      <c r="AA192" s="69">
        <v>455</v>
      </c>
      <c r="AB192" s="69">
        <v>455</v>
      </c>
      <c r="AC192" s="69">
        <v>455</v>
      </c>
      <c r="AD192" s="69">
        <v>455</v>
      </c>
      <c r="AE192" s="69">
        <v>455</v>
      </c>
      <c r="AF192" s="69">
        <v>455</v>
      </c>
      <c r="AG192" s="69">
        <v>455</v>
      </c>
      <c r="AH192" s="69">
        <v>455</v>
      </c>
      <c r="AI192" s="69">
        <v>455</v>
      </c>
    </row>
    <row r="193" spans="1:35" x14ac:dyDescent="0.35">
      <c r="A193" s="65" t="s">
        <v>473</v>
      </c>
      <c r="B193" s="74">
        <v>56</v>
      </c>
      <c r="C193" s="68">
        <v>148</v>
      </c>
      <c r="D193" s="69">
        <v>216</v>
      </c>
      <c r="E193" s="69">
        <v>301</v>
      </c>
      <c r="F193" s="69">
        <v>394</v>
      </c>
      <c r="G193" s="69">
        <v>455</v>
      </c>
      <c r="H193" s="69">
        <v>455</v>
      </c>
      <c r="I193" s="69">
        <v>455</v>
      </c>
      <c r="J193" s="69">
        <v>455</v>
      </c>
      <c r="K193" s="69">
        <v>455</v>
      </c>
      <c r="L193" s="69">
        <v>455</v>
      </c>
      <c r="M193" s="69">
        <v>455</v>
      </c>
      <c r="N193" s="69">
        <v>455</v>
      </c>
      <c r="O193" s="69">
        <v>455</v>
      </c>
      <c r="P193" s="69">
        <v>455</v>
      </c>
      <c r="Q193" s="69">
        <v>455</v>
      </c>
      <c r="R193" s="69">
        <v>455</v>
      </c>
      <c r="S193" s="69">
        <v>455</v>
      </c>
      <c r="T193" s="69">
        <v>455</v>
      </c>
      <c r="U193" s="69">
        <v>455</v>
      </c>
      <c r="V193" s="69">
        <v>455</v>
      </c>
      <c r="W193" s="69">
        <v>455</v>
      </c>
      <c r="X193" s="69">
        <v>455</v>
      </c>
      <c r="Y193" s="69">
        <v>455</v>
      </c>
      <c r="Z193" s="69">
        <v>455</v>
      </c>
      <c r="AA193" s="69">
        <v>455</v>
      </c>
      <c r="AB193" s="69">
        <v>455</v>
      </c>
      <c r="AC193" s="69">
        <v>455</v>
      </c>
      <c r="AD193" s="69">
        <v>455</v>
      </c>
      <c r="AE193" s="69">
        <v>455</v>
      </c>
      <c r="AF193" s="69">
        <v>455</v>
      </c>
      <c r="AG193" s="69">
        <v>455</v>
      </c>
      <c r="AH193" s="69">
        <v>455</v>
      </c>
      <c r="AI193" s="69">
        <v>455</v>
      </c>
    </row>
    <row r="194" spans="1:35" x14ac:dyDescent="0.35">
      <c r="A194" s="65" t="s">
        <v>473</v>
      </c>
      <c r="B194" s="74">
        <v>57</v>
      </c>
      <c r="C194" s="68">
        <v>148</v>
      </c>
      <c r="D194" s="69">
        <v>216</v>
      </c>
      <c r="E194" s="69">
        <v>301</v>
      </c>
      <c r="F194" s="69">
        <v>394</v>
      </c>
      <c r="G194" s="69">
        <v>455</v>
      </c>
      <c r="H194" s="69">
        <v>455</v>
      </c>
      <c r="I194" s="69">
        <v>455</v>
      </c>
      <c r="J194" s="69">
        <v>455</v>
      </c>
      <c r="K194" s="69">
        <v>455</v>
      </c>
      <c r="L194" s="69">
        <v>455</v>
      </c>
      <c r="M194" s="69">
        <v>455</v>
      </c>
      <c r="N194" s="69">
        <v>455</v>
      </c>
      <c r="O194" s="69">
        <v>455</v>
      </c>
      <c r="P194" s="69">
        <v>455</v>
      </c>
      <c r="Q194" s="69">
        <v>455</v>
      </c>
      <c r="R194" s="69">
        <v>455</v>
      </c>
      <c r="S194" s="69">
        <v>455</v>
      </c>
      <c r="T194" s="69">
        <v>455</v>
      </c>
      <c r="U194" s="69">
        <v>455</v>
      </c>
      <c r="V194" s="69">
        <v>455</v>
      </c>
      <c r="W194" s="69">
        <v>455</v>
      </c>
      <c r="X194" s="69">
        <v>455</v>
      </c>
      <c r="Y194" s="69">
        <v>455</v>
      </c>
      <c r="Z194" s="69">
        <v>455</v>
      </c>
      <c r="AA194" s="69">
        <v>455</v>
      </c>
      <c r="AB194" s="69">
        <v>455</v>
      </c>
      <c r="AC194" s="69">
        <v>455</v>
      </c>
      <c r="AD194" s="69">
        <v>455</v>
      </c>
      <c r="AE194" s="69">
        <v>455</v>
      </c>
      <c r="AF194" s="69">
        <v>455</v>
      </c>
      <c r="AG194" s="69">
        <v>455</v>
      </c>
      <c r="AH194" s="69">
        <v>455</v>
      </c>
      <c r="AI194" s="69">
        <v>455</v>
      </c>
    </row>
    <row r="195" spans="1:35" x14ac:dyDescent="0.35">
      <c r="A195" s="65" t="s">
        <v>473</v>
      </c>
      <c r="B195" s="74">
        <v>58</v>
      </c>
      <c r="C195" s="68">
        <v>148</v>
      </c>
      <c r="D195" s="69">
        <v>216</v>
      </c>
      <c r="E195" s="69">
        <v>301</v>
      </c>
      <c r="F195" s="69">
        <v>394</v>
      </c>
      <c r="G195" s="69">
        <v>455</v>
      </c>
      <c r="H195" s="69">
        <v>455</v>
      </c>
      <c r="I195" s="69">
        <v>455</v>
      </c>
      <c r="J195" s="69">
        <v>455</v>
      </c>
      <c r="K195" s="69">
        <v>455</v>
      </c>
      <c r="L195" s="69">
        <v>455</v>
      </c>
      <c r="M195" s="69">
        <v>455</v>
      </c>
      <c r="N195" s="69">
        <v>455</v>
      </c>
      <c r="O195" s="69">
        <v>455</v>
      </c>
      <c r="P195" s="69">
        <v>455</v>
      </c>
      <c r="Q195" s="69">
        <v>455</v>
      </c>
      <c r="R195" s="69">
        <v>455</v>
      </c>
      <c r="S195" s="69">
        <v>455</v>
      </c>
      <c r="T195" s="69">
        <v>455</v>
      </c>
      <c r="U195" s="69">
        <v>455</v>
      </c>
      <c r="V195" s="69">
        <v>455</v>
      </c>
      <c r="W195" s="69">
        <v>455</v>
      </c>
      <c r="X195" s="69">
        <v>455</v>
      </c>
      <c r="Y195" s="69">
        <v>455</v>
      </c>
      <c r="Z195" s="69">
        <v>455</v>
      </c>
      <c r="AA195" s="69">
        <v>455</v>
      </c>
      <c r="AB195" s="69">
        <v>455</v>
      </c>
      <c r="AC195" s="69">
        <v>455</v>
      </c>
      <c r="AD195" s="69">
        <v>455</v>
      </c>
      <c r="AE195" s="69">
        <v>455</v>
      </c>
      <c r="AF195" s="69">
        <v>455</v>
      </c>
      <c r="AG195" s="69">
        <v>455</v>
      </c>
      <c r="AH195" s="69">
        <v>455</v>
      </c>
      <c r="AI195" s="69">
        <v>455</v>
      </c>
    </row>
    <row r="196" spans="1:35" x14ac:dyDescent="0.35">
      <c r="A196" s="65" t="s">
        <v>473</v>
      </c>
      <c r="B196" s="74">
        <v>59</v>
      </c>
      <c r="C196" s="68">
        <v>148</v>
      </c>
      <c r="D196" s="69">
        <v>216</v>
      </c>
      <c r="E196" s="69">
        <v>301</v>
      </c>
      <c r="F196" s="69">
        <v>394</v>
      </c>
      <c r="G196" s="69">
        <v>455</v>
      </c>
      <c r="H196" s="69">
        <v>455</v>
      </c>
      <c r="I196" s="69">
        <v>455</v>
      </c>
      <c r="J196" s="69">
        <v>455</v>
      </c>
      <c r="K196" s="69">
        <v>455</v>
      </c>
      <c r="L196" s="69">
        <v>455</v>
      </c>
      <c r="M196" s="69">
        <v>455</v>
      </c>
      <c r="N196" s="69">
        <v>455</v>
      </c>
      <c r="O196" s="69">
        <v>455</v>
      </c>
      <c r="P196" s="69">
        <v>455</v>
      </c>
      <c r="Q196" s="69">
        <v>455</v>
      </c>
      <c r="R196" s="69">
        <v>455</v>
      </c>
      <c r="S196" s="69">
        <v>455</v>
      </c>
      <c r="T196" s="69">
        <v>455</v>
      </c>
      <c r="U196" s="69">
        <v>455</v>
      </c>
      <c r="V196" s="69">
        <v>455</v>
      </c>
      <c r="W196" s="69">
        <v>455</v>
      </c>
      <c r="X196" s="69">
        <v>455</v>
      </c>
      <c r="Y196" s="69">
        <v>455</v>
      </c>
      <c r="Z196" s="69">
        <v>455</v>
      </c>
      <c r="AA196" s="69">
        <v>455</v>
      </c>
      <c r="AB196" s="69">
        <v>455</v>
      </c>
      <c r="AC196" s="69">
        <v>455</v>
      </c>
      <c r="AD196" s="69">
        <v>455</v>
      </c>
      <c r="AE196" s="69">
        <v>455</v>
      </c>
      <c r="AF196" s="69">
        <v>455</v>
      </c>
      <c r="AG196" s="69">
        <v>455</v>
      </c>
      <c r="AH196" s="69">
        <v>455</v>
      </c>
      <c r="AI196" s="69">
        <v>455</v>
      </c>
    </row>
    <row r="197" spans="1:35" x14ac:dyDescent="0.35">
      <c r="A197" s="65" t="s">
        <v>473</v>
      </c>
      <c r="B197" s="74">
        <v>60</v>
      </c>
      <c r="C197" s="68">
        <v>148</v>
      </c>
      <c r="D197" s="69">
        <v>216</v>
      </c>
      <c r="E197" s="69">
        <v>301</v>
      </c>
      <c r="F197" s="69">
        <v>394</v>
      </c>
      <c r="G197" s="69">
        <v>455</v>
      </c>
      <c r="H197" s="69">
        <v>455</v>
      </c>
      <c r="I197" s="69">
        <v>455</v>
      </c>
      <c r="J197" s="69">
        <v>455</v>
      </c>
      <c r="K197" s="69">
        <v>455</v>
      </c>
      <c r="L197" s="69">
        <v>455</v>
      </c>
      <c r="M197" s="69">
        <v>455</v>
      </c>
      <c r="N197" s="69">
        <v>455</v>
      </c>
      <c r="O197" s="69">
        <v>455</v>
      </c>
      <c r="P197" s="69">
        <v>455</v>
      </c>
      <c r="Q197" s="69">
        <v>455</v>
      </c>
      <c r="R197" s="69">
        <v>455</v>
      </c>
      <c r="S197" s="69">
        <v>455</v>
      </c>
      <c r="T197" s="69">
        <v>455</v>
      </c>
      <c r="U197" s="69">
        <v>455</v>
      </c>
      <c r="V197" s="69">
        <v>455</v>
      </c>
      <c r="W197" s="69">
        <v>455</v>
      </c>
      <c r="X197" s="69">
        <v>455</v>
      </c>
      <c r="Y197" s="69">
        <v>455</v>
      </c>
      <c r="Z197" s="69">
        <v>455</v>
      </c>
      <c r="AA197" s="69">
        <v>455</v>
      </c>
      <c r="AB197" s="69">
        <v>455</v>
      </c>
      <c r="AC197" s="69">
        <v>455</v>
      </c>
      <c r="AD197" s="69">
        <v>455</v>
      </c>
      <c r="AE197" s="69">
        <v>455</v>
      </c>
      <c r="AF197" s="69">
        <v>455</v>
      </c>
      <c r="AG197" s="69">
        <v>455</v>
      </c>
      <c r="AH197" s="69">
        <v>455</v>
      </c>
      <c r="AI197" s="69">
        <v>455</v>
      </c>
    </row>
    <row r="198" spans="1:35" x14ac:dyDescent="0.35">
      <c r="A198" s="65" t="s">
        <v>473</v>
      </c>
      <c r="B198" s="74">
        <v>61</v>
      </c>
      <c r="C198" s="68">
        <v>148</v>
      </c>
      <c r="D198" s="69">
        <v>216</v>
      </c>
      <c r="E198" s="69">
        <v>301</v>
      </c>
      <c r="F198" s="69">
        <v>394</v>
      </c>
      <c r="G198" s="69">
        <v>455</v>
      </c>
      <c r="H198" s="69">
        <v>455</v>
      </c>
      <c r="I198" s="69">
        <v>455</v>
      </c>
      <c r="J198" s="69">
        <v>455</v>
      </c>
      <c r="K198" s="69">
        <v>455</v>
      </c>
      <c r="L198" s="69">
        <v>455</v>
      </c>
      <c r="M198" s="69">
        <v>455</v>
      </c>
      <c r="N198" s="69">
        <v>455</v>
      </c>
      <c r="O198" s="69">
        <v>455</v>
      </c>
      <c r="P198" s="69">
        <v>455</v>
      </c>
      <c r="Q198" s="69">
        <v>455</v>
      </c>
      <c r="R198" s="69">
        <v>455</v>
      </c>
      <c r="S198" s="69">
        <v>455</v>
      </c>
      <c r="T198" s="69">
        <v>455</v>
      </c>
      <c r="U198" s="69">
        <v>455</v>
      </c>
      <c r="V198" s="69">
        <v>455</v>
      </c>
      <c r="W198" s="69">
        <v>455</v>
      </c>
      <c r="X198" s="69">
        <v>455</v>
      </c>
      <c r="Y198" s="69">
        <v>455</v>
      </c>
      <c r="Z198" s="69">
        <v>455</v>
      </c>
      <c r="AA198" s="69">
        <v>455</v>
      </c>
      <c r="AB198" s="69">
        <v>455</v>
      </c>
      <c r="AC198" s="69">
        <v>455</v>
      </c>
      <c r="AD198" s="69">
        <v>455</v>
      </c>
      <c r="AE198" s="69">
        <v>455</v>
      </c>
      <c r="AF198" s="69">
        <v>455</v>
      </c>
      <c r="AG198" s="69">
        <v>455</v>
      </c>
      <c r="AH198" s="69">
        <v>455</v>
      </c>
      <c r="AI198" s="69">
        <v>455</v>
      </c>
    </row>
    <row r="199" spans="1:35" x14ac:dyDescent="0.35">
      <c r="A199" s="65" t="s">
        <v>473</v>
      </c>
      <c r="B199" s="74">
        <v>62</v>
      </c>
      <c r="C199" s="68">
        <v>148</v>
      </c>
      <c r="D199" s="69">
        <v>216</v>
      </c>
      <c r="E199" s="69">
        <v>301</v>
      </c>
      <c r="F199" s="69">
        <v>394</v>
      </c>
      <c r="G199" s="69">
        <v>455</v>
      </c>
      <c r="H199" s="69">
        <v>455</v>
      </c>
      <c r="I199" s="69">
        <v>455</v>
      </c>
      <c r="J199" s="69">
        <v>455</v>
      </c>
      <c r="K199" s="69">
        <v>455</v>
      </c>
      <c r="L199" s="69">
        <v>455</v>
      </c>
      <c r="M199" s="69">
        <v>455</v>
      </c>
      <c r="N199" s="69">
        <v>455</v>
      </c>
      <c r="O199" s="69">
        <v>455</v>
      </c>
      <c r="P199" s="69">
        <v>455</v>
      </c>
      <c r="Q199" s="69">
        <v>455</v>
      </c>
      <c r="R199" s="69">
        <v>455</v>
      </c>
      <c r="S199" s="69">
        <v>455</v>
      </c>
      <c r="T199" s="69">
        <v>455</v>
      </c>
      <c r="U199" s="69">
        <v>455</v>
      </c>
      <c r="V199" s="69">
        <v>455</v>
      </c>
      <c r="W199" s="69">
        <v>455</v>
      </c>
      <c r="X199" s="69">
        <v>455</v>
      </c>
      <c r="Y199" s="69">
        <v>455</v>
      </c>
      <c r="Z199" s="69">
        <v>455</v>
      </c>
      <c r="AA199" s="69">
        <v>455</v>
      </c>
      <c r="AB199" s="69">
        <v>455</v>
      </c>
      <c r="AC199" s="69">
        <v>455</v>
      </c>
      <c r="AD199" s="69">
        <v>455</v>
      </c>
      <c r="AE199" s="69">
        <v>455</v>
      </c>
      <c r="AF199" s="69">
        <v>455</v>
      </c>
      <c r="AG199" s="69">
        <v>455</v>
      </c>
      <c r="AH199" s="69">
        <v>455</v>
      </c>
      <c r="AI199" s="69">
        <v>455</v>
      </c>
    </row>
    <row r="200" spans="1:35" x14ac:dyDescent="0.35">
      <c r="A200" s="65" t="s">
        <v>473</v>
      </c>
      <c r="B200" s="74">
        <v>63</v>
      </c>
      <c r="C200" s="68">
        <v>148</v>
      </c>
      <c r="D200" s="69">
        <v>216</v>
      </c>
      <c r="E200" s="69">
        <v>301</v>
      </c>
      <c r="F200" s="69">
        <v>394</v>
      </c>
      <c r="G200" s="69">
        <v>455</v>
      </c>
      <c r="H200" s="69">
        <v>455</v>
      </c>
      <c r="I200" s="69">
        <v>455</v>
      </c>
      <c r="J200" s="69">
        <v>455</v>
      </c>
      <c r="K200" s="69">
        <v>455</v>
      </c>
      <c r="L200" s="69">
        <v>455</v>
      </c>
      <c r="M200" s="69">
        <v>455</v>
      </c>
      <c r="N200" s="69">
        <v>455</v>
      </c>
      <c r="O200" s="69">
        <v>455</v>
      </c>
      <c r="P200" s="69">
        <v>455</v>
      </c>
      <c r="Q200" s="69">
        <v>455</v>
      </c>
      <c r="R200" s="69">
        <v>455</v>
      </c>
      <c r="S200" s="69">
        <v>455</v>
      </c>
      <c r="T200" s="69">
        <v>455</v>
      </c>
      <c r="U200" s="69">
        <v>455</v>
      </c>
      <c r="V200" s="69">
        <v>455</v>
      </c>
      <c r="W200" s="69">
        <v>455</v>
      </c>
      <c r="X200" s="69">
        <v>455</v>
      </c>
      <c r="Y200" s="69">
        <v>455</v>
      </c>
      <c r="Z200" s="69">
        <v>455</v>
      </c>
      <c r="AA200" s="69">
        <v>455</v>
      </c>
      <c r="AB200" s="69">
        <v>455</v>
      </c>
      <c r="AC200" s="69">
        <v>455</v>
      </c>
      <c r="AD200" s="69">
        <v>455</v>
      </c>
      <c r="AE200" s="69">
        <v>455</v>
      </c>
      <c r="AF200" s="69">
        <v>455</v>
      </c>
      <c r="AG200" s="69">
        <v>455</v>
      </c>
      <c r="AH200" s="69">
        <v>455</v>
      </c>
      <c r="AI200" s="69">
        <v>455</v>
      </c>
    </row>
    <row r="201" spans="1:35" x14ac:dyDescent="0.35">
      <c r="A201" s="65" t="s">
        <v>473</v>
      </c>
      <c r="B201" s="74">
        <v>64</v>
      </c>
      <c r="C201" s="68">
        <v>148</v>
      </c>
      <c r="D201" s="69">
        <v>216</v>
      </c>
      <c r="E201" s="69">
        <v>301</v>
      </c>
      <c r="F201" s="69">
        <v>394</v>
      </c>
      <c r="G201" s="69">
        <v>455</v>
      </c>
      <c r="H201" s="69">
        <v>455</v>
      </c>
      <c r="I201" s="69">
        <v>455</v>
      </c>
      <c r="J201" s="69">
        <v>455</v>
      </c>
      <c r="K201" s="69">
        <v>455</v>
      </c>
      <c r="L201" s="69">
        <v>455</v>
      </c>
      <c r="M201" s="69">
        <v>455</v>
      </c>
      <c r="N201" s="69">
        <v>455</v>
      </c>
      <c r="O201" s="69">
        <v>455</v>
      </c>
      <c r="P201" s="69">
        <v>455</v>
      </c>
      <c r="Q201" s="69">
        <v>455</v>
      </c>
      <c r="R201" s="69">
        <v>455</v>
      </c>
      <c r="S201" s="69">
        <v>455</v>
      </c>
      <c r="T201" s="69">
        <v>455</v>
      </c>
      <c r="U201" s="69">
        <v>455</v>
      </c>
      <c r="V201" s="69">
        <v>455</v>
      </c>
      <c r="W201" s="69">
        <v>455</v>
      </c>
      <c r="X201" s="69">
        <v>455</v>
      </c>
      <c r="Y201" s="69">
        <v>455</v>
      </c>
      <c r="Z201" s="69">
        <v>455</v>
      </c>
      <c r="AA201" s="69">
        <v>455</v>
      </c>
      <c r="AB201" s="69">
        <v>455</v>
      </c>
      <c r="AC201" s="69">
        <v>455</v>
      </c>
      <c r="AD201" s="69">
        <v>455</v>
      </c>
      <c r="AE201" s="69">
        <v>455</v>
      </c>
      <c r="AF201" s="69">
        <v>455</v>
      </c>
      <c r="AG201" s="69">
        <v>455</v>
      </c>
      <c r="AH201" s="69">
        <v>455</v>
      </c>
      <c r="AI201" s="69">
        <v>455</v>
      </c>
    </row>
    <row r="202" spans="1:35" x14ac:dyDescent="0.35">
      <c r="A202" s="65" t="s">
        <v>473</v>
      </c>
      <c r="B202" s="74">
        <v>65</v>
      </c>
      <c r="C202" s="68">
        <v>148</v>
      </c>
      <c r="D202" s="69">
        <v>216</v>
      </c>
      <c r="E202" s="69">
        <v>301</v>
      </c>
      <c r="F202" s="69">
        <v>394</v>
      </c>
      <c r="G202" s="69">
        <v>455</v>
      </c>
      <c r="H202" s="69">
        <v>455</v>
      </c>
      <c r="I202" s="69">
        <v>455</v>
      </c>
      <c r="J202" s="69">
        <v>455</v>
      </c>
      <c r="K202" s="69">
        <v>455</v>
      </c>
      <c r="L202" s="69">
        <v>455</v>
      </c>
      <c r="M202" s="69">
        <v>455</v>
      </c>
      <c r="N202" s="69">
        <v>455</v>
      </c>
      <c r="O202" s="69">
        <v>455</v>
      </c>
      <c r="P202" s="69">
        <v>455</v>
      </c>
      <c r="Q202" s="69">
        <v>455</v>
      </c>
      <c r="R202" s="69">
        <v>455</v>
      </c>
      <c r="S202" s="69">
        <v>455</v>
      </c>
      <c r="T202" s="69">
        <v>455</v>
      </c>
      <c r="U202" s="69">
        <v>455</v>
      </c>
      <c r="V202" s="69">
        <v>455</v>
      </c>
      <c r="W202" s="69">
        <v>455</v>
      </c>
      <c r="X202" s="69">
        <v>455</v>
      </c>
      <c r="Y202" s="69">
        <v>455</v>
      </c>
      <c r="Z202" s="69">
        <v>455</v>
      </c>
      <c r="AA202" s="69">
        <v>455</v>
      </c>
      <c r="AB202" s="69">
        <v>455</v>
      </c>
      <c r="AC202" s="69">
        <v>455</v>
      </c>
      <c r="AD202" s="69">
        <v>455</v>
      </c>
      <c r="AE202" s="69">
        <v>455</v>
      </c>
      <c r="AF202" s="69">
        <v>455</v>
      </c>
      <c r="AG202" s="69">
        <v>455</v>
      </c>
      <c r="AH202" s="69">
        <v>455</v>
      </c>
      <c r="AI202" s="69">
        <v>455</v>
      </c>
    </row>
    <row r="203" spans="1:35" x14ac:dyDescent="0.35">
      <c r="A203" s="65" t="s">
        <v>473</v>
      </c>
      <c r="B203" s="74">
        <v>66</v>
      </c>
      <c r="C203" s="68">
        <v>148</v>
      </c>
      <c r="D203" s="69">
        <v>216</v>
      </c>
      <c r="E203" s="69">
        <v>301</v>
      </c>
      <c r="F203" s="69">
        <v>394</v>
      </c>
      <c r="G203" s="69">
        <v>455</v>
      </c>
      <c r="H203" s="69">
        <v>455</v>
      </c>
      <c r="I203" s="69">
        <v>455</v>
      </c>
      <c r="J203" s="69">
        <v>455</v>
      </c>
      <c r="K203" s="69">
        <v>455</v>
      </c>
      <c r="L203" s="69">
        <v>455</v>
      </c>
      <c r="M203" s="69">
        <v>455</v>
      </c>
      <c r="N203" s="69">
        <v>455</v>
      </c>
      <c r="O203" s="69">
        <v>455</v>
      </c>
      <c r="P203" s="69">
        <v>455</v>
      </c>
      <c r="Q203" s="69">
        <v>455</v>
      </c>
      <c r="R203" s="69">
        <v>455</v>
      </c>
      <c r="S203" s="69">
        <v>455</v>
      </c>
      <c r="T203" s="69">
        <v>455</v>
      </c>
      <c r="U203" s="69">
        <v>455</v>
      </c>
      <c r="V203" s="69">
        <v>455</v>
      </c>
      <c r="W203" s="69">
        <v>455</v>
      </c>
      <c r="X203" s="69">
        <v>455</v>
      </c>
      <c r="Y203" s="69">
        <v>455</v>
      </c>
      <c r="Z203" s="69">
        <v>455</v>
      </c>
      <c r="AA203" s="69">
        <v>455</v>
      </c>
      <c r="AB203" s="69">
        <v>455</v>
      </c>
      <c r="AC203" s="69">
        <v>455</v>
      </c>
      <c r="AD203" s="69">
        <v>455</v>
      </c>
      <c r="AE203" s="69">
        <v>455</v>
      </c>
      <c r="AF203" s="69">
        <v>455</v>
      </c>
      <c r="AG203" s="69">
        <v>455</v>
      </c>
      <c r="AH203" s="69">
        <v>455</v>
      </c>
      <c r="AI203" s="69">
        <v>455</v>
      </c>
    </row>
    <row r="204" spans="1:35" x14ac:dyDescent="0.35">
      <c r="A204" s="65" t="s">
        <v>473</v>
      </c>
      <c r="B204" s="74">
        <v>67</v>
      </c>
      <c r="C204" s="68">
        <v>148</v>
      </c>
      <c r="D204" s="69">
        <v>216</v>
      </c>
      <c r="E204" s="69">
        <v>301</v>
      </c>
      <c r="F204" s="69">
        <v>394</v>
      </c>
      <c r="G204" s="69">
        <v>455</v>
      </c>
      <c r="H204" s="69">
        <v>455</v>
      </c>
      <c r="I204" s="69">
        <v>455</v>
      </c>
      <c r="J204" s="69">
        <v>455</v>
      </c>
      <c r="K204" s="69">
        <v>455</v>
      </c>
      <c r="L204" s="69">
        <v>455</v>
      </c>
      <c r="M204" s="69">
        <v>455</v>
      </c>
      <c r="N204" s="69">
        <v>455</v>
      </c>
      <c r="O204" s="69">
        <v>455</v>
      </c>
      <c r="P204" s="69">
        <v>455</v>
      </c>
      <c r="Q204" s="69">
        <v>455</v>
      </c>
      <c r="R204" s="69">
        <v>455</v>
      </c>
      <c r="S204" s="69">
        <v>455</v>
      </c>
      <c r="T204" s="69">
        <v>455</v>
      </c>
      <c r="U204" s="69">
        <v>455</v>
      </c>
      <c r="V204" s="69">
        <v>455</v>
      </c>
      <c r="W204" s="69">
        <v>455</v>
      </c>
      <c r="X204" s="69">
        <v>455</v>
      </c>
      <c r="Y204" s="69">
        <v>455</v>
      </c>
      <c r="Z204" s="69">
        <v>455</v>
      </c>
      <c r="AA204" s="69">
        <v>455</v>
      </c>
      <c r="AB204" s="69">
        <v>455</v>
      </c>
      <c r="AC204" s="69">
        <v>455</v>
      </c>
      <c r="AD204" s="69">
        <v>455</v>
      </c>
      <c r="AE204" s="69">
        <v>455</v>
      </c>
      <c r="AF204" s="69">
        <v>455</v>
      </c>
      <c r="AG204" s="69">
        <v>455</v>
      </c>
      <c r="AH204" s="69">
        <v>455</v>
      </c>
      <c r="AI204" s="69">
        <v>455</v>
      </c>
    </row>
    <row r="205" spans="1:35" x14ac:dyDescent="0.35">
      <c r="A205" s="65" t="s">
        <v>473</v>
      </c>
      <c r="B205" s="74">
        <v>68</v>
      </c>
      <c r="C205" s="68">
        <v>148</v>
      </c>
      <c r="D205" s="69">
        <v>216</v>
      </c>
      <c r="E205" s="69">
        <v>301</v>
      </c>
      <c r="F205" s="69">
        <v>394</v>
      </c>
      <c r="G205" s="69">
        <v>455</v>
      </c>
      <c r="H205" s="69">
        <v>455</v>
      </c>
      <c r="I205" s="69">
        <v>455</v>
      </c>
      <c r="J205" s="69">
        <v>455</v>
      </c>
      <c r="K205" s="69">
        <v>455</v>
      </c>
      <c r="L205" s="69">
        <v>455</v>
      </c>
      <c r="M205" s="69">
        <v>455</v>
      </c>
      <c r="N205" s="69">
        <v>455</v>
      </c>
      <c r="O205" s="69">
        <v>455</v>
      </c>
      <c r="P205" s="69">
        <v>455</v>
      </c>
      <c r="Q205" s="69">
        <v>455</v>
      </c>
      <c r="R205" s="69">
        <v>455</v>
      </c>
      <c r="S205" s="69">
        <v>455</v>
      </c>
      <c r="T205" s="69">
        <v>455</v>
      </c>
      <c r="U205" s="69">
        <v>455</v>
      </c>
      <c r="V205" s="69">
        <v>455</v>
      </c>
      <c r="W205" s="69">
        <v>455</v>
      </c>
      <c r="X205" s="69">
        <v>455</v>
      </c>
      <c r="Y205" s="69">
        <v>455</v>
      </c>
      <c r="Z205" s="69">
        <v>455</v>
      </c>
      <c r="AA205" s="69">
        <v>455</v>
      </c>
      <c r="AB205" s="69">
        <v>455</v>
      </c>
      <c r="AC205" s="69">
        <v>455</v>
      </c>
      <c r="AD205" s="69">
        <v>455</v>
      </c>
      <c r="AE205" s="69">
        <v>455</v>
      </c>
      <c r="AF205" s="69">
        <v>455</v>
      </c>
      <c r="AG205" s="69">
        <v>455</v>
      </c>
      <c r="AH205" s="69">
        <v>455</v>
      </c>
      <c r="AI205" s="69">
        <v>455</v>
      </c>
    </row>
    <row r="206" spans="1:35" x14ac:dyDescent="0.35">
      <c r="A206" s="65" t="s">
        <v>473</v>
      </c>
      <c r="B206" s="74">
        <v>69</v>
      </c>
      <c r="C206" s="68">
        <v>148</v>
      </c>
      <c r="D206" s="69">
        <v>216</v>
      </c>
      <c r="E206" s="69">
        <v>301</v>
      </c>
      <c r="F206" s="69">
        <v>394</v>
      </c>
      <c r="G206" s="69">
        <v>455</v>
      </c>
      <c r="H206" s="69">
        <v>455</v>
      </c>
      <c r="I206" s="69">
        <v>455</v>
      </c>
      <c r="J206" s="69">
        <v>455</v>
      </c>
      <c r="K206" s="69">
        <v>455</v>
      </c>
      <c r="L206" s="69">
        <v>455</v>
      </c>
      <c r="M206" s="69">
        <v>455</v>
      </c>
      <c r="N206" s="69">
        <v>455</v>
      </c>
      <c r="O206" s="69">
        <v>455</v>
      </c>
      <c r="P206" s="69">
        <v>455</v>
      </c>
      <c r="Q206" s="69">
        <v>455</v>
      </c>
      <c r="R206" s="69">
        <v>455</v>
      </c>
      <c r="S206" s="69">
        <v>455</v>
      </c>
      <c r="T206" s="69">
        <v>455</v>
      </c>
      <c r="U206" s="69">
        <v>455</v>
      </c>
      <c r="V206" s="69">
        <v>455</v>
      </c>
      <c r="W206" s="69">
        <v>455</v>
      </c>
      <c r="X206" s="69">
        <v>455</v>
      </c>
      <c r="Y206" s="69">
        <v>455</v>
      </c>
      <c r="Z206" s="69">
        <v>455</v>
      </c>
      <c r="AA206" s="69">
        <v>455</v>
      </c>
      <c r="AB206" s="69">
        <v>455</v>
      </c>
      <c r="AC206" s="69">
        <v>455</v>
      </c>
      <c r="AD206" s="69">
        <v>455</v>
      </c>
      <c r="AE206" s="69">
        <v>455</v>
      </c>
      <c r="AF206" s="69">
        <v>455</v>
      </c>
      <c r="AG206" s="69">
        <v>455</v>
      </c>
      <c r="AH206" s="69">
        <v>455</v>
      </c>
      <c r="AI206" s="69">
        <v>455</v>
      </c>
    </row>
    <row r="207" spans="1:35" x14ac:dyDescent="0.35">
      <c r="A207" s="65" t="s">
        <v>473</v>
      </c>
      <c r="B207" s="74">
        <v>70</v>
      </c>
      <c r="C207" s="68">
        <v>113</v>
      </c>
      <c r="D207" s="69">
        <v>170</v>
      </c>
      <c r="E207" s="69">
        <v>245</v>
      </c>
      <c r="F207" s="69">
        <v>320</v>
      </c>
      <c r="G207" s="69">
        <v>369</v>
      </c>
      <c r="H207" s="69">
        <v>369</v>
      </c>
      <c r="I207" s="69">
        <v>369</v>
      </c>
      <c r="J207" s="69">
        <v>369</v>
      </c>
      <c r="K207" s="69">
        <v>369</v>
      </c>
      <c r="L207" s="69">
        <v>369</v>
      </c>
      <c r="M207" s="69">
        <v>369</v>
      </c>
      <c r="N207" s="69">
        <v>369</v>
      </c>
      <c r="O207" s="69">
        <v>369</v>
      </c>
      <c r="P207" s="69">
        <v>369</v>
      </c>
      <c r="Q207" s="69">
        <v>369</v>
      </c>
      <c r="R207" s="69">
        <v>369</v>
      </c>
      <c r="S207" s="69">
        <v>369</v>
      </c>
      <c r="T207" s="69">
        <v>369</v>
      </c>
      <c r="U207" s="69">
        <v>369</v>
      </c>
      <c r="V207" s="69">
        <v>369</v>
      </c>
      <c r="W207" s="69">
        <v>369</v>
      </c>
      <c r="X207" s="69">
        <v>369</v>
      </c>
      <c r="Y207" s="69">
        <v>369</v>
      </c>
      <c r="Z207" s="69">
        <v>369</v>
      </c>
      <c r="AA207" s="69">
        <v>369</v>
      </c>
      <c r="AB207" s="69">
        <v>369</v>
      </c>
      <c r="AC207" s="69">
        <v>369</v>
      </c>
      <c r="AD207" s="69">
        <v>369</v>
      </c>
      <c r="AE207" s="69">
        <v>369</v>
      </c>
      <c r="AF207" s="69">
        <v>369</v>
      </c>
      <c r="AG207" s="69">
        <v>369</v>
      </c>
      <c r="AH207" s="69">
        <v>369</v>
      </c>
      <c r="AI207" s="69">
        <v>369</v>
      </c>
    </row>
    <row r="208" spans="1:35" x14ac:dyDescent="0.35">
      <c r="A208" s="65" t="s">
        <v>473</v>
      </c>
      <c r="B208" s="74">
        <v>71</v>
      </c>
      <c r="C208" s="68">
        <v>113</v>
      </c>
      <c r="D208" s="69">
        <v>170</v>
      </c>
      <c r="E208" s="69">
        <v>245</v>
      </c>
      <c r="F208" s="69">
        <v>320</v>
      </c>
      <c r="G208" s="69">
        <v>369</v>
      </c>
      <c r="H208" s="69">
        <v>369</v>
      </c>
      <c r="I208" s="69">
        <v>369</v>
      </c>
      <c r="J208" s="69">
        <v>369</v>
      </c>
      <c r="K208" s="69">
        <v>369</v>
      </c>
      <c r="L208" s="69">
        <v>369</v>
      </c>
      <c r="M208" s="69">
        <v>369</v>
      </c>
      <c r="N208" s="69">
        <v>369</v>
      </c>
      <c r="O208" s="69">
        <v>369</v>
      </c>
      <c r="P208" s="69">
        <v>369</v>
      </c>
      <c r="Q208" s="69">
        <v>369</v>
      </c>
      <c r="R208" s="69">
        <v>369</v>
      </c>
      <c r="S208" s="69">
        <v>369</v>
      </c>
      <c r="T208" s="69">
        <v>369</v>
      </c>
      <c r="U208" s="69">
        <v>369</v>
      </c>
      <c r="V208" s="69">
        <v>369</v>
      </c>
      <c r="W208" s="69">
        <v>369</v>
      </c>
      <c r="X208" s="69">
        <v>369</v>
      </c>
      <c r="Y208" s="69">
        <v>369</v>
      </c>
      <c r="Z208" s="69">
        <v>369</v>
      </c>
      <c r="AA208" s="69">
        <v>369</v>
      </c>
      <c r="AB208" s="69">
        <v>369</v>
      </c>
      <c r="AC208" s="69">
        <v>369</v>
      </c>
      <c r="AD208" s="69">
        <v>369</v>
      </c>
      <c r="AE208" s="69">
        <v>369</v>
      </c>
      <c r="AF208" s="69">
        <v>369</v>
      </c>
      <c r="AG208" s="69">
        <v>369</v>
      </c>
      <c r="AH208" s="69">
        <v>369</v>
      </c>
      <c r="AI208" s="69">
        <v>369</v>
      </c>
    </row>
    <row r="209" spans="1:35" x14ac:dyDescent="0.35">
      <c r="A209" s="65" t="s">
        <v>473</v>
      </c>
      <c r="B209" s="74">
        <v>72</v>
      </c>
      <c r="C209" s="68">
        <v>113</v>
      </c>
      <c r="D209" s="69">
        <v>170</v>
      </c>
      <c r="E209" s="69">
        <v>245</v>
      </c>
      <c r="F209" s="69">
        <v>320</v>
      </c>
      <c r="G209" s="69">
        <v>369</v>
      </c>
      <c r="H209" s="69">
        <v>369</v>
      </c>
      <c r="I209" s="69">
        <v>369</v>
      </c>
      <c r="J209" s="69">
        <v>369</v>
      </c>
      <c r="K209" s="69">
        <v>369</v>
      </c>
      <c r="L209" s="69">
        <v>369</v>
      </c>
      <c r="M209" s="69">
        <v>369</v>
      </c>
      <c r="N209" s="69">
        <v>369</v>
      </c>
      <c r="O209" s="69">
        <v>369</v>
      </c>
      <c r="P209" s="69">
        <v>369</v>
      </c>
      <c r="Q209" s="69">
        <v>369</v>
      </c>
      <c r="R209" s="69">
        <v>369</v>
      </c>
      <c r="S209" s="69">
        <v>369</v>
      </c>
      <c r="T209" s="69">
        <v>369</v>
      </c>
      <c r="U209" s="69">
        <v>369</v>
      </c>
      <c r="V209" s="69">
        <v>369</v>
      </c>
      <c r="W209" s="69">
        <v>369</v>
      </c>
      <c r="X209" s="69">
        <v>369</v>
      </c>
      <c r="Y209" s="69">
        <v>369</v>
      </c>
      <c r="Z209" s="69">
        <v>369</v>
      </c>
      <c r="AA209" s="69">
        <v>369</v>
      </c>
      <c r="AB209" s="69">
        <v>369</v>
      </c>
      <c r="AC209" s="69">
        <v>369</v>
      </c>
      <c r="AD209" s="69">
        <v>369</v>
      </c>
      <c r="AE209" s="69">
        <v>369</v>
      </c>
      <c r="AF209" s="69">
        <v>369</v>
      </c>
      <c r="AG209" s="69">
        <v>369</v>
      </c>
      <c r="AH209" s="69">
        <v>369</v>
      </c>
      <c r="AI209" s="69">
        <v>369</v>
      </c>
    </row>
    <row r="210" spans="1:35" x14ac:dyDescent="0.35">
      <c r="A210" s="65" t="s">
        <v>473</v>
      </c>
      <c r="B210" s="74">
        <v>73</v>
      </c>
      <c r="C210" s="68">
        <v>113</v>
      </c>
      <c r="D210" s="69">
        <v>170</v>
      </c>
      <c r="E210" s="69">
        <v>245</v>
      </c>
      <c r="F210" s="69">
        <v>320</v>
      </c>
      <c r="G210" s="69">
        <v>369</v>
      </c>
      <c r="H210" s="69">
        <v>369</v>
      </c>
      <c r="I210" s="69">
        <v>369</v>
      </c>
      <c r="J210" s="69">
        <v>369</v>
      </c>
      <c r="K210" s="69">
        <v>369</v>
      </c>
      <c r="L210" s="69">
        <v>369</v>
      </c>
      <c r="M210" s="69">
        <v>369</v>
      </c>
      <c r="N210" s="69">
        <v>369</v>
      </c>
      <c r="O210" s="69">
        <v>369</v>
      </c>
      <c r="P210" s="69">
        <v>369</v>
      </c>
      <c r="Q210" s="69">
        <v>369</v>
      </c>
      <c r="R210" s="69">
        <v>369</v>
      </c>
      <c r="S210" s="69">
        <v>369</v>
      </c>
      <c r="T210" s="69">
        <v>369</v>
      </c>
      <c r="U210" s="69">
        <v>369</v>
      </c>
      <c r="V210" s="69">
        <v>369</v>
      </c>
      <c r="W210" s="69">
        <v>369</v>
      </c>
      <c r="X210" s="69">
        <v>369</v>
      </c>
      <c r="Y210" s="69">
        <v>369</v>
      </c>
      <c r="Z210" s="69">
        <v>369</v>
      </c>
      <c r="AA210" s="69">
        <v>369</v>
      </c>
      <c r="AB210" s="69">
        <v>369</v>
      </c>
      <c r="AC210" s="69">
        <v>369</v>
      </c>
      <c r="AD210" s="69">
        <v>369</v>
      </c>
      <c r="AE210" s="69">
        <v>369</v>
      </c>
      <c r="AF210" s="69">
        <v>369</v>
      </c>
      <c r="AG210" s="69">
        <v>369</v>
      </c>
      <c r="AH210" s="69">
        <v>369</v>
      </c>
      <c r="AI210" s="69">
        <v>369</v>
      </c>
    </row>
    <row r="211" spans="1:35" x14ac:dyDescent="0.35">
      <c r="A211" s="65" t="s">
        <v>473</v>
      </c>
      <c r="B211" s="74">
        <v>74</v>
      </c>
      <c r="C211" s="68">
        <v>113</v>
      </c>
      <c r="D211" s="69">
        <v>170</v>
      </c>
      <c r="E211" s="69">
        <v>245</v>
      </c>
      <c r="F211" s="69">
        <v>320</v>
      </c>
      <c r="G211" s="69">
        <v>369</v>
      </c>
      <c r="H211" s="69">
        <v>369</v>
      </c>
      <c r="I211" s="69">
        <v>369</v>
      </c>
      <c r="J211" s="69">
        <v>369</v>
      </c>
      <c r="K211" s="69">
        <v>369</v>
      </c>
      <c r="L211" s="69">
        <v>369</v>
      </c>
      <c r="M211" s="69">
        <v>369</v>
      </c>
      <c r="N211" s="69">
        <v>369</v>
      </c>
      <c r="O211" s="69">
        <v>369</v>
      </c>
      <c r="P211" s="69">
        <v>369</v>
      </c>
      <c r="Q211" s="69">
        <v>369</v>
      </c>
      <c r="R211" s="69">
        <v>369</v>
      </c>
      <c r="S211" s="69">
        <v>369</v>
      </c>
      <c r="T211" s="69">
        <v>369</v>
      </c>
      <c r="U211" s="69">
        <v>369</v>
      </c>
      <c r="V211" s="69">
        <v>369</v>
      </c>
      <c r="W211" s="69">
        <v>369</v>
      </c>
      <c r="X211" s="69">
        <v>369</v>
      </c>
      <c r="Y211" s="69">
        <v>369</v>
      </c>
      <c r="Z211" s="69">
        <v>369</v>
      </c>
      <c r="AA211" s="69">
        <v>369</v>
      </c>
      <c r="AB211" s="69">
        <v>369</v>
      </c>
      <c r="AC211" s="69">
        <v>369</v>
      </c>
      <c r="AD211" s="69">
        <v>369</v>
      </c>
      <c r="AE211" s="69">
        <v>369</v>
      </c>
      <c r="AF211" s="69">
        <v>369</v>
      </c>
      <c r="AG211" s="69">
        <v>369</v>
      </c>
      <c r="AH211" s="69">
        <v>369</v>
      </c>
      <c r="AI211" s="69">
        <v>369</v>
      </c>
    </row>
    <row r="212" spans="1:35" x14ac:dyDescent="0.35">
      <c r="A212" s="65" t="s">
        <v>473</v>
      </c>
      <c r="B212" s="74">
        <v>75</v>
      </c>
      <c r="C212" s="68">
        <v>113</v>
      </c>
      <c r="D212" s="69">
        <v>170</v>
      </c>
      <c r="E212" s="69">
        <v>245</v>
      </c>
      <c r="F212" s="69">
        <v>320</v>
      </c>
      <c r="G212" s="69">
        <v>369</v>
      </c>
      <c r="H212" s="69">
        <v>369</v>
      </c>
      <c r="I212" s="69">
        <v>369</v>
      </c>
      <c r="J212" s="69">
        <v>369</v>
      </c>
      <c r="K212" s="69">
        <v>369</v>
      </c>
      <c r="L212" s="69">
        <v>369</v>
      </c>
      <c r="M212" s="69">
        <v>369</v>
      </c>
      <c r="N212" s="69">
        <v>369</v>
      </c>
      <c r="O212" s="69">
        <v>369</v>
      </c>
      <c r="P212" s="69">
        <v>369</v>
      </c>
      <c r="Q212" s="69">
        <v>369</v>
      </c>
      <c r="R212" s="69">
        <v>369</v>
      </c>
      <c r="S212" s="69">
        <v>369</v>
      </c>
      <c r="T212" s="69">
        <v>369</v>
      </c>
      <c r="U212" s="69">
        <v>369</v>
      </c>
      <c r="V212" s="69">
        <v>369</v>
      </c>
      <c r="W212" s="69">
        <v>369</v>
      </c>
      <c r="X212" s="69">
        <v>369</v>
      </c>
      <c r="Y212" s="69">
        <v>369</v>
      </c>
      <c r="Z212" s="69">
        <v>369</v>
      </c>
      <c r="AA212" s="69">
        <v>369</v>
      </c>
      <c r="AB212" s="69">
        <v>369</v>
      </c>
      <c r="AC212" s="69">
        <v>369</v>
      </c>
      <c r="AD212" s="69">
        <v>369</v>
      </c>
      <c r="AE212" s="69">
        <v>369</v>
      </c>
      <c r="AF212" s="69">
        <v>369</v>
      </c>
      <c r="AG212" s="69">
        <v>369</v>
      </c>
      <c r="AH212" s="69">
        <v>369</v>
      </c>
      <c r="AI212" s="69">
        <v>369</v>
      </c>
    </row>
    <row r="213" spans="1:35" x14ac:dyDescent="0.35">
      <c r="A213" s="65" t="s">
        <v>473</v>
      </c>
      <c r="B213" s="74">
        <v>76</v>
      </c>
      <c r="C213" s="68">
        <v>113</v>
      </c>
      <c r="D213" s="69">
        <v>170</v>
      </c>
      <c r="E213" s="69">
        <v>245</v>
      </c>
      <c r="F213" s="69">
        <v>320</v>
      </c>
      <c r="G213" s="69">
        <v>369</v>
      </c>
      <c r="H213" s="69">
        <v>369</v>
      </c>
      <c r="I213" s="69">
        <v>369</v>
      </c>
      <c r="J213" s="69">
        <v>369</v>
      </c>
      <c r="K213" s="69">
        <v>369</v>
      </c>
      <c r="L213" s="69">
        <v>369</v>
      </c>
      <c r="M213" s="69">
        <v>369</v>
      </c>
      <c r="N213" s="69">
        <v>369</v>
      </c>
      <c r="O213" s="69">
        <v>369</v>
      </c>
      <c r="P213" s="69">
        <v>369</v>
      </c>
      <c r="Q213" s="69">
        <v>369</v>
      </c>
      <c r="R213" s="69">
        <v>369</v>
      </c>
      <c r="S213" s="69">
        <v>369</v>
      </c>
      <c r="T213" s="69">
        <v>369</v>
      </c>
      <c r="U213" s="69">
        <v>369</v>
      </c>
      <c r="V213" s="69">
        <v>369</v>
      </c>
      <c r="W213" s="69">
        <v>369</v>
      </c>
      <c r="X213" s="69">
        <v>369</v>
      </c>
      <c r="Y213" s="69">
        <v>369</v>
      </c>
      <c r="Z213" s="69">
        <v>369</v>
      </c>
      <c r="AA213" s="69">
        <v>369</v>
      </c>
      <c r="AB213" s="69">
        <v>369</v>
      </c>
      <c r="AC213" s="69">
        <v>369</v>
      </c>
      <c r="AD213" s="69">
        <v>369</v>
      </c>
      <c r="AE213" s="69">
        <v>369</v>
      </c>
      <c r="AF213" s="69">
        <v>369</v>
      </c>
      <c r="AG213" s="69">
        <v>369</v>
      </c>
      <c r="AH213" s="69">
        <v>369</v>
      </c>
      <c r="AI213" s="69">
        <v>369</v>
      </c>
    </row>
    <row r="214" spans="1:35" x14ac:dyDescent="0.35">
      <c r="A214" s="65" t="s">
        <v>473</v>
      </c>
      <c r="B214" s="74">
        <v>77</v>
      </c>
      <c r="C214" s="68">
        <v>113</v>
      </c>
      <c r="D214" s="69">
        <v>170</v>
      </c>
      <c r="E214" s="69">
        <v>245</v>
      </c>
      <c r="F214" s="69">
        <v>320</v>
      </c>
      <c r="G214" s="69">
        <v>369</v>
      </c>
      <c r="H214" s="69">
        <v>369</v>
      </c>
      <c r="I214" s="69">
        <v>369</v>
      </c>
      <c r="J214" s="69">
        <v>369</v>
      </c>
      <c r="K214" s="69">
        <v>369</v>
      </c>
      <c r="L214" s="69">
        <v>369</v>
      </c>
      <c r="M214" s="69">
        <v>369</v>
      </c>
      <c r="N214" s="69">
        <v>369</v>
      </c>
      <c r="O214" s="69">
        <v>369</v>
      </c>
      <c r="P214" s="69">
        <v>369</v>
      </c>
      <c r="Q214" s="69">
        <v>369</v>
      </c>
      <c r="R214" s="69">
        <v>369</v>
      </c>
      <c r="S214" s="69">
        <v>369</v>
      </c>
      <c r="T214" s="69">
        <v>369</v>
      </c>
      <c r="U214" s="69">
        <v>369</v>
      </c>
      <c r="V214" s="69">
        <v>369</v>
      </c>
      <c r="W214" s="69">
        <v>369</v>
      </c>
      <c r="X214" s="69">
        <v>369</v>
      </c>
      <c r="Y214" s="69">
        <v>369</v>
      </c>
      <c r="Z214" s="69">
        <v>369</v>
      </c>
      <c r="AA214" s="69">
        <v>369</v>
      </c>
      <c r="AB214" s="69">
        <v>369</v>
      </c>
      <c r="AC214" s="69">
        <v>369</v>
      </c>
      <c r="AD214" s="69">
        <v>369</v>
      </c>
      <c r="AE214" s="69">
        <v>369</v>
      </c>
      <c r="AF214" s="69">
        <v>369</v>
      </c>
      <c r="AG214" s="69">
        <v>369</v>
      </c>
      <c r="AH214" s="69">
        <v>369</v>
      </c>
      <c r="AI214" s="69">
        <v>369</v>
      </c>
    </row>
    <row r="215" spans="1:35" x14ac:dyDescent="0.35">
      <c r="A215" s="65" t="s">
        <v>473</v>
      </c>
      <c r="B215" s="74">
        <v>78</v>
      </c>
      <c r="C215" s="68">
        <v>113</v>
      </c>
      <c r="D215" s="69">
        <v>170</v>
      </c>
      <c r="E215" s="69">
        <v>245</v>
      </c>
      <c r="F215" s="69">
        <v>320</v>
      </c>
      <c r="G215" s="69">
        <v>369</v>
      </c>
      <c r="H215" s="69">
        <v>369</v>
      </c>
      <c r="I215" s="69">
        <v>369</v>
      </c>
      <c r="J215" s="69">
        <v>369</v>
      </c>
      <c r="K215" s="69">
        <v>369</v>
      </c>
      <c r="L215" s="69">
        <v>369</v>
      </c>
      <c r="M215" s="69">
        <v>369</v>
      </c>
      <c r="N215" s="69">
        <v>369</v>
      </c>
      <c r="O215" s="69">
        <v>369</v>
      </c>
      <c r="P215" s="69">
        <v>369</v>
      </c>
      <c r="Q215" s="69">
        <v>369</v>
      </c>
      <c r="R215" s="69">
        <v>369</v>
      </c>
      <c r="S215" s="69">
        <v>369</v>
      </c>
      <c r="T215" s="69">
        <v>369</v>
      </c>
      <c r="U215" s="69">
        <v>369</v>
      </c>
      <c r="V215" s="69">
        <v>369</v>
      </c>
      <c r="W215" s="69">
        <v>369</v>
      </c>
      <c r="X215" s="69">
        <v>369</v>
      </c>
      <c r="Y215" s="69">
        <v>369</v>
      </c>
      <c r="Z215" s="69">
        <v>369</v>
      </c>
      <c r="AA215" s="69">
        <v>369</v>
      </c>
      <c r="AB215" s="69">
        <v>369</v>
      </c>
      <c r="AC215" s="69">
        <v>369</v>
      </c>
      <c r="AD215" s="69">
        <v>369</v>
      </c>
      <c r="AE215" s="69">
        <v>369</v>
      </c>
      <c r="AF215" s="69">
        <v>369</v>
      </c>
      <c r="AG215" s="69">
        <v>369</v>
      </c>
      <c r="AH215" s="69">
        <v>369</v>
      </c>
      <c r="AI215" s="69">
        <v>369</v>
      </c>
    </row>
    <row r="216" spans="1:35" x14ac:dyDescent="0.35">
      <c r="A216" s="65" t="s">
        <v>473</v>
      </c>
      <c r="B216" s="74">
        <v>79</v>
      </c>
      <c r="C216" s="68">
        <v>113</v>
      </c>
      <c r="D216" s="69">
        <v>170</v>
      </c>
      <c r="E216" s="69">
        <v>245</v>
      </c>
      <c r="F216" s="69">
        <v>320</v>
      </c>
      <c r="G216" s="69">
        <v>369</v>
      </c>
      <c r="H216" s="69">
        <v>369</v>
      </c>
      <c r="I216" s="69">
        <v>369</v>
      </c>
      <c r="J216" s="69">
        <v>369</v>
      </c>
      <c r="K216" s="69">
        <v>369</v>
      </c>
      <c r="L216" s="69">
        <v>369</v>
      </c>
      <c r="M216" s="69">
        <v>369</v>
      </c>
      <c r="N216" s="69">
        <v>369</v>
      </c>
      <c r="O216" s="69">
        <v>369</v>
      </c>
      <c r="P216" s="69">
        <v>369</v>
      </c>
      <c r="Q216" s="69">
        <v>369</v>
      </c>
      <c r="R216" s="69">
        <v>369</v>
      </c>
      <c r="S216" s="69">
        <v>369</v>
      </c>
      <c r="T216" s="69">
        <v>369</v>
      </c>
      <c r="U216" s="69">
        <v>369</v>
      </c>
      <c r="V216" s="69">
        <v>369</v>
      </c>
      <c r="W216" s="69">
        <v>369</v>
      </c>
      <c r="X216" s="69">
        <v>369</v>
      </c>
      <c r="Y216" s="69">
        <v>369</v>
      </c>
      <c r="Z216" s="69">
        <v>369</v>
      </c>
      <c r="AA216" s="69">
        <v>369</v>
      </c>
      <c r="AB216" s="69">
        <v>369</v>
      </c>
      <c r="AC216" s="69">
        <v>369</v>
      </c>
      <c r="AD216" s="69">
        <v>369</v>
      </c>
      <c r="AE216" s="69">
        <v>369</v>
      </c>
      <c r="AF216" s="69">
        <v>369</v>
      </c>
      <c r="AG216" s="69">
        <v>369</v>
      </c>
      <c r="AH216" s="69">
        <v>369</v>
      </c>
      <c r="AI216" s="69">
        <v>369</v>
      </c>
    </row>
    <row r="217" spans="1:35" x14ac:dyDescent="0.35">
      <c r="A217" s="65" t="s">
        <v>473</v>
      </c>
      <c r="B217" s="74">
        <v>80</v>
      </c>
      <c r="C217" s="68">
        <v>113</v>
      </c>
      <c r="D217" s="69">
        <v>170</v>
      </c>
      <c r="E217" s="69">
        <v>245</v>
      </c>
      <c r="F217" s="69">
        <v>320</v>
      </c>
      <c r="G217" s="69">
        <v>369</v>
      </c>
      <c r="H217" s="69">
        <v>369</v>
      </c>
      <c r="I217" s="69">
        <v>369</v>
      </c>
      <c r="J217" s="69">
        <v>369</v>
      </c>
      <c r="K217" s="69">
        <v>369</v>
      </c>
      <c r="L217" s="69">
        <v>369</v>
      </c>
      <c r="M217" s="69">
        <v>369</v>
      </c>
      <c r="N217" s="69">
        <v>369</v>
      </c>
      <c r="O217" s="69">
        <v>369</v>
      </c>
      <c r="P217" s="69">
        <v>369</v>
      </c>
      <c r="Q217" s="69">
        <v>369</v>
      </c>
      <c r="R217" s="69">
        <v>369</v>
      </c>
      <c r="S217" s="69">
        <v>369</v>
      </c>
      <c r="T217" s="69">
        <v>369</v>
      </c>
      <c r="U217" s="69">
        <v>369</v>
      </c>
      <c r="V217" s="69">
        <v>369</v>
      </c>
      <c r="W217" s="69">
        <v>369</v>
      </c>
      <c r="X217" s="69">
        <v>369</v>
      </c>
      <c r="Y217" s="69">
        <v>369</v>
      </c>
      <c r="Z217" s="69">
        <v>369</v>
      </c>
      <c r="AA217" s="69">
        <v>369</v>
      </c>
      <c r="AB217" s="69">
        <v>369</v>
      </c>
      <c r="AC217" s="69">
        <v>369</v>
      </c>
      <c r="AD217" s="69">
        <v>369</v>
      </c>
      <c r="AE217" s="69">
        <v>369</v>
      </c>
      <c r="AF217" s="69">
        <v>369</v>
      </c>
      <c r="AG217" s="69">
        <v>369</v>
      </c>
      <c r="AH217" s="69">
        <v>369</v>
      </c>
      <c r="AI217" s="69">
        <v>369</v>
      </c>
    </row>
    <row r="218" spans="1:35" x14ac:dyDescent="0.35">
      <c r="A218" s="65" t="s">
        <v>473</v>
      </c>
      <c r="B218" s="74">
        <v>81</v>
      </c>
      <c r="C218" s="68">
        <v>113</v>
      </c>
      <c r="D218" s="69">
        <v>170</v>
      </c>
      <c r="E218" s="69">
        <v>245</v>
      </c>
      <c r="F218" s="69">
        <v>320</v>
      </c>
      <c r="G218" s="69">
        <v>369</v>
      </c>
      <c r="H218" s="69">
        <v>369</v>
      </c>
      <c r="I218" s="69">
        <v>369</v>
      </c>
      <c r="J218" s="69">
        <v>369</v>
      </c>
      <c r="K218" s="69">
        <v>369</v>
      </c>
      <c r="L218" s="69">
        <v>369</v>
      </c>
      <c r="M218" s="69">
        <v>369</v>
      </c>
      <c r="N218" s="69">
        <v>369</v>
      </c>
      <c r="O218" s="69">
        <v>369</v>
      </c>
      <c r="P218" s="69">
        <v>369</v>
      </c>
      <c r="Q218" s="69">
        <v>369</v>
      </c>
      <c r="R218" s="69">
        <v>369</v>
      </c>
      <c r="S218" s="69">
        <v>369</v>
      </c>
      <c r="T218" s="69">
        <v>369</v>
      </c>
      <c r="U218" s="69">
        <v>369</v>
      </c>
      <c r="V218" s="69">
        <v>369</v>
      </c>
      <c r="W218" s="69">
        <v>369</v>
      </c>
      <c r="X218" s="69">
        <v>369</v>
      </c>
      <c r="Y218" s="69">
        <v>369</v>
      </c>
      <c r="Z218" s="69">
        <v>369</v>
      </c>
      <c r="AA218" s="69">
        <v>369</v>
      </c>
      <c r="AB218" s="69">
        <v>369</v>
      </c>
      <c r="AC218" s="69">
        <v>369</v>
      </c>
      <c r="AD218" s="69">
        <v>369</v>
      </c>
      <c r="AE218" s="69">
        <v>369</v>
      </c>
      <c r="AF218" s="69">
        <v>369</v>
      </c>
      <c r="AG218" s="69">
        <v>369</v>
      </c>
      <c r="AH218" s="69">
        <v>369</v>
      </c>
      <c r="AI218" s="69">
        <v>369</v>
      </c>
    </row>
    <row r="219" spans="1:35" x14ac:dyDescent="0.35">
      <c r="A219" s="65" t="s">
        <v>473</v>
      </c>
      <c r="B219" s="74">
        <v>82</v>
      </c>
      <c r="C219" s="68">
        <v>113</v>
      </c>
      <c r="D219" s="69">
        <v>170</v>
      </c>
      <c r="E219" s="69">
        <v>245</v>
      </c>
      <c r="F219" s="69">
        <v>320</v>
      </c>
      <c r="G219" s="69">
        <v>369</v>
      </c>
      <c r="H219" s="69">
        <v>369</v>
      </c>
      <c r="I219" s="69">
        <v>369</v>
      </c>
      <c r="J219" s="69">
        <v>369</v>
      </c>
      <c r="K219" s="69">
        <v>369</v>
      </c>
      <c r="L219" s="69">
        <v>369</v>
      </c>
      <c r="M219" s="69">
        <v>369</v>
      </c>
      <c r="N219" s="69">
        <v>369</v>
      </c>
      <c r="O219" s="69">
        <v>369</v>
      </c>
      <c r="P219" s="69">
        <v>369</v>
      </c>
      <c r="Q219" s="69">
        <v>369</v>
      </c>
      <c r="R219" s="69">
        <v>369</v>
      </c>
      <c r="S219" s="69">
        <v>369</v>
      </c>
      <c r="T219" s="69">
        <v>369</v>
      </c>
      <c r="U219" s="69">
        <v>369</v>
      </c>
      <c r="V219" s="69">
        <v>369</v>
      </c>
      <c r="W219" s="69">
        <v>369</v>
      </c>
      <c r="X219" s="69">
        <v>369</v>
      </c>
      <c r="Y219" s="69">
        <v>369</v>
      </c>
      <c r="Z219" s="69">
        <v>369</v>
      </c>
      <c r="AA219" s="69">
        <v>369</v>
      </c>
      <c r="AB219" s="69">
        <v>369</v>
      </c>
      <c r="AC219" s="69">
        <v>369</v>
      </c>
      <c r="AD219" s="69">
        <v>369</v>
      </c>
      <c r="AE219" s="69">
        <v>369</v>
      </c>
      <c r="AF219" s="69">
        <v>369</v>
      </c>
      <c r="AG219" s="69">
        <v>369</v>
      </c>
      <c r="AH219" s="69">
        <v>369</v>
      </c>
      <c r="AI219" s="69">
        <v>369</v>
      </c>
    </row>
    <row r="220" spans="1:35" x14ac:dyDescent="0.35">
      <c r="A220" s="65" t="s">
        <v>473</v>
      </c>
      <c r="B220" s="74">
        <v>83</v>
      </c>
      <c r="C220" s="68">
        <v>113</v>
      </c>
      <c r="D220" s="69">
        <v>170</v>
      </c>
      <c r="E220" s="69">
        <v>245</v>
      </c>
      <c r="F220" s="69">
        <v>320</v>
      </c>
      <c r="G220" s="69">
        <v>369</v>
      </c>
      <c r="H220" s="69">
        <v>369</v>
      </c>
      <c r="I220" s="69">
        <v>369</v>
      </c>
      <c r="J220" s="69">
        <v>369</v>
      </c>
      <c r="K220" s="69">
        <v>369</v>
      </c>
      <c r="L220" s="69">
        <v>369</v>
      </c>
      <c r="M220" s="69">
        <v>369</v>
      </c>
      <c r="N220" s="69">
        <v>369</v>
      </c>
      <c r="O220" s="69">
        <v>369</v>
      </c>
      <c r="P220" s="69">
        <v>369</v>
      </c>
      <c r="Q220" s="69">
        <v>369</v>
      </c>
      <c r="R220" s="69">
        <v>369</v>
      </c>
      <c r="S220" s="69">
        <v>369</v>
      </c>
      <c r="T220" s="69">
        <v>369</v>
      </c>
      <c r="U220" s="69">
        <v>369</v>
      </c>
      <c r="V220" s="69">
        <v>369</v>
      </c>
      <c r="W220" s="69">
        <v>369</v>
      </c>
      <c r="X220" s="69">
        <v>369</v>
      </c>
      <c r="Y220" s="69">
        <v>369</v>
      </c>
      <c r="Z220" s="69">
        <v>369</v>
      </c>
      <c r="AA220" s="69">
        <v>369</v>
      </c>
      <c r="AB220" s="69">
        <v>369</v>
      </c>
      <c r="AC220" s="69">
        <v>369</v>
      </c>
      <c r="AD220" s="69">
        <v>369</v>
      </c>
      <c r="AE220" s="69">
        <v>369</v>
      </c>
      <c r="AF220" s="69">
        <v>369</v>
      </c>
      <c r="AG220" s="69">
        <v>369</v>
      </c>
      <c r="AH220" s="69">
        <v>369</v>
      </c>
      <c r="AI220" s="69">
        <v>369</v>
      </c>
    </row>
    <row r="221" spans="1:35" x14ac:dyDescent="0.35">
      <c r="A221" s="65" t="s">
        <v>473</v>
      </c>
      <c r="B221" s="74">
        <v>84</v>
      </c>
      <c r="C221" s="68">
        <v>113</v>
      </c>
      <c r="D221" s="69">
        <v>170</v>
      </c>
      <c r="E221" s="69">
        <v>245</v>
      </c>
      <c r="F221" s="69">
        <v>320</v>
      </c>
      <c r="G221" s="69">
        <v>369</v>
      </c>
      <c r="H221" s="69">
        <v>369</v>
      </c>
      <c r="I221" s="69">
        <v>369</v>
      </c>
      <c r="J221" s="69">
        <v>369</v>
      </c>
      <c r="K221" s="69">
        <v>369</v>
      </c>
      <c r="L221" s="69">
        <v>369</v>
      </c>
      <c r="M221" s="69">
        <v>369</v>
      </c>
      <c r="N221" s="69">
        <v>369</v>
      </c>
      <c r="O221" s="69">
        <v>369</v>
      </c>
      <c r="P221" s="69">
        <v>369</v>
      </c>
      <c r="Q221" s="69">
        <v>369</v>
      </c>
      <c r="R221" s="69">
        <v>369</v>
      </c>
      <c r="S221" s="69">
        <v>369</v>
      </c>
      <c r="T221" s="69">
        <v>369</v>
      </c>
      <c r="U221" s="69">
        <v>369</v>
      </c>
      <c r="V221" s="69">
        <v>369</v>
      </c>
      <c r="W221" s="69">
        <v>369</v>
      </c>
      <c r="X221" s="69">
        <v>369</v>
      </c>
      <c r="Y221" s="69">
        <v>369</v>
      </c>
      <c r="Z221" s="69">
        <v>369</v>
      </c>
      <c r="AA221" s="69">
        <v>369</v>
      </c>
      <c r="AB221" s="69">
        <v>369</v>
      </c>
      <c r="AC221" s="69">
        <v>369</v>
      </c>
      <c r="AD221" s="69">
        <v>369</v>
      </c>
      <c r="AE221" s="69">
        <v>369</v>
      </c>
      <c r="AF221" s="69">
        <v>369</v>
      </c>
      <c r="AG221" s="69">
        <v>369</v>
      </c>
      <c r="AH221" s="69">
        <v>369</v>
      </c>
      <c r="AI221" s="69">
        <v>369</v>
      </c>
    </row>
    <row r="222" spans="1:35" x14ac:dyDescent="0.35">
      <c r="A222" s="65" t="s">
        <v>473</v>
      </c>
      <c r="B222" s="74">
        <v>85</v>
      </c>
      <c r="C222" s="68">
        <v>113</v>
      </c>
      <c r="D222" s="69">
        <v>170</v>
      </c>
      <c r="E222" s="69">
        <v>245</v>
      </c>
      <c r="F222" s="69">
        <v>320</v>
      </c>
      <c r="G222" s="69">
        <v>369</v>
      </c>
      <c r="H222" s="69">
        <v>369</v>
      </c>
      <c r="I222" s="69">
        <v>369</v>
      </c>
      <c r="J222" s="69">
        <v>369</v>
      </c>
      <c r="K222" s="69">
        <v>369</v>
      </c>
      <c r="L222" s="69">
        <v>369</v>
      </c>
      <c r="M222" s="69">
        <v>369</v>
      </c>
      <c r="N222" s="69">
        <v>369</v>
      </c>
      <c r="O222" s="69">
        <v>369</v>
      </c>
      <c r="P222" s="69">
        <v>369</v>
      </c>
      <c r="Q222" s="69">
        <v>369</v>
      </c>
      <c r="R222" s="69">
        <v>369</v>
      </c>
      <c r="S222" s="69">
        <v>369</v>
      </c>
      <c r="T222" s="69">
        <v>369</v>
      </c>
      <c r="U222" s="69">
        <v>369</v>
      </c>
      <c r="V222" s="69">
        <v>369</v>
      </c>
      <c r="W222" s="69">
        <v>369</v>
      </c>
      <c r="X222" s="69">
        <v>369</v>
      </c>
      <c r="Y222" s="69">
        <v>369</v>
      </c>
      <c r="Z222" s="69">
        <v>369</v>
      </c>
      <c r="AA222" s="69">
        <v>369</v>
      </c>
      <c r="AB222" s="69">
        <v>369</v>
      </c>
      <c r="AC222" s="69">
        <v>369</v>
      </c>
      <c r="AD222" s="69">
        <v>369</v>
      </c>
      <c r="AE222" s="69">
        <v>369</v>
      </c>
      <c r="AF222" s="69">
        <v>369</v>
      </c>
      <c r="AG222" s="69">
        <v>369</v>
      </c>
      <c r="AH222" s="69">
        <v>369</v>
      </c>
      <c r="AI222" s="69">
        <v>369</v>
      </c>
    </row>
    <row r="223" spans="1:35" x14ac:dyDescent="0.35">
      <c r="A223" s="65" t="s">
        <v>473</v>
      </c>
      <c r="B223" s="74">
        <v>86</v>
      </c>
      <c r="C223" s="68">
        <v>113</v>
      </c>
      <c r="D223" s="69">
        <v>170</v>
      </c>
      <c r="E223" s="69">
        <v>245</v>
      </c>
      <c r="F223" s="69">
        <v>320</v>
      </c>
      <c r="G223" s="69">
        <v>369</v>
      </c>
      <c r="H223" s="69">
        <v>369</v>
      </c>
      <c r="I223" s="69">
        <v>369</v>
      </c>
      <c r="J223" s="69">
        <v>369</v>
      </c>
      <c r="K223" s="69">
        <v>369</v>
      </c>
      <c r="L223" s="69">
        <v>369</v>
      </c>
      <c r="M223" s="69">
        <v>369</v>
      </c>
      <c r="N223" s="69">
        <v>369</v>
      </c>
      <c r="O223" s="69">
        <v>369</v>
      </c>
      <c r="P223" s="69">
        <v>369</v>
      </c>
      <c r="Q223" s="69">
        <v>369</v>
      </c>
      <c r="R223" s="69">
        <v>369</v>
      </c>
      <c r="S223" s="69">
        <v>369</v>
      </c>
      <c r="T223" s="69">
        <v>369</v>
      </c>
      <c r="U223" s="69">
        <v>369</v>
      </c>
      <c r="V223" s="69">
        <v>369</v>
      </c>
      <c r="W223" s="69">
        <v>369</v>
      </c>
      <c r="X223" s="69">
        <v>369</v>
      </c>
      <c r="Y223" s="69">
        <v>369</v>
      </c>
      <c r="Z223" s="69">
        <v>369</v>
      </c>
      <c r="AA223" s="69">
        <v>369</v>
      </c>
      <c r="AB223" s="69">
        <v>369</v>
      </c>
      <c r="AC223" s="69">
        <v>369</v>
      </c>
      <c r="AD223" s="69">
        <v>369</v>
      </c>
      <c r="AE223" s="69">
        <v>369</v>
      </c>
      <c r="AF223" s="69">
        <v>369</v>
      </c>
      <c r="AG223" s="69">
        <v>369</v>
      </c>
      <c r="AH223" s="69">
        <v>369</v>
      </c>
      <c r="AI223" s="69">
        <v>369</v>
      </c>
    </row>
    <row r="224" spans="1:35" x14ac:dyDescent="0.35">
      <c r="A224" s="65" t="s">
        <v>473</v>
      </c>
      <c r="B224" s="74">
        <v>87</v>
      </c>
      <c r="C224" s="68">
        <v>113</v>
      </c>
      <c r="D224" s="69">
        <v>170</v>
      </c>
      <c r="E224" s="69">
        <v>245</v>
      </c>
      <c r="F224" s="69">
        <v>320</v>
      </c>
      <c r="G224" s="69">
        <v>369</v>
      </c>
      <c r="H224" s="69">
        <v>369</v>
      </c>
      <c r="I224" s="69">
        <v>369</v>
      </c>
      <c r="J224" s="69">
        <v>369</v>
      </c>
      <c r="K224" s="69">
        <v>369</v>
      </c>
      <c r="L224" s="69">
        <v>369</v>
      </c>
      <c r="M224" s="69">
        <v>369</v>
      </c>
      <c r="N224" s="69">
        <v>369</v>
      </c>
      <c r="O224" s="69">
        <v>369</v>
      </c>
      <c r="P224" s="69">
        <v>369</v>
      </c>
      <c r="Q224" s="69">
        <v>369</v>
      </c>
      <c r="R224" s="69">
        <v>369</v>
      </c>
      <c r="S224" s="69">
        <v>369</v>
      </c>
      <c r="T224" s="69">
        <v>369</v>
      </c>
      <c r="U224" s="69">
        <v>369</v>
      </c>
      <c r="V224" s="69">
        <v>369</v>
      </c>
      <c r="W224" s="69">
        <v>369</v>
      </c>
      <c r="X224" s="69">
        <v>369</v>
      </c>
      <c r="Y224" s="69">
        <v>369</v>
      </c>
      <c r="Z224" s="69">
        <v>369</v>
      </c>
      <c r="AA224" s="69">
        <v>369</v>
      </c>
      <c r="AB224" s="69">
        <v>369</v>
      </c>
      <c r="AC224" s="69">
        <v>369</v>
      </c>
      <c r="AD224" s="69">
        <v>369</v>
      </c>
      <c r="AE224" s="69">
        <v>369</v>
      </c>
      <c r="AF224" s="69">
        <v>369</v>
      </c>
      <c r="AG224" s="69">
        <v>369</v>
      </c>
      <c r="AH224" s="69">
        <v>369</v>
      </c>
      <c r="AI224" s="69">
        <v>369</v>
      </c>
    </row>
    <row r="225" spans="1:35" x14ac:dyDescent="0.35">
      <c r="A225" s="65" t="s">
        <v>473</v>
      </c>
      <c r="B225" s="74">
        <v>88</v>
      </c>
      <c r="C225" s="68">
        <v>113</v>
      </c>
      <c r="D225" s="69">
        <v>170</v>
      </c>
      <c r="E225" s="69">
        <v>245</v>
      </c>
      <c r="F225" s="69">
        <v>320</v>
      </c>
      <c r="G225" s="69">
        <v>369</v>
      </c>
      <c r="H225" s="69">
        <v>369</v>
      </c>
      <c r="I225" s="69">
        <v>369</v>
      </c>
      <c r="J225" s="69">
        <v>369</v>
      </c>
      <c r="K225" s="69">
        <v>369</v>
      </c>
      <c r="L225" s="69">
        <v>369</v>
      </c>
      <c r="M225" s="69">
        <v>369</v>
      </c>
      <c r="N225" s="69">
        <v>369</v>
      </c>
      <c r="O225" s="69">
        <v>369</v>
      </c>
      <c r="P225" s="69">
        <v>369</v>
      </c>
      <c r="Q225" s="69">
        <v>369</v>
      </c>
      <c r="R225" s="69">
        <v>369</v>
      </c>
      <c r="S225" s="69">
        <v>369</v>
      </c>
      <c r="T225" s="69">
        <v>369</v>
      </c>
      <c r="U225" s="69">
        <v>369</v>
      </c>
      <c r="V225" s="69">
        <v>369</v>
      </c>
      <c r="W225" s="69">
        <v>369</v>
      </c>
      <c r="X225" s="69">
        <v>369</v>
      </c>
      <c r="Y225" s="69">
        <v>369</v>
      </c>
      <c r="Z225" s="69">
        <v>369</v>
      </c>
      <c r="AA225" s="69">
        <v>369</v>
      </c>
      <c r="AB225" s="69">
        <v>369</v>
      </c>
      <c r="AC225" s="69">
        <v>369</v>
      </c>
      <c r="AD225" s="69">
        <v>369</v>
      </c>
      <c r="AE225" s="69">
        <v>369</v>
      </c>
      <c r="AF225" s="69">
        <v>369</v>
      </c>
      <c r="AG225" s="69">
        <v>369</v>
      </c>
      <c r="AH225" s="69">
        <v>369</v>
      </c>
      <c r="AI225" s="69">
        <v>369</v>
      </c>
    </row>
    <row r="226" spans="1:35" x14ac:dyDescent="0.35">
      <c r="A226" s="65" t="s">
        <v>473</v>
      </c>
      <c r="B226" s="74">
        <v>89</v>
      </c>
      <c r="C226" s="68">
        <v>113</v>
      </c>
      <c r="D226" s="69">
        <v>170</v>
      </c>
      <c r="E226" s="69">
        <v>245</v>
      </c>
      <c r="F226" s="69">
        <v>320</v>
      </c>
      <c r="G226" s="69">
        <v>369</v>
      </c>
      <c r="H226" s="69">
        <v>369</v>
      </c>
      <c r="I226" s="69">
        <v>369</v>
      </c>
      <c r="J226" s="69">
        <v>369</v>
      </c>
      <c r="K226" s="69">
        <v>369</v>
      </c>
      <c r="L226" s="69">
        <v>369</v>
      </c>
      <c r="M226" s="69">
        <v>369</v>
      </c>
      <c r="N226" s="69">
        <v>369</v>
      </c>
      <c r="O226" s="69">
        <v>369</v>
      </c>
      <c r="P226" s="69">
        <v>369</v>
      </c>
      <c r="Q226" s="69">
        <v>369</v>
      </c>
      <c r="R226" s="69">
        <v>369</v>
      </c>
      <c r="S226" s="69">
        <v>369</v>
      </c>
      <c r="T226" s="69">
        <v>369</v>
      </c>
      <c r="U226" s="69">
        <v>369</v>
      </c>
      <c r="V226" s="69">
        <v>369</v>
      </c>
      <c r="W226" s="69">
        <v>369</v>
      </c>
      <c r="X226" s="69">
        <v>369</v>
      </c>
      <c r="Y226" s="69">
        <v>369</v>
      </c>
      <c r="Z226" s="69">
        <v>369</v>
      </c>
      <c r="AA226" s="69">
        <v>369</v>
      </c>
      <c r="AB226" s="69">
        <v>369</v>
      </c>
      <c r="AC226" s="69">
        <v>369</v>
      </c>
      <c r="AD226" s="69">
        <v>369</v>
      </c>
      <c r="AE226" s="69">
        <v>369</v>
      </c>
      <c r="AF226" s="69">
        <v>369</v>
      </c>
      <c r="AG226" s="69">
        <v>369</v>
      </c>
      <c r="AH226" s="69">
        <v>369</v>
      </c>
      <c r="AI226" s="69">
        <v>369</v>
      </c>
    </row>
    <row r="227" spans="1:35" x14ac:dyDescent="0.35">
      <c r="A227" s="65" t="s">
        <v>473</v>
      </c>
      <c r="B227" s="74">
        <v>90</v>
      </c>
      <c r="C227" s="68">
        <v>113</v>
      </c>
      <c r="D227" s="69">
        <v>170</v>
      </c>
      <c r="E227" s="69">
        <v>245</v>
      </c>
      <c r="F227" s="69">
        <v>320</v>
      </c>
      <c r="G227" s="69">
        <v>369</v>
      </c>
      <c r="H227" s="69">
        <v>369</v>
      </c>
      <c r="I227" s="69">
        <v>369</v>
      </c>
      <c r="J227" s="69">
        <v>369</v>
      </c>
      <c r="K227" s="69">
        <v>369</v>
      </c>
      <c r="L227" s="69">
        <v>369</v>
      </c>
      <c r="M227" s="69">
        <v>369</v>
      </c>
      <c r="N227" s="69">
        <v>369</v>
      </c>
      <c r="O227" s="69">
        <v>369</v>
      </c>
      <c r="P227" s="69">
        <v>369</v>
      </c>
      <c r="Q227" s="69">
        <v>369</v>
      </c>
      <c r="R227" s="69">
        <v>369</v>
      </c>
      <c r="S227" s="69">
        <v>369</v>
      </c>
      <c r="T227" s="69">
        <v>369</v>
      </c>
      <c r="U227" s="69">
        <v>369</v>
      </c>
      <c r="V227" s="69">
        <v>369</v>
      </c>
      <c r="W227" s="69">
        <v>369</v>
      </c>
      <c r="X227" s="69">
        <v>369</v>
      </c>
      <c r="Y227" s="69">
        <v>369</v>
      </c>
      <c r="Z227" s="69">
        <v>369</v>
      </c>
      <c r="AA227" s="69">
        <v>369</v>
      </c>
      <c r="AB227" s="69">
        <v>369</v>
      </c>
      <c r="AC227" s="69">
        <v>369</v>
      </c>
      <c r="AD227" s="69">
        <v>369</v>
      </c>
      <c r="AE227" s="69">
        <v>369</v>
      </c>
      <c r="AF227" s="69">
        <v>369</v>
      </c>
      <c r="AG227" s="69">
        <v>369</v>
      </c>
      <c r="AH227" s="69">
        <v>369</v>
      </c>
      <c r="AI227" s="69">
        <v>369</v>
      </c>
    </row>
    <row r="228" spans="1:35" x14ac:dyDescent="0.35">
      <c r="A228" s="65" t="s">
        <v>473</v>
      </c>
      <c r="B228" s="74">
        <v>91</v>
      </c>
      <c r="C228" s="68">
        <v>113</v>
      </c>
      <c r="D228" s="69">
        <v>170</v>
      </c>
      <c r="E228" s="69">
        <v>245</v>
      </c>
      <c r="F228" s="69">
        <v>320</v>
      </c>
      <c r="G228" s="69">
        <v>369</v>
      </c>
      <c r="H228" s="69">
        <v>369</v>
      </c>
      <c r="I228" s="69">
        <v>369</v>
      </c>
      <c r="J228" s="69">
        <v>369</v>
      </c>
      <c r="K228" s="69">
        <v>369</v>
      </c>
      <c r="L228" s="69">
        <v>369</v>
      </c>
      <c r="M228" s="69">
        <v>369</v>
      </c>
      <c r="N228" s="69">
        <v>369</v>
      </c>
      <c r="O228" s="69">
        <v>369</v>
      </c>
      <c r="P228" s="69">
        <v>369</v>
      </c>
      <c r="Q228" s="69">
        <v>369</v>
      </c>
      <c r="R228" s="69">
        <v>369</v>
      </c>
      <c r="S228" s="69">
        <v>369</v>
      </c>
      <c r="T228" s="69">
        <v>369</v>
      </c>
      <c r="U228" s="69">
        <v>369</v>
      </c>
      <c r="V228" s="69">
        <v>369</v>
      </c>
      <c r="W228" s="69">
        <v>369</v>
      </c>
      <c r="X228" s="69">
        <v>369</v>
      </c>
      <c r="Y228" s="69">
        <v>369</v>
      </c>
      <c r="Z228" s="69">
        <v>369</v>
      </c>
      <c r="AA228" s="69">
        <v>369</v>
      </c>
      <c r="AB228" s="69">
        <v>369</v>
      </c>
      <c r="AC228" s="69">
        <v>369</v>
      </c>
      <c r="AD228" s="69">
        <v>369</v>
      </c>
      <c r="AE228" s="69">
        <v>369</v>
      </c>
      <c r="AF228" s="69">
        <v>369</v>
      </c>
      <c r="AG228" s="69">
        <v>369</v>
      </c>
      <c r="AH228" s="69">
        <v>369</v>
      </c>
      <c r="AI228" s="69">
        <v>369</v>
      </c>
    </row>
    <row r="229" spans="1:35" x14ac:dyDescent="0.35">
      <c r="A229" s="65" t="s">
        <v>473</v>
      </c>
      <c r="B229" s="74">
        <v>92</v>
      </c>
      <c r="C229" s="68">
        <v>113</v>
      </c>
      <c r="D229" s="69">
        <v>170</v>
      </c>
      <c r="E229" s="69">
        <v>245</v>
      </c>
      <c r="F229" s="69">
        <v>320</v>
      </c>
      <c r="G229" s="69">
        <v>369</v>
      </c>
      <c r="H229" s="69">
        <v>369</v>
      </c>
      <c r="I229" s="69">
        <v>369</v>
      </c>
      <c r="J229" s="69">
        <v>369</v>
      </c>
      <c r="K229" s="69">
        <v>369</v>
      </c>
      <c r="L229" s="69">
        <v>369</v>
      </c>
      <c r="M229" s="69">
        <v>369</v>
      </c>
      <c r="N229" s="69">
        <v>369</v>
      </c>
      <c r="O229" s="69">
        <v>369</v>
      </c>
      <c r="P229" s="69">
        <v>369</v>
      </c>
      <c r="Q229" s="69">
        <v>369</v>
      </c>
      <c r="R229" s="69">
        <v>369</v>
      </c>
      <c r="S229" s="69">
        <v>369</v>
      </c>
      <c r="T229" s="69">
        <v>369</v>
      </c>
      <c r="U229" s="69">
        <v>369</v>
      </c>
      <c r="V229" s="69">
        <v>369</v>
      </c>
      <c r="W229" s="69">
        <v>369</v>
      </c>
      <c r="X229" s="69">
        <v>369</v>
      </c>
      <c r="Y229" s="69">
        <v>369</v>
      </c>
      <c r="Z229" s="69">
        <v>369</v>
      </c>
      <c r="AA229" s="69">
        <v>369</v>
      </c>
      <c r="AB229" s="69">
        <v>369</v>
      </c>
      <c r="AC229" s="69">
        <v>369</v>
      </c>
      <c r="AD229" s="69">
        <v>369</v>
      </c>
      <c r="AE229" s="69">
        <v>369</v>
      </c>
      <c r="AF229" s="69">
        <v>369</v>
      </c>
      <c r="AG229" s="69">
        <v>369</v>
      </c>
      <c r="AH229" s="69">
        <v>369</v>
      </c>
      <c r="AI229" s="69">
        <v>369</v>
      </c>
    </row>
    <row r="230" spans="1:35" x14ac:dyDescent="0.35">
      <c r="A230" s="65" t="s">
        <v>473</v>
      </c>
      <c r="B230" s="74">
        <v>93</v>
      </c>
      <c r="C230" s="68">
        <v>113</v>
      </c>
      <c r="D230" s="69">
        <v>170</v>
      </c>
      <c r="E230" s="69">
        <v>245</v>
      </c>
      <c r="F230" s="69">
        <v>320</v>
      </c>
      <c r="G230" s="69">
        <v>369</v>
      </c>
      <c r="H230" s="69">
        <v>369</v>
      </c>
      <c r="I230" s="69">
        <v>369</v>
      </c>
      <c r="J230" s="69">
        <v>369</v>
      </c>
      <c r="K230" s="69">
        <v>369</v>
      </c>
      <c r="L230" s="69">
        <v>369</v>
      </c>
      <c r="M230" s="69">
        <v>369</v>
      </c>
      <c r="N230" s="69">
        <v>369</v>
      </c>
      <c r="O230" s="69">
        <v>369</v>
      </c>
      <c r="P230" s="69">
        <v>369</v>
      </c>
      <c r="Q230" s="69">
        <v>369</v>
      </c>
      <c r="R230" s="69">
        <v>369</v>
      </c>
      <c r="S230" s="69">
        <v>369</v>
      </c>
      <c r="T230" s="69">
        <v>369</v>
      </c>
      <c r="U230" s="69">
        <v>369</v>
      </c>
      <c r="V230" s="69">
        <v>369</v>
      </c>
      <c r="W230" s="69">
        <v>369</v>
      </c>
      <c r="X230" s="69">
        <v>369</v>
      </c>
      <c r="Y230" s="69">
        <v>369</v>
      </c>
      <c r="Z230" s="69">
        <v>369</v>
      </c>
      <c r="AA230" s="69">
        <v>369</v>
      </c>
      <c r="AB230" s="69">
        <v>369</v>
      </c>
      <c r="AC230" s="69">
        <v>369</v>
      </c>
      <c r="AD230" s="69">
        <v>369</v>
      </c>
      <c r="AE230" s="69">
        <v>369</v>
      </c>
      <c r="AF230" s="69">
        <v>369</v>
      </c>
      <c r="AG230" s="69">
        <v>369</v>
      </c>
      <c r="AH230" s="69">
        <v>369</v>
      </c>
      <c r="AI230" s="69">
        <v>369</v>
      </c>
    </row>
    <row r="231" spans="1:35" x14ac:dyDescent="0.35">
      <c r="A231" s="65" t="s">
        <v>473</v>
      </c>
      <c r="B231" s="74">
        <v>94</v>
      </c>
      <c r="C231" s="68">
        <v>113</v>
      </c>
      <c r="D231" s="69">
        <v>170</v>
      </c>
      <c r="E231" s="69">
        <v>245</v>
      </c>
      <c r="F231" s="69">
        <v>320</v>
      </c>
      <c r="G231" s="69">
        <v>369</v>
      </c>
      <c r="H231" s="69">
        <v>369</v>
      </c>
      <c r="I231" s="69">
        <v>369</v>
      </c>
      <c r="J231" s="69">
        <v>369</v>
      </c>
      <c r="K231" s="69">
        <v>369</v>
      </c>
      <c r="L231" s="69">
        <v>369</v>
      </c>
      <c r="M231" s="69">
        <v>369</v>
      </c>
      <c r="N231" s="69">
        <v>369</v>
      </c>
      <c r="O231" s="69">
        <v>369</v>
      </c>
      <c r="P231" s="69">
        <v>369</v>
      </c>
      <c r="Q231" s="69">
        <v>369</v>
      </c>
      <c r="R231" s="69">
        <v>369</v>
      </c>
      <c r="S231" s="69">
        <v>369</v>
      </c>
      <c r="T231" s="69">
        <v>369</v>
      </c>
      <c r="U231" s="69">
        <v>369</v>
      </c>
      <c r="V231" s="69">
        <v>369</v>
      </c>
      <c r="W231" s="69">
        <v>369</v>
      </c>
      <c r="X231" s="69">
        <v>369</v>
      </c>
      <c r="Y231" s="69">
        <v>369</v>
      </c>
      <c r="Z231" s="69">
        <v>369</v>
      </c>
      <c r="AA231" s="69">
        <v>369</v>
      </c>
      <c r="AB231" s="69">
        <v>369</v>
      </c>
      <c r="AC231" s="69">
        <v>369</v>
      </c>
      <c r="AD231" s="69">
        <v>369</v>
      </c>
      <c r="AE231" s="69">
        <v>369</v>
      </c>
      <c r="AF231" s="69">
        <v>369</v>
      </c>
      <c r="AG231" s="69">
        <v>369</v>
      </c>
      <c r="AH231" s="69">
        <v>369</v>
      </c>
      <c r="AI231" s="69">
        <v>369</v>
      </c>
    </row>
    <row r="232" spans="1:35" x14ac:dyDescent="0.35">
      <c r="A232" s="65" t="s">
        <v>473</v>
      </c>
      <c r="B232" s="74">
        <v>95</v>
      </c>
      <c r="C232" s="68">
        <v>113</v>
      </c>
      <c r="D232" s="69">
        <v>170</v>
      </c>
      <c r="E232" s="69">
        <v>245</v>
      </c>
      <c r="F232" s="69">
        <v>320</v>
      </c>
      <c r="G232" s="69">
        <v>369</v>
      </c>
      <c r="H232" s="69">
        <v>369</v>
      </c>
      <c r="I232" s="69">
        <v>369</v>
      </c>
      <c r="J232" s="69">
        <v>369</v>
      </c>
      <c r="K232" s="69">
        <v>369</v>
      </c>
      <c r="L232" s="69">
        <v>369</v>
      </c>
      <c r="M232" s="69">
        <v>369</v>
      </c>
      <c r="N232" s="69">
        <v>369</v>
      </c>
      <c r="O232" s="69">
        <v>369</v>
      </c>
      <c r="P232" s="69">
        <v>369</v>
      </c>
      <c r="Q232" s="69">
        <v>369</v>
      </c>
      <c r="R232" s="69">
        <v>369</v>
      </c>
      <c r="S232" s="69">
        <v>369</v>
      </c>
      <c r="T232" s="69">
        <v>369</v>
      </c>
      <c r="U232" s="69">
        <v>369</v>
      </c>
      <c r="V232" s="69">
        <v>369</v>
      </c>
      <c r="W232" s="69">
        <v>369</v>
      </c>
      <c r="X232" s="69">
        <v>369</v>
      </c>
      <c r="Y232" s="69">
        <v>369</v>
      </c>
      <c r="Z232" s="69">
        <v>369</v>
      </c>
      <c r="AA232" s="69">
        <v>369</v>
      </c>
      <c r="AB232" s="69">
        <v>369</v>
      </c>
      <c r="AC232" s="69">
        <v>369</v>
      </c>
      <c r="AD232" s="69">
        <v>369</v>
      </c>
      <c r="AE232" s="69">
        <v>369</v>
      </c>
      <c r="AF232" s="69">
        <v>369</v>
      </c>
      <c r="AG232" s="69">
        <v>369</v>
      </c>
      <c r="AH232" s="69">
        <v>369</v>
      </c>
      <c r="AI232" s="69">
        <v>369</v>
      </c>
    </row>
    <row r="233" spans="1:35" x14ac:dyDescent="0.35">
      <c r="A233" s="65" t="s">
        <v>473</v>
      </c>
      <c r="B233" s="74">
        <v>96</v>
      </c>
      <c r="C233" s="68">
        <v>113</v>
      </c>
      <c r="D233" s="69">
        <v>170</v>
      </c>
      <c r="E233" s="69">
        <v>245</v>
      </c>
      <c r="F233" s="69">
        <v>320</v>
      </c>
      <c r="G233" s="69">
        <v>369</v>
      </c>
      <c r="H233" s="69">
        <v>369</v>
      </c>
      <c r="I233" s="69">
        <v>369</v>
      </c>
      <c r="J233" s="69">
        <v>369</v>
      </c>
      <c r="K233" s="69">
        <v>369</v>
      </c>
      <c r="L233" s="69">
        <v>369</v>
      </c>
      <c r="M233" s="69">
        <v>369</v>
      </c>
      <c r="N233" s="69">
        <v>369</v>
      </c>
      <c r="O233" s="69">
        <v>369</v>
      </c>
      <c r="P233" s="69">
        <v>369</v>
      </c>
      <c r="Q233" s="69">
        <v>369</v>
      </c>
      <c r="R233" s="69">
        <v>369</v>
      </c>
      <c r="S233" s="69">
        <v>369</v>
      </c>
      <c r="T233" s="69">
        <v>369</v>
      </c>
      <c r="U233" s="69">
        <v>369</v>
      </c>
      <c r="V233" s="69">
        <v>369</v>
      </c>
      <c r="W233" s="69">
        <v>369</v>
      </c>
      <c r="X233" s="69">
        <v>369</v>
      </c>
      <c r="Y233" s="69">
        <v>369</v>
      </c>
      <c r="Z233" s="69">
        <v>369</v>
      </c>
      <c r="AA233" s="69">
        <v>369</v>
      </c>
      <c r="AB233" s="69">
        <v>369</v>
      </c>
      <c r="AC233" s="69">
        <v>369</v>
      </c>
      <c r="AD233" s="69">
        <v>369</v>
      </c>
      <c r="AE233" s="69">
        <v>369</v>
      </c>
      <c r="AF233" s="69">
        <v>369</v>
      </c>
      <c r="AG233" s="69">
        <v>369</v>
      </c>
      <c r="AH233" s="69">
        <v>369</v>
      </c>
      <c r="AI233" s="69">
        <v>369</v>
      </c>
    </row>
    <row r="234" spans="1:35" x14ac:dyDescent="0.35">
      <c r="A234" s="65" t="s">
        <v>473</v>
      </c>
      <c r="B234" s="74">
        <v>97</v>
      </c>
      <c r="C234" s="68">
        <v>113</v>
      </c>
      <c r="D234" s="69">
        <v>170</v>
      </c>
      <c r="E234" s="69">
        <v>245</v>
      </c>
      <c r="F234" s="69">
        <v>320</v>
      </c>
      <c r="G234" s="69">
        <v>369</v>
      </c>
      <c r="H234" s="69">
        <v>369</v>
      </c>
      <c r="I234" s="69">
        <v>369</v>
      </c>
      <c r="J234" s="69">
        <v>369</v>
      </c>
      <c r="K234" s="69">
        <v>369</v>
      </c>
      <c r="L234" s="69">
        <v>369</v>
      </c>
      <c r="M234" s="69">
        <v>369</v>
      </c>
      <c r="N234" s="69">
        <v>369</v>
      </c>
      <c r="O234" s="69">
        <v>369</v>
      </c>
      <c r="P234" s="69">
        <v>369</v>
      </c>
      <c r="Q234" s="69">
        <v>369</v>
      </c>
      <c r="R234" s="69">
        <v>369</v>
      </c>
      <c r="S234" s="69">
        <v>369</v>
      </c>
      <c r="T234" s="69">
        <v>369</v>
      </c>
      <c r="U234" s="69">
        <v>369</v>
      </c>
      <c r="V234" s="69">
        <v>369</v>
      </c>
      <c r="W234" s="69">
        <v>369</v>
      </c>
      <c r="X234" s="69">
        <v>369</v>
      </c>
      <c r="Y234" s="69">
        <v>369</v>
      </c>
      <c r="Z234" s="69">
        <v>369</v>
      </c>
      <c r="AA234" s="69">
        <v>369</v>
      </c>
      <c r="AB234" s="69">
        <v>369</v>
      </c>
      <c r="AC234" s="69">
        <v>369</v>
      </c>
      <c r="AD234" s="69">
        <v>369</v>
      </c>
      <c r="AE234" s="69">
        <v>369</v>
      </c>
      <c r="AF234" s="69">
        <v>369</v>
      </c>
      <c r="AG234" s="69">
        <v>369</v>
      </c>
      <c r="AH234" s="69">
        <v>369</v>
      </c>
      <c r="AI234" s="69">
        <v>369</v>
      </c>
    </row>
    <row r="235" spans="1:35" x14ac:dyDescent="0.35">
      <c r="A235" s="65" t="s">
        <v>473</v>
      </c>
      <c r="B235" s="74">
        <v>98</v>
      </c>
      <c r="C235" s="68">
        <v>113</v>
      </c>
      <c r="D235" s="69">
        <v>170</v>
      </c>
      <c r="E235" s="69">
        <v>245</v>
      </c>
      <c r="F235" s="69">
        <v>320</v>
      </c>
      <c r="G235" s="69">
        <v>369</v>
      </c>
      <c r="H235" s="69">
        <v>369</v>
      </c>
      <c r="I235" s="69">
        <v>369</v>
      </c>
      <c r="J235" s="69">
        <v>369</v>
      </c>
      <c r="K235" s="69">
        <v>369</v>
      </c>
      <c r="L235" s="69">
        <v>369</v>
      </c>
      <c r="M235" s="69">
        <v>369</v>
      </c>
      <c r="N235" s="69">
        <v>369</v>
      </c>
      <c r="O235" s="69">
        <v>369</v>
      </c>
      <c r="P235" s="69">
        <v>369</v>
      </c>
      <c r="Q235" s="69">
        <v>369</v>
      </c>
      <c r="R235" s="69">
        <v>369</v>
      </c>
      <c r="S235" s="69">
        <v>369</v>
      </c>
      <c r="T235" s="69">
        <v>369</v>
      </c>
      <c r="U235" s="69">
        <v>369</v>
      </c>
      <c r="V235" s="69">
        <v>369</v>
      </c>
      <c r="W235" s="69">
        <v>369</v>
      </c>
      <c r="X235" s="69">
        <v>369</v>
      </c>
      <c r="Y235" s="69">
        <v>369</v>
      </c>
      <c r="Z235" s="69">
        <v>369</v>
      </c>
      <c r="AA235" s="69">
        <v>369</v>
      </c>
      <c r="AB235" s="69">
        <v>369</v>
      </c>
      <c r="AC235" s="69">
        <v>369</v>
      </c>
      <c r="AD235" s="69">
        <v>369</v>
      </c>
      <c r="AE235" s="69">
        <v>369</v>
      </c>
      <c r="AF235" s="69">
        <v>369</v>
      </c>
      <c r="AG235" s="69">
        <v>369</v>
      </c>
      <c r="AH235" s="69">
        <v>369</v>
      </c>
      <c r="AI235" s="69">
        <v>369</v>
      </c>
    </row>
    <row r="236" spans="1:35" x14ac:dyDescent="0.35">
      <c r="A236" s="65" t="s">
        <v>473</v>
      </c>
      <c r="B236" s="74">
        <v>99</v>
      </c>
      <c r="C236" s="68">
        <v>113</v>
      </c>
      <c r="D236" s="69">
        <v>170</v>
      </c>
      <c r="E236" s="69">
        <v>245</v>
      </c>
      <c r="F236" s="69">
        <v>320</v>
      </c>
      <c r="G236" s="69">
        <v>369</v>
      </c>
      <c r="H236" s="69">
        <v>369</v>
      </c>
      <c r="I236" s="69">
        <v>369</v>
      </c>
      <c r="J236" s="69">
        <v>369</v>
      </c>
      <c r="K236" s="69">
        <v>369</v>
      </c>
      <c r="L236" s="69">
        <v>369</v>
      </c>
      <c r="M236" s="69">
        <v>369</v>
      </c>
      <c r="N236" s="69">
        <v>369</v>
      </c>
      <c r="O236" s="69">
        <v>369</v>
      </c>
      <c r="P236" s="69">
        <v>369</v>
      </c>
      <c r="Q236" s="69">
        <v>369</v>
      </c>
      <c r="R236" s="69">
        <v>369</v>
      </c>
      <c r="S236" s="69">
        <v>369</v>
      </c>
      <c r="T236" s="69">
        <v>369</v>
      </c>
      <c r="U236" s="69">
        <v>369</v>
      </c>
      <c r="V236" s="69">
        <v>369</v>
      </c>
      <c r="W236" s="69">
        <v>369</v>
      </c>
      <c r="X236" s="69">
        <v>369</v>
      </c>
      <c r="Y236" s="69">
        <v>369</v>
      </c>
      <c r="Z236" s="69">
        <v>369</v>
      </c>
      <c r="AA236" s="69">
        <v>369</v>
      </c>
      <c r="AB236" s="69">
        <v>369</v>
      </c>
      <c r="AC236" s="69">
        <v>369</v>
      </c>
      <c r="AD236" s="69">
        <v>369</v>
      </c>
      <c r="AE236" s="69">
        <v>369</v>
      </c>
      <c r="AF236" s="69">
        <v>369</v>
      </c>
      <c r="AG236" s="69">
        <v>369</v>
      </c>
      <c r="AH236" s="69">
        <v>369</v>
      </c>
      <c r="AI236" s="69">
        <v>369</v>
      </c>
    </row>
    <row r="237" spans="1:35" x14ac:dyDescent="0.35">
      <c r="A237" s="77" t="s">
        <v>474</v>
      </c>
      <c r="B237" s="78"/>
      <c r="C237" s="79">
        <v>148</v>
      </c>
      <c r="D237" s="80">
        <v>216</v>
      </c>
      <c r="E237" s="80">
        <v>301</v>
      </c>
      <c r="F237" s="80">
        <v>394</v>
      </c>
      <c r="G237" s="80">
        <v>455</v>
      </c>
      <c r="H237" s="80">
        <v>455</v>
      </c>
      <c r="I237" s="80">
        <v>455</v>
      </c>
      <c r="J237" s="80">
        <v>455</v>
      </c>
      <c r="K237" s="80">
        <v>455</v>
      </c>
      <c r="L237" s="80">
        <v>455</v>
      </c>
      <c r="M237" s="80">
        <v>455</v>
      </c>
      <c r="N237" s="80">
        <v>455</v>
      </c>
      <c r="O237" s="80">
        <v>455</v>
      </c>
      <c r="P237" s="80">
        <v>455</v>
      </c>
      <c r="Q237" s="80">
        <v>455</v>
      </c>
      <c r="R237" s="80">
        <v>455</v>
      </c>
      <c r="S237" s="80">
        <v>455</v>
      </c>
      <c r="T237" s="80">
        <v>455</v>
      </c>
      <c r="U237" s="80">
        <v>455</v>
      </c>
      <c r="V237" s="80">
        <v>455</v>
      </c>
      <c r="W237" s="80">
        <v>455</v>
      </c>
      <c r="X237" s="80">
        <v>455</v>
      </c>
      <c r="Y237" s="80">
        <v>455</v>
      </c>
      <c r="Z237" s="80">
        <v>455</v>
      </c>
      <c r="AA237" s="80">
        <v>455</v>
      </c>
      <c r="AB237" s="80">
        <v>455</v>
      </c>
      <c r="AC237" s="80">
        <v>455</v>
      </c>
      <c r="AD237" s="80">
        <v>455</v>
      </c>
      <c r="AE237" s="80">
        <v>455</v>
      </c>
      <c r="AF237" s="80">
        <v>455</v>
      </c>
      <c r="AG237" s="80">
        <v>455</v>
      </c>
      <c r="AH237" s="80">
        <v>455</v>
      </c>
      <c r="AI237" s="80">
        <v>455</v>
      </c>
    </row>
    <row r="238" spans="1:35" x14ac:dyDescent="0.35">
      <c r="A238" s="77" t="s">
        <v>475</v>
      </c>
      <c r="B238" s="82">
        <v>37</v>
      </c>
      <c r="C238" s="83">
        <v>160</v>
      </c>
      <c r="D238" s="83">
        <v>302</v>
      </c>
      <c r="E238" s="83">
        <v>424</v>
      </c>
      <c r="F238" s="83">
        <v>550</v>
      </c>
      <c r="G238" s="83">
        <v>683</v>
      </c>
      <c r="H238" s="83">
        <v>804</v>
      </c>
      <c r="I238" s="83">
        <v>916</v>
      </c>
      <c r="J238" s="83">
        <v>999</v>
      </c>
      <c r="K238" s="83">
        <v>1040</v>
      </c>
      <c r="L238" s="83">
        <v>1082</v>
      </c>
      <c r="M238" s="83">
        <v>1123</v>
      </c>
      <c r="N238" s="83">
        <v>1165</v>
      </c>
      <c r="O238" s="83">
        <v>1207</v>
      </c>
      <c r="P238" s="83">
        <v>1290</v>
      </c>
      <c r="Q238" s="83">
        <v>1352</v>
      </c>
      <c r="R238" s="83">
        <v>1415</v>
      </c>
      <c r="S238" s="83">
        <v>1456</v>
      </c>
      <c r="T238" s="83">
        <v>1518</v>
      </c>
      <c r="U238" s="83">
        <v>1581</v>
      </c>
      <c r="V238" s="83">
        <v>1622</v>
      </c>
      <c r="W238" s="83">
        <v>1643</v>
      </c>
      <c r="X238" s="83">
        <v>1685</v>
      </c>
      <c r="Y238" s="83">
        <v>1726</v>
      </c>
      <c r="Z238" s="83">
        <v>1768</v>
      </c>
      <c r="AA238" s="83">
        <v>1789</v>
      </c>
      <c r="AB238" s="83">
        <v>1810</v>
      </c>
      <c r="AC238" s="83">
        <v>1851</v>
      </c>
      <c r="AD238" s="83">
        <v>1914</v>
      </c>
      <c r="AE238" s="83">
        <v>1955</v>
      </c>
      <c r="AF238" s="83">
        <v>1997</v>
      </c>
      <c r="AG238" s="83">
        <v>2018</v>
      </c>
      <c r="AH238" s="83">
        <v>2059</v>
      </c>
      <c r="AI238" s="83">
        <v>2080</v>
      </c>
    </row>
    <row r="239" spans="1:35" x14ac:dyDescent="0.35">
      <c r="A239" s="85" t="s">
        <v>476</v>
      </c>
      <c r="B239" s="84">
        <v>48</v>
      </c>
      <c r="C239" s="83">
        <v>250</v>
      </c>
      <c r="D239" s="83">
        <v>270</v>
      </c>
      <c r="E239" s="83">
        <v>302</v>
      </c>
      <c r="F239" s="83">
        <v>391</v>
      </c>
      <c r="G239" s="83">
        <v>486</v>
      </c>
      <c r="H239" s="83">
        <v>572</v>
      </c>
      <c r="I239" s="83">
        <v>652</v>
      </c>
      <c r="J239" s="83">
        <v>711</v>
      </c>
      <c r="K239" s="83">
        <v>740</v>
      </c>
      <c r="L239" s="83">
        <v>770</v>
      </c>
      <c r="M239" s="83">
        <v>799</v>
      </c>
      <c r="N239" s="83">
        <v>829</v>
      </c>
      <c r="O239" s="83">
        <v>859</v>
      </c>
      <c r="P239" s="83">
        <v>918</v>
      </c>
      <c r="Q239" s="83">
        <v>962</v>
      </c>
      <c r="R239" s="83">
        <v>1007</v>
      </c>
      <c r="S239" s="83">
        <v>1036</v>
      </c>
      <c r="T239" s="83">
        <v>1080</v>
      </c>
      <c r="U239" s="83">
        <v>1125</v>
      </c>
      <c r="V239" s="83">
        <v>1154</v>
      </c>
      <c r="W239" s="83">
        <v>1169</v>
      </c>
      <c r="X239" s="83">
        <v>1199</v>
      </c>
      <c r="Y239" s="83">
        <v>1228</v>
      </c>
      <c r="Z239" s="83">
        <v>1258</v>
      </c>
      <c r="AA239" s="83">
        <v>1273</v>
      </c>
      <c r="AB239" s="83">
        <v>1288</v>
      </c>
      <c r="AC239" s="83">
        <v>1317</v>
      </c>
      <c r="AD239" s="83">
        <v>1362</v>
      </c>
      <c r="AE239" s="83">
        <v>1391</v>
      </c>
      <c r="AF239" s="83">
        <v>1421</v>
      </c>
      <c r="AG239" s="83">
        <v>1436</v>
      </c>
      <c r="AH239" s="83">
        <v>1465</v>
      </c>
      <c r="AI239" s="83">
        <v>1480</v>
      </c>
    </row>
    <row r="240" spans="1:35" x14ac:dyDescent="0.35">
      <c r="A240" s="86" t="s">
        <v>477</v>
      </c>
      <c r="B240" s="87">
        <v>28</v>
      </c>
      <c r="C240" s="88">
        <v>220</v>
      </c>
      <c r="D240" s="88">
        <v>230</v>
      </c>
      <c r="E240" s="88">
        <v>250</v>
      </c>
      <c r="F240" s="88">
        <v>260</v>
      </c>
      <c r="G240" s="88">
        <v>285</v>
      </c>
      <c r="H240" s="88">
        <v>301</v>
      </c>
      <c r="I240" s="88">
        <v>344</v>
      </c>
      <c r="J240" s="88">
        <v>375</v>
      </c>
      <c r="K240" s="88">
        <v>390</v>
      </c>
      <c r="L240" s="88">
        <v>406</v>
      </c>
      <c r="M240" s="88">
        <v>421</v>
      </c>
      <c r="N240" s="88">
        <v>437</v>
      </c>
      <c r="O240" s="88">
        <v>453</v>
      </c>
      <c r="P240" s="88">
        <v>484</v>
      </c>
      <c r="Q240" s="88">
        <v>507</v>
      </c>
      <c r="R240" s="88">
        <v>531</v>
      </c>
      <c r="S240" s="88">
        <v>546</v>
      </c>
      <c r="T240" s="88">
        <v>569</v>
      </c>
      <c r="U240" s="88">
        <v>593</v>
      </c>
      <c r="V240" s="88">
        <v>608</v>
      </c>
      <c r="W240" s="88">
        <v>616</v>
      </c>
      <c r="X240" s="88">
        <v>632</v>
      </c>
      <c r="Y240" s="88">
        <v>647</v>
      </c>
      <c r="Z240" s="88">
        <v>663</v>
      </c>
      <c r="AA240" s="88">
        <v>671</v>
      </c>
      <c r="AB240" s="88">
        <v>679</v>
      </c>
      <c r="AC240" s="88">
        <v>694</v>
      </c>
      <c r="AD240" s="88">
        <v>718</v>
      </c>
      <c r="AE240" s="88">
        <v>733</v>
      </c>
      <c r="AF240" s="88">
        <v>749</v>
      </c>
      <c r="AG240" s="88">
        <v>757</v>
      </c>
      <c r="AH240" s="88">
        <v>772</v>
      </c>
      <c r="AI240" s="88">
        <v>780</v>
      </c>
    </row>
    <row r="241" spans="1:35" x14ac:dyDescent="0.35">
      <c r="A241" s="91" t="s">
        <v>478</v>
      </c>
      <c r="B241" s="89">
        <v>1227</v>
      </c>
      <c r="C241" s="90">
        <v>91</v>
      </c>
      <c r="D241" s="90">
        <v>120</v>
      </c>
      <c r="E241" s="90">
        <v>148</v>
      </c>
      <c r="F241" s="90">
        <v>174</v>
      </c>
      <c r="G241" s="90">
        <v>200</v>
      </c>
      <c r="H241" s="90">
        <v>239</v>
      </c>
      <c r="I241" s="90">
        <v>265</v>
      </c>
      <c r="J241" s="90">
        <v>291</v>
      </c>
      <c r="K241" s="90">
        <v>316</v>
      </c>
      <c r="L241" s="90">
        <v>342</v>
      </c>
      <c r="M241" s="90">
        <v>381</v>
      </c>
      <c r="N241" s="90">
        <v>407</v>
      </c>
      <c r="O241" s="90">
        <v>432</v>
      </c>
      <c r="P241" s="90">
        <v>458</v>
      </c>
      <c r="Q241" s="90">
        <v>484</v>
      </c>
      <c r="R241" s="90">
        <v>509</v>
      </c>
      <c r="S241" s="90">
        <v>535</v>
      </c>
      <c r="T241" s="90">
        <v>535</v>
      </c>
      <c r="U241" s="90">
        <v>535</v>
      </c>
      <c r="V241" s="90">
        <v>535</v>
      </c>
      <c r="W241" s="90">
        <v>535</v>
      </c>
      <c r="X241" s="90">
        <v>535</v>
      </c>
      <c r="Y241" s="90">
        <v>535</v>
      </c>
      <c r="Z241" s="90">
        <v>535</v>
      </c>
      <c r="AA241" s="90">
        <v>535</v>
      </c>
      <c r="AB241" s="90">
        <v>535</v>
      </c>
      <c r="AC241" s="90">
        <v>535</v>
      </c>
      <c r="AD241" s="90">
        <v>535</v>
      </c>
      <c r="AE241" s="90">
        <v>535</v>
      </c>
      <c r="AF241" s="90">
        <v>535</v>
      </c>
      <c r="AG241" s="90">
        <v>535</v>
      </c>
      <c r="AH241" s="90">
        <v>535</v>
      </c>
      <c r="AI241" s="90">
        <v>535</v>
      </c>
    </row>
    <row r="242" spans="1:35" x14ac:dyDescent="0.35">
      <c r="A242" s="91" t="s">
        <v>478</v>
      </c>
      <c r="B242" s="89">
        <v>1212</v>
      </c>
      <c r="C242" s="90">
        <v>91</v>
      </c>
      <c r="D242" s="90">
        <v>120</v>
      </c>
      <c r="E242" s="90">
        <v>148</v>
      </c>
      <c r="F242" s="90">
        <v>174</v>
      </c>
      <c r="G242" s="90">
        <v>200</v>
      </c>
      <c r="H242" s="90">
        <v>239</v>
      </c>
      <c r="I242" s="90">
        <v>265</v>
      </c>
      <c r="J242" s="90">
        <v>291</v>
      </c>
      <c r="K242" s="90">
        <v>316</v>
      </c>
      <c r="L242" s="90">
        <v>342</v>
      </c>
      <c r="M242" s="90">
        <v>381</v>
      </c>
      <c r="N242" s="90">
        <v>407</v>
      </c>
      <c r="O242" s="90">
        <v>432</v>
      </c>
      <c r="P242" s="90">
        <v>458</v>
      </c>
      <c r="Q242" s="90">
        <v>484</v>
      </c>
      <c r="R242" s="90">
        <v>509</v>
      </c>
      <c r="S242" s="90">
        <v>535</v>
      </c>
      <c r="T242" s="90">
        <v>535</v>
      </c>
      <c r="U242" s="90">
        <v>535</v>
      </c>
      <c r="V242" s="90">
        <v>535</v>
      </c>
      <c r="W242" s="90">
        <v>535</v>
      </c>
      <c r="X242" s="90">
        <v>535</v>
      </c>
      <c r="Y242" s="90">
        <v>535</v>
      </c>
      <c r="Z242" s="90">
        <v>535</v>
      </c>
      <c r="AA242" s="90">
        <v>535</v>
      </c>
      <c r="AB242" s="90">
        <v>535</v>
      </c>
      <c r="AC242" s="90">
        <v>535</v>
      </c>
      <c r="AD242" s="90">
        <v>535</v>
      </c>
      <c r="AE242" s="90">
        <v>535</v>
      </c>
      <c r="AF242" s="90">
        <v>535</v>
      </c>
      <c r="AG242" s="90">
        <v>535</v>
      </c>
      <c r="AH242" s="90">
        <v>535</v>
      </c>
      <c r="AI242" s="90">
        <v>535</v>
      </c>
    </row>
    <row r="243" spans="1:35" x14ac:dyDescent="0.35">
      <c r="A243" s="91" t="s">
        <v>478</v>
      </c>
      <c r="B243" s="89">
        <v>1214</v>
      </c>
      <c r="C243" s="90">
        <v>91</v>
      </c>
      <c r="D243" s="90">
        <v>120</v>
      </c>
      <c r="E243" s="90">
        <v>148</v>
      </c>
      <c r="F243" s="90">
        <v>174</v>
      </c>
      <c r="G243" s="90">
        <v>200</v>
      </c>
      <c r="H243" s="90">
        <v>239</v>
      </c>
      <c r="I243" s="90">
        <v>265</v>
      </c>
      <c r="J243" s="90">
        <v>291</v>
      </c>
      <c r="K243" s="90">
        <v>316</v>
      </c>
      <c r="L243" s="90">
        <v>342</v>
      </c>
      <c r="M243" s="90">
        <v>381</v>
      </c>
      <c r="N243" s="90">
        <v>407</v>
      </c>
      <c r="O243" s="90">
        <v>432</v>
      </c>
      <c r="P243" s="90">
        <v>458</v>
      </c>
      <c r="Q243" s="90">
        <v>484</v>
      </c>
      <c r="R243" s="90">
        <v>509</v>
      </c>
      <c r="S243" s="90">
        <v>535</v>
      </c>
      <c r="T243" s="90">
        <v>535</v>
      </c>
      <c r="U243" s="90">
        <v>535</v>
      </c>
      <c r="V243" s="90">
        <v>535</v>
      </c>
      <c r="W243" s="90">
        <v>535</v>
      </c>
      <c r="X243" s="90">
        <v>535</v>
      </c>
      <c r="Y243" s="90">
        <v>535</v>
      </c>
      <c r="Z243" s="90">
        <v>535</v>
      </c>
      <c r="AA243" s="90">
        <v>535</v>
      </c>
      <c r="AB243" s="90">
        <v>535</v>
      </c>
      <c r="AC243" s="90">
        <v>535</v>
      </c>
      <c r="AD243" s="90">
        <v>535</v>
      </c>
      <c r="AE243" s="90">
        <v>535</v>
      </c>
      <c r="AF243" s="90">
        <v>535</v>
      </c>
      <c r="AG243" s="90">
        <v>535</v>
      </c>
      <c r="AH243" s="90">
        <v>535</v>
      </c>
      <c r="AI243" s="90">
        <v>535</v>
      </c>
    </row>
    <row r="244" spans="1:35" x14ac:dyDescent="0.35">
      <c r="A244" s="91" t="s">
        <v>478</v>
      </c>
      <c r="B244" s="89">
        <v>1208</v>
      </c>
      <c r="C244" s="90">
        <v>91</v>
      </c>
      <c r="D244" s="90">
        <v>120</v>
      </c>
      <c r="E244" s="90">
        <v>148</v>
      </c>
      <c r="F244" s="90">
        <v>174</v>
      </c>
      <c r="G244" s="90">
        <v>200</v>
      </c>
      <c r="H244" s="90">
        <v>239</v>
      </c>
      <c r="I244" s="90">
        <v>265</v>
      </c>
      <c r="J244" s="90">
        <v>291</v>
      </c>
      <c r="K244" s="90">
        <v>316</v>
      </c>
      <c r="L244" s="90">
        <v>342</v>
      </c>
      <c r="M244" s="90">
        <v>381</v>
      </c>
      <c r="N244" s="90">
        <v>407</v>
      </c>
      <c r="O244" s="90">
        <v>432</v>
      </c>
      <c r="P244" s="90">
        <v>458</v>
      </c>
      <c r="Q244" s="90">
        <v>484</v>
      </c>
      <c r="R244" s="90">
        <v>509</v>
      </c>
      <c r="S244" s="90">
        <v>535</v>
      </c>
      <c r="T244" s="90">
        <v>535</v>
      </c>
      <c r="U244" s="90">
        <v>535</v>
      </c>
      <c r="V244" s="90">
        <v>535</v>
      </c>
      <c r="W244" s="90">
        <v>535</v>
      </c>
      <c r="X244" s="90">
        <v>535</v>
      </c>
      <c r="Y244" s="90">
        <v>535</v>
      </c>
      <c r="Z244" s="90">
        <v>535</v>
      </c>
      <c r="AA244" s="90">
        <v>535</v>
      </c>
      <c r="AB244" s="90">
        <v>535</v>
      </c>
      <c r="AC244" s="90">
        <v>535</v>
      </c>
      <c r="AD244" s="90">
        <v>535</v>
      </c>
      <c r="AE244" s="90">
        <v>535</v>
      </c>
      <c r="AF244" s="90">
        <v>535</v>
      </c>
      <c r="AG244" s="90">
        <v>535</v>
      </c>
      <c r="AH244" s="90">
        <v>535</v>
      </c>
      <c r="AI244" s="90">
        <v>535</v>
      </c>
    </row>
    <row r="245" spans="1:35" x14ac:dyDescent="0.35">
      <c r="A245" s="91" t="s">
        <v>478</v>
      </c>
      <c r="B245" s="89">
        <v>1000</v>
      </c>
      <c r="C245" s="90">
        <v>105</v>
      </c>
      <c r="D245" s="90">
        <v>147</v>
      </c>
      <c r="E245" s="90">
        <v>189</v>
      </c>
      <c r="F245" s="90">
        <v>228</v>
      </c>
      <c r="G245" s="90">
        <v>267</v>
      </c>
      <c r="H245" s="90">
        <v>320</v>
      </c>
      <c r="I245" s="90">
        <v>359</v>
      </c>
      <c r="J245" s="90">
        <v>399</v>
      </c>
      <c r="K245" s="90">
        <v>438</v>
      </c>
      <c r="L245" s="90">
        <v>477</v>
      </c>
      <c r="M245" s="90">
        <v>529</v>
      </c>
      <c r="N245" s="90">
        <v>569</v>
      </c>
      <c r="O245" s="90">
        <v>608</v>
      </c>
      <c r="P245" s="90">
        <v>647</v>
      </c>
      <c r="Q245" s="90">
        <v>686</v>
      </c>
      <c r="R245" s="90">
        <v>725</v>
      </c>
      <c r="S245" s="90">
        <v>764</v>
      </c>
      <c r="T245" s="90">
        <v>764</v>
      </c>
      <c r="U245" s="90">
        <v>764</v>
      </c>
      <c r="V245" s="90">
        <v>764</v>
      </c>
      <c r="W245" s="90">
        <v>764</v>
      </c>
      <c r="X245" s="90">
        <v>764</v>
      </c>
      <c r="Y245" s="90">
        <v>764</v>
      </c>
      <c r="Z245" s="90">
        <v>764</v>
      </c>
      <c r="AA245" s="90">
        <v>764</v>
      </c>
      <c r="AB245" s="90">
        <v>764</v>
      </c>
      <c r="AC245" s="90">
        <v>764</v>
      </c>
      <c r="AD245" s="90">
        <v>764</v>
      </c>
      <c r="AE245" s="90">
        <v>764</v>
      </c>
      <c r="AF245" s="90">
        <v>764</v>
      </c>
      <c r="AG245" s="90">
        <v>764</v>
      </c>
      <c r="AH245" s="90">
        <v>764</v>
      </c>
      <c r="AI245" s="90">
        <v>764</v>
      </c>
    </row>
    <row r="246" spans="1:35" x14ac:dyDescent="0.35">
      <c r="A246" s="91" t="s">
        <v>478</v>
      </c>
      <c r="B246" s="89">
        <v>1179</v>
      </c>
      <c r="C246" s="90">
        <v>105</v>
      </c>
      <c r="D246" s="90">
        <v>147</v>
      </c>
      <c r="E246" s="90">
        <v>189</v>
      </c>
      <c r="F246" s="90">
        <v>228</v>
      </c>
      <c r="G246" s="90">
        <v>267</v>
      </c>
      <c r="H246" s="90">
        <v>320</v>
      </c>
      <c r="I246" s="90">
        <v>359</v>
      </c>
      <c r="J246" s="90">
        <v>399</v>
      </c>
      <c r="K246" s="90">
        <v>438</v>
      </c>
      <c r="L246" s="90">
        <v>477</v>
      </c>
      <c r="M246" s="90">
        <v>529</v>
      </c>
      <c r="N246" s="90">
        <v>569</v>
      </c>
      <c r="O246" s="90">
        <v>608</v>
      </c>
      <c r="P246" s="90">
        <v>647</v>
      </c>
      <c r="Q246" s="90">
        <v>686</v>
      </c>
      <c r="R246" s="90">
        <v>725</v>
      </c>
      <c r="S246" s="90">
        <v>764</v>
      </c>
      <c r="T246" s="90">
        <v>764</v>
      </c>
      <c r="U246" s="90">
        <v>764</v>
      </c>
      <c r="V246" s="90">
        <v>764</v>
      </c>
      <c r="W246" s="90">
        <v>764</v>
      </c>
      <c r="X246" s="90">
        <v>764</v>
      </c>
      <c r="Y246" s="90">
        <v>764</v>
      </c>
      <c r="Z246" s="90">
        <v>764</v>
      </c>
      <c r="AA246" s="90">
        <v>764</v>
      </c>
      <c r="AB246" s="90">
        <v>764</v>
      </c>
      <c r="AC246" s="90">
        <v>764</v>
      </c>
      <c r="AD246" s="90">
        <v>764</v>
      </c>
      <c r="AE246" s="90">
        <v>764</v>
      </c>
      <c r="AF246" s="90">
        <v>764</v>
      </c>
      <c r="AG246" s="90">
        <v>764</v>
      </c>
      <c r="AH246" s="90">
        <v>764</v>
      </c>
      <c r="AI246" s="90">
        <v>764</v>
      </c>
    </row>
    <row r="247" spans="1:35" x14ac:dyDescent="0.35">
      <c r="A247" s="91" t="s">
        <v>478</v>
      </c>
      <c r="B247" s="89" t="s">
        <v>479</v>
      </c>
      <c r="C247" s="90">
        <v>105</v>
      </c>
      <c r="D247" s="90">
        <v>147</v>
      </c>
      <c r="E247" s="90">
        <v>189</v>
      </c>
      <c r="F247" s="90">
        <v>228</v>
      </c>
      <c r="G247" s="90">
        <v>267</v>
      </c>
      <c r="H247" s="90">
        <v>320</v>
      </c>
      <c r="I247" s="90">
        <v>359</v>
      </c>
      <c r="J247" s="90">
        <v>399</v>
      </c>
      <c r="K247" s="90">
        <v>438</v>
      </c>
      <c r="L247" s="90">
        <v>477</v>
      </c>
      <c r="M247" s="90">
        <v>529</v>
      </c>
      <c r="N247" s="90">
        <v>569</v>
      </c>
      <c r="O247" s="90">
        <v>608</v>
      </c>
      <c r="P247" s="90">
        <v>647</v>
      </c>
      <c r="Q247" s="90">
        <v>686</v>
      </c>
      <c r="R247" s="90">
        <v>725</v>
      </c>
      <c r="S247" s="90">
        <v>764</v>
      </c>
      <c r="T247" s="90">
        <v>764</v>
      </c>
      <c r="U247" s="90">
        <v>764</v>
      </c>
      <c r="V247" s="90">
        <v>764</v>
      </c>
      <c r="W247" s="90">
        <v>764</v>
      </c>
      <c r="X247" s="90">
        <v>764</v>
      </c>
      <c r="Y247" s="90">
        <v>764</v>
      </c>
      <c r="Z247" s="90">
        <v>764</v>
      </c>
      <c r="AA247" s="90">
        <v>764</v>
      </c>
      <c r="AB247" s="90">
        <v>764</v>
      </c>
      <c r="AC247" s="90">
        <v>764</v>
      </c>
      <c r="AD247" s="90">
        <v>764</v>
      </c>
      <c r="AE247" s="90">
        <v>764</v>
      </c>
      <c r="AF247" s="90">
        <v>764</v>
      </c>
      <c r="AG247" s="90">
        <v>764</v>
      </c>
      <c r="AH247" s="90">
        <v>764</v>
      </c>
      <c r="AI247" s="90">
        <v>764</v>
      </c>
    </row>
    <row r="248" spans="1:35" x14ac:dyDescent="0.35">
      <c r="A248" s="91" t="s">
        <v>478</v>
      </c>
      <c r="B248" s="89" t="s">
        <v>480</v>
      </c>
      <c r="C248" s="90">
        <v>105</v>
      </c>
      <c r="D248" s="90">
        <v>147</v>
      </c>
      <c r="E248" s="90">
        <v>189</v>
      </c>
      <c r="F248" s="90">
        <v>228</v>
      </c>
      <c r="G248" s="90">
        <v>267</v>
      </c>
      <c r="H248" s="90">
        <v>320</v>
      </c>
      <c r="I248" s="90">
        <v>359</v>
      </c>
      <c r="J248" s="90">
        <v>399</v>
      </c>
      <c r="K248" s="90">
        <v>438</v>
      </c>
      <c r="L248" s="90">
        <v>477</v>
      </c>
      <c r="M248" s="90">
        <v>529</v>
      </c>
      <c r="N248" s="90">
        <v>569</v>
      </c>
      <c r="O248" s="90">
        <v>608</v>
      </c>
      <c r="P248" s="90">
        <v>647</v>
      </c>
      <c r="Q248" s="90">
        <v>686</v>
      </c>
      <c r="R248" s="90">
        <v>725</v>
      </c>
      <c r="S248" s="90">
        <v>764</v>
      </c>
      <c r="T248" s="90">
        <v>764</v>
      </c>
      <c r="U248" s="90">
        <v>764</v>
      </c>
      <c r="V248" s="90">
        <v>764</v>
      </c>
      <c r="W248" s="90">
        <v>764</v>
      </c>
      <c r="X248" s="90">
        <v>764</v>
      </c>
      <c r="Y248" s="90">
        <v>764</v>
      </c>
      <c r="Z248" s="90">
        <v>764</v>
      </c>
      <c r="AA248" s="90">
        <v>764</v>
      </c>
      <c r="AB248" s="90">
        <v>764</v>
      </c>
      <c r="AC248" s="90">
        <v>764</v>
      </c>
      <c r="AD248" s="90">
        <v>764</v>
      </c>
      <c r="AE248" s="90">
        <v>764</v>
      </c>
      <c r="AF248" s="90">
        <v>764</v>
      </c>
      <c r="AG248" s="90">
        <v>764</v>
      </c>
      <c r="AH248" s="90">
        <v>764</v>
      </c>
      <c r="AI248" s="90">
        <v>764</v>
      </c>
    </row>
    <row r="249" spans="1:35" x14ac:dyDescent="0.35">
      <c r="A249" s="91" t="s">
        <v>478</v>
      </c>
      <c r="B249" s="89">
        <v>2504</v>
      </c>
      <c r="C249" s="90">
        <v>126</v>
      </c>
      <c r="D249" s="90">
        <v>191</v>
      </c>
      <c r="E249" s="90">
        <v>257</v>
      </c>
      <c r="F249" s="90">
        <v>319</v>
      </c>
      <c r="G249" s="90">
        <v>381</v>
      </c>
      <c r="H249" s="90">
        <v>456</v>
      </c>
      <c r="I249" s="90">
        <v>518</v>
      </c>
      <c r="J249" s="90">
        <v>580</v>
      </c>
      <c r="K249" s="90">
        <v>642</v>
      </c>
      <c r="L249" s="90">
        <v>704</v>
      </c>
      <c r="M249" s="90">
        <v>770</v>
      </c>
      <c r="N249" s="90">
        <v>819</v>
      </c>
      <c r="O249" s="90">
        <v>862</v>
      </c>
      <c r="P249" s="90">
        <v>906</v>
      </c>
      <c r="Q249" s="90">
        <v>949</v>
      </c>
      <c r="R249" s="90">
        <v>993</v>
      </c>
      <c r="S249" s="90">
        <v>1035</v>
      </c>
      <c r="T249" s="90">
        <v>1035</v>
      </c>
      <c r="U249" s="90">
        <v>1035</v>
      </c>
      <c r="V249" s="90">
        <v>1035</v>
      </c>
      <c r="W249" s="90">
        <v>1035</v>
      </c>
      <c r="X249" s="90">
        <v>1035</v>
      </c>
      <c r="Y249" s="90">
        <v>1035</v>
      </c>
      <c r="Z249" s="90">
        <v>1035</v>
      </c>
      <c r="AA249" s="90">
        <v>1035</v>
      </c>
      <c r="AB249" s="90">
        <v>1035</v>
      </c>
      <c r="AC249" s="90">
        <v>1035</v>
      </c>
      <c r="AD249" s="90">
        <v>1035</v>
      </c>
      <c r="AE249" s="90">
        <v>1035</v>
      </c>
      <c r="AF249" s="90">
        <v>1035</v>
      </c>
      <c r="AG249" s="90">
        <v>1035</v>
      </c>
      <c r="AH249" s="90">
        <v>1035</v>
      </c>
      <c r="AI249" s="90">
        <v>1035</v>
      </c>
    </row>
    <row r="250" spans="1:35" x14ac:dyDescent="0.35">
      <c r="A250" s="91" t="s">
        <v>478</v>
      </c>
      <c r="B250" s="89">
        <v>2074</v>
      </c>
      <c r="C250" s="90">
        <v>126</v>
      </c>
      <c r="D250" s="90">
        <v>191</v>
      </c>
      <c r="E250" s="90">
        <v>257</v>
      </c>
      <c r="F250" s="90">
        <v>319</v>
      </c>
      <c r="G250" s="90">
        <v>381</v>
      </c>
      <c r="H250" s="90">
        <v>456</v>
      </c>
      <c r="I250" s="90">
        <v>518</v>
      </c>
      <c r="J250" s="90">
        <v>580</v>
      </c>
      <c r="K250" s="90">
        <v>642</v>
      </c>
      <c r="L250" s="90">
        <v>704</v>
      </c>
      <c r="M250" s="90">
        <v>770</v>
      </c>
      <c r="N250" s="90">
        <v>819</v>
      </c>
      <c r="O250" s="90">
        <v>862</v>
      </c>
      <c r="P250" s="90">
        <v>906</v>
      </c>
      <c r="Q250" s="90">
        <v>949</v>
      </c>
      <c r="R250" s="90">
        <v>993</v>
      </c>
      <c r="S250" s="90">
        <v>1035</v>
      </c>
      <c r="T250" s="90">
        <v>1035</v>
      </c>
      <c r="U250" s="90">
        <v>1035</v>
      </c>
      <c r="V250" s="90">
        <v>1035</v>
      </c>
      <c r="W250" s="90">
        <v>1035</v>
      </c>
      <c r="X250" s="90">
        <v>1035</v>
      </c>
      <c r="Y250" s="90">
        <v>1035</v>
      </c>
      <c r="Z250" s="90">
        <v>1035</v>
      </c>
      <c r="AA250" s="90">
        <v>1035</v>
      </c>
      <c r="AB250" s="90">
        <v>1035</v>
      </c>
      <c r="AC250" s="90">
        <v>1035</v>
      </c>
      <c r="AD250" s="90">
        <v>1035</v>
      </c>
      <c r="AE250" s="90">
        <v>1035</v>
      </c>
      <c r="AF250" s="90">
        <v>1035</v>
      </c>
      <c r="AG250" s="90">
        <v>1035</v>
      </c>
      <c r="AH250" s="90">
        <v>1035</v>
      </c>
      <c r="AI250" s="90">
        <v>1035</v>
      </c>
    </row>
    <row r="251" spans="1:35" x14ac:dyDescent="0.35">
      <c r="A251" s="92" t="s">
        <v>478</v>
      </c>
      <c r="B251" s="93">
        <v>2800</v>
      </c>
      <c r="C251" s="94">
        <v>126</v>
      </c>
      <c r="D251" s="94">
        <v>191</v>
      </c>
      <c r="E251" s="94">
        <v>257</v>
      </c>
      <c r="F251" s="94">
        <v>319</v>
      </c>
      <c r="G251" s="94">
        <v>381</v>
      </c>
      <c r="H251" s="94">
        <v>456</v>
      </c>
      <c r="I251" s="94">
        <v>518</v>
      </c>
      <c r="J251" s="94">
        <v>580</v>
      </c>
      <c r="K251" s="94">
        <v>642</v>
      </c>
      <c r="L251" s="94">
        <v>704</v>
      </c>
      <c r="M251" s="94">
        <v>770</v>
      </c>
      <c r="N251" s="94">
        <v>819</v>
      </c>
      <c r="O251" s="94">
        <v>862</v>
      </c>
      <c r="P251" s="94">
        <v>906</v>
      </c>
      <c r="Q251" s="94">
        <v>949</v>
      </c>
      <c r="R251" s="94">
        <v>993</v>
      </c>
      <c r="S251" s="94">
        <v>1035</v>
      </c>
      <c r="T251" s="94">
        <v>1035</v>
      </c>
      <c r="U251" s="94">
        <v>1035</v>
      </c>
      <c r="V251" s="94">
        <v>1035</v>
      </c>
      <c r="W251" s="94">
        <v>1035</v>
      </c>
      <c r="X251" s="94">
        <v>1035</v>
      </c>
      <c r="Y251" s="94">
        <v>1035</v>
      </c>
      <c r="Z251" s="94">
        <v>1035</v>
      </c>
      <c r="AA251" s="94">
        <v>1035</v>
      </c>
      <c r="AB251" s="94">
        <v>1035</v>
      </c>
      <c r="AC251" s="94">
        <v>1035</v>
      </c>
      <c r="AD251" s="94">
        <v>1035</v>
      </c>
      <c r="AE251" s="94">
        <v>1035</v>
      </c>
      <c r="AF251" s="94">
        <v>1035</v>
      </c>
      <c r="AG251" s="94">
        <v>1035</v>
      </c>
      <c r="AH251" s="94">
        <v>1035</v>
      </c>
      <c r="AI251" s="94">
        <v>1035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I21" sqref="I21"/>
    </sheetView>
    <sheetView workbookViewId="1">
      <selection activeCell="J7" sqref="J7"/>
    </sheetView>
  </sheetViews>
  <sheetFormatPr defaultRowHeight="14.5" x14ac:dyDescent="0.35"/>
  <cols>
    <col min="4" max="4" width="13" bestFit="1" customWidth="1"/>
  </cols>
  <sheetData>
    <row r="1" spans="1:13" x14ac:dyDescent="0.35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</row>
    <row r="2" spans="1:13" x14ac:dyDescent="0.35">
      <c r="A2" t="s">
        <v>60</v>
      </c>
      <c r="B2" t="s">
        <v>51</v>
      </c>
      <c r="C2" t="s">
        <v>61</v>
      </c>
      <c r="D2" t="s">
        <v>62</v>
      </c>
      <c r="E2">
        <v>2700</v>
      </c>
      <c r="F2">
        <v>3200</v>
      </c>
      <c r="G2">
        <v>2950</v>
      </c>
      <c r="H2" t="s">
        <v>63</v>
      </c>
      <c r="I2">
        <v>1300</v>
      </c>
      <c r="J2">
        <v>0</v>
      </c>
      <c r="K2" t="s">
        <v>64</v>
      </c>
      <c r="L2" t="s">
        <v>15</v>
      </c>
      <c r="M2" t="s">
        <v>65</v>
      </c>
    </row>
    <row r="3" spans="1:13" x14ac:dyDescent="0.35">
      <c r="A3" t="s">
        <v>60</v>
      </c>
      <c r="B3" t="s">
        <v>51</v>
      </c>
      <c r="C3" t="s">
        <v>66</v>
      </c>
      <c r="D3" t="s">
        <v>62</v>
      </c>
      <c r="E3">
        <v>2700</v>
      </c>
      <c r="F3">
        <v>3200</v>
      </c>
      <c r="G3">
        <v>2950</v>
      </c>
      <c r="H3" t="s">
        <v>67</v>
      </c>
      <c r="I3">
        <v>1300</v>
      </c>
      <c r="J3">
        <v>0</v>
      </c>
      <c r="K3" t="s">
        <v>64</v>
      </c>
      <c r="L3" t="s">
        <v>15</v>
      </c>
      <c r="M3" t="s">
        <v>65</v>
      </c>
    </row>
    <row r="4" spans="1:13" x14ac:dyDescent="0.35">
      <c r="A4" t="s">
        <v>60</v>
      </c>
      <c r="B4" t="s">
        <v>51</v>
      </c>
      <c r="C4" t="s">
        <v>68</v>
      </c>
      <c r="D4" t="s">
        <v>62</v>
      </c>
      <c r="E4">
        <v>2700</v>
      </c>
      <c r="F4">
        <v>3200</v>
      </c>
      <c r="G4">
        <v>2950</v>
      </c>
      <c r="H4" t="s">
        <v>63</v>
      </c>
      <c r="I4">
        <v>1300</v>
      </c>
      <c r="J4">
        <v>0</v>
      </c>
      <c r="K4" t="s">
        <v>64</v>
      </c>
      <c r="L4" t="s">
        <v>15</v>
      </c>
      <c r="M4" t="s">
        <v>65</v>
      </c>
    </row>
    <row r="5" spans="1:13" x14ac:dyDescent="0.35">
      <c r="A5" t="s">
        <v>60</v>
      </c>
      <c r="B5" t="s">
        <v>55</v>
      </c>
      <c r="C5" t="s">
        <v>66</v>
      </c>
      <c r="D5" t="s">
        <v>69</v>
      </c>
      <c r="E5">
        <v>2700</v>
      </c>
      <c r="F5">
        <v>3200</v>
      </c>
      <c r="G5">
        <v>2950</v>
      </c>
      <c r="H5" t="s">
        <v>67</v>
      </c>
      <c r="I5">
        <v>770</v>
      </c>
      <c r="J5">
        <v>0</v>
      </c>
      <c r="K5" t="s">
        <v>70</v>
      </c>
      <c r="L5" t="s">
        <v>71</v>
      </c>
      <c r="M5" t="s">
        <v>72</v>
      </c>
    </row>
    <row r="6" spans="1:13" x14ac:dyDescent="0.35">
      <c r="A6" t="s">
        <v>60</v>
      </c>
      <c r="B6" t="s">
        <v>55</v>
      </c>
      <c r="C6" t="s">
        <v>61</v>
      </c>
      <c r="D6" t="s">
        <v>69</v>
      </c>
      <c r="E6">
        <v>2700</v>
      </c>
      <c r="F6">
        <v>3200</v>
      </c>
      <c r="G6">
        <v>2950</v>
      </c>
      <c r="H6" t="s">
        <v>67</v>
      </c>
      <c r="I6">
        <v>770</v>
      </c>
      <c r="J6">
        <v>0</v>
      </c>
      <c r="K6" t="s">
        <v>70</v>
      </c>
      <c r="L6" t="s">
        <v>71</v>
      </c>
      <c r="M6" t="s">
        <v>72</v>
      </c>
    </row>
    <row r="7" spans="1:13" x14ac:dyDescent="0.35">
      <c r="A7" t="s">
        <v>60</v>
      </c>
      <c r="B7" t="s">
        <v>53</v>
      </c>
      <c r="C7" t="s">
        <v>61</v>
      </c>
      <c r="D7" t="s">
        <v>100</v>
      </c>
      <c r="E7">
        <v>2700</v>
      </c>
      <c r="F7">
        <v>3200</v>
      </c>
      <c r="G7">
        <v>2950</v>
      </c>
      <c r="H7" t="s">
        <v>67</v>
      </c>
      <c r="I7">
        <v>1350</v>
      </c>
      <c r="J7">
        <v>0</v>
      </c>
      <c r="K7" t="s">
        <v>73</v>
      </c>
      <c r="L7" t="s">
        <v>71</v>
      </c>
      <c r="M7" t="s">
        <v>74</v>
      </c>
    </row>
    <row r="8" spans="1:13" x14ac:dyDescent="0.35">
      <c r="A8" t="s">
        <v>60</v>
      </c>
      <c r="B8" t="s">
        <v>22</v>
      </c>
      <c r="C8" t="s">
        <v>61</v>
      </c>
      <c r="D8" t="s">
        <v>75</v>
      </c>
      <c r="E8">
        <v>7050</v>
      </c>
      <c r="F8">
        <v>7700</v>
      </c>
      <c r="G8">
        <v>7375</v>
      </c>
      <c r="H8" t="s">
        <v>67</v>
      </c>
      <c r="I8">
        <v>485</v>
      </c>
      <c r="J8">
        <v>0</v>
      </c>
      <c r="K8" t="s">
        <v>76</v>
      </c>
      <c r="L8" t="s">
        <v>77</v>
      </c>
      <c r="M8" t="s">
        <v>78</v>
      </c>
    </row>
    <row r="9" spans="1:13" x14ac:dyDescent="0.35">
      <c r="A9" t="s">
        <v>60</v>
      </c>
      <c r="B9" t="s">
        <v>79</v>
      </c>
      <c r="C9" t="s">
        <v>61</v>
      </c>
      <c r="D9" t="s">
        <v>80</v>
      </c>
      <c r="E9">
        <v>3000</v>
      </c>
      <c r="F9">
        <v>3750</v>
      </c>
      <c r="G9">
        <v>3375</v>
      </c>
      <c r="H9" t="s">
        <v>67</v>
      </c>
      <c r="I9">
        <v>1200</v>
      </c>
      <c r="J9">
        <v>0</v>
      </c>
      <c r="K9" t="s">
        <v>81</v>
      </c>
      <c r="L9" t="s">
        <v>71</v>
      </c>
      <c r="M9" t="s">
        <v>82</v>
      </c>
    </row>
    <row r="10" spans="1:13" x14ac:dyDescent="0.35">
      <c r="A10" t="s">
        <v>60</v>
      </c>
      <c r="B10" t="s">
        <v>79</v>
      </c>
      <c r="C10" t="s">
        <v>66</v>
      </c>
      <c r="D10" t="s">
        <v>80</v>
      </c>
      <c r="E10">
        <v>3000</v>
      </c>
      <c r="F10">
        <v>3750</v>
      </c>
      <c r="G10">
        <v>3375</v>
      </c>
      <c r="H10" t="s">
        <v>67</v>
      </c>
      <c r="I10">
        <v>1200</v>
      </c>
      <c r="J10">
        <v>0</v>
      </c>
      <c r="K10" t="s">
        <v>81</v>
      </c>
      <c r="L10" t="s">
        <v>71</v>
      </c>
      <c r="M10" t="s">
        <v>82</v>
      </c>
    </row>
    <row r="11" spans="1:13" x14ac:dyDescent="0.35">
      <c r="A11" t="s">
        <v>60</v>
      </c>
      <c r="B11" t="s">
        <v>79</v>
      </c>
      <c r="C11" t="s">
        <v>68</v>
      </c>
      <c r="D11" t="s">
        <v>80</v>
      </c>
      <c r="E11">
        <v>3000</v>
      </c>
      <c r="F11">
        <v>3750</v>
      </c>
      <c r="G11">
        <v>3375</v>
      </c>
      <c r="H11" t="s">
        <v>67</v>
      </c>
      <c r="I11">
        <v>1200</v>
      </c>
      <c r="J11">
        <v>0</v>
      </c>
      <c r="K11" t="s">
        <v>81</v>
      </c>
      <c r="L11" t="s">
        <v>71</v>
      </c>
      <c r="M11" t="s">
        <v>82</v>
      </c>
    </row>
    <row r="12" spans="1:13" x14ac:dyDescent="0.35">
      <c r="A12" t="s">
        <v>83</v>
      </c>
      <c r="B12" t="s">
        <v>52</v>
      </c>
      <c r="C12" t="s">
        <v>68</v>
      </c>
      <c r="D12" t="s">
        <v>84</v>
      </c>
      <c r="E12">
        <v>3000</v>
      </c>
      <c r="F12">
        <v>4500</v>
      </c>
      <c r="G12">
        <v>3750</v>
      </c>
      <c r="H12" t="s">
        <v>67</v>
      </c>
      <c r="I12">
        <v>1200</v>
      </c>
      <c r="J12">
        <v>0</v>
      </c>
      <c r="K12" t="s">
        <v>81</v>
      </c>
      <c r="L12" t="s">
        <v>77</v>
      </c>
      <c r="M12" t="s">
        <v>85</v>
      </c>
    </row>
    <row r="13" spans="1:13" x14ac:dyDescent="0.35">
      <c r="A13" t="s">
        <v>83</v>
      </c>
      <c r="B13" t="s">
        <v>23</v>
      </c>
      <c r="C13" t="s">
        <v>68</v>
      </c>
      <c r="D13" t="s">
        <v>86</v>
      </c>
      <c r="E13">
        <v>4500</v>
      </c>
      <c r="F13">
        <v>5500</v>
      </c>
      <c r="G13">
        <v>5000</v>
      </c>
      <c r="H13" t="s">
        <v>67</v>
      </c>
      <c r="I13">
        <v>1100</v>
      </c>
      <c r="J13">
        <v>0</v>
      </c>
      <c r="K13" t="s">
        <v>87</v>
      </c>
      <c r="L13" t="s">
        <v>77</v>
      </c>
      <c r="M13" t="s">
        <v>88</v>
      </c>
    </row>
    <row r="14" spans="1:13" x14ac:dyDescent="0.35">
      <c r="A14" t="s">
        <v>89</v>
      </c>
      <c r="B14" t="s">
        <v>23</v>
      </c>
      <c r="C14" t="s">
        <v>61</v>
      </c>
      <c r="D14" t="s">
        <v>86</v>
      </c>
      <c r="E14">
        <v>3700</v>
      </c>
      <c r="F14">
        <v>4200</v>
      </c>
      <c r="G14">
        <v>3950</v>
      </c>
      <c r="H14" t="s">
        <v>90</v>
      </c>
      <c r="I14">
        <v>1100</v>
      </c>
      <c r="J14">
        <v>0</v>
      </c>
      <c r="K14" t="s">
        <v>87</v>
      </c>
      <c r="L14" t="s">
        <v>77</v>
      </c>
      <c r="M14" t="s">
        <v>88</v>
      </c>
    </row>
    <row r="15" spans="1:13" x14ac:dyDescent="0.35">
      <c r="A15" t="s">
        <v>89</v>
      </c>
      <c r="B15" t="s">
        <v>23</v>
      </c>
      <c r="C15" t="s">
        <v>61</v>
      </c>
      <c r="D15" t="s">
        <v>91</v>
      </c>
      <c r="E15">
        <v>5200</v>
      </c>
      <c r="F15">
        <v>6200</v>
      </c>
      <c r="G15">
        <v>5700</v>
      </c>
      <c r="H15" t="s">
        <v>67</v>
      </c>
      <c r="I15">
        <v>1100</v>
      </c>
      <c r="J15">
        <v>0</v>
      </c>
      <c r="K15" t="s">
        <v>87</v>
      </c>
      <c r="L15" t="s">
        <v>77</v>
      </c>
      <c r="M15" t="s">
        <v>88</v>
      </c>
    </row>
    <row r="16" spans="1:13" x14ac:dyDescent="0.35">
      <c r="A16" t="s">
        <v>89</v>
      </c>
      <c r="B16" t="s">
        <v>14</v>
      </c>
      <c r="C16" t="s">
        <v>61</v>
      </c>
      <c r="D16" t="s">
        <v>92</v>
      </c>
      <c r="E16">
        <v>3200</v>
      </c>
      <c r="F16">
        <v>4200</v>
      </c>
      <c r="G16">
        <v>3700</v>
      </c>
      <c r="H16" t="s">
        <v>93</v>
      </c>
      <c r="I16">
        <v>1100</v>
      </c>
      <c r="J16">
        <v>0</v>
      </c>
      <c r="K16" t="s">
        <v>87</v>
      </c>
      <c r="L16" t="s">
        <v>77</v>
      </c>
      <c r="M16" t="s">
        <v>94</v>
      </c>
    </row>
    <row r="17" spans="1:13" x14ac:dyDescent="0.35">
      <c r="A17" t="s">
        <v>95</v>
      </c>
      <c r="B17" t="s">
        <v>14</v>
      </c>
      <c r="C17" t="s">
        <v>61</v>
      </c>
      <c r="D17" t="s">
        <v>92</v>
      </c>
      <c r="E17">
        <v>4600</v>
      </c>
      <c r="F17">
        <v>4900</v>
      </c>
      <c r="G17">
        <v>4750</v>
      </c>
      <c r="H17" t="s">
        <v>96</v>
      </c>
      <c r="I17">
        <v>1200</v>
      </c>
      <c r="J17">
        <v>0</v>
      </c>
      <c r="K17" t="s">
        <v>81</v>
      </c>
      <c r="L17" t="s">
        <v>77</v>
      </c>
      <c r="M17" t="s">
        <v>94</v>
      </c>
    </row>
    <row r="18" spans="1:13" x14ac:dyDescent="0.35">
      <c r="A18" t="s">
        <v>89</v>
      </c>
      <c r="B18" t="s">
        <v>51</v>
      </c>
      <c r="C18" t="s">
        <v>61</v>
      </c>
      <c r="D18" t="s">
        <v>62</v>
      </c>
      <c r="E18">
        <v>2700</v>
      </c>
      <c r="F18">
        <v>3200</v>
      </c>
      <c r="G18">
        <v>2950</v>
      </c>
      <c r="H18" t="s">
        <v>63</v>
      </c>
      <c r="I18">
        <v>1300</v>
      </c>
      <c r="J18">
        <v>0</v>
      </c>
      <c r="K18" t="s">
        <v>64</v>
      </c>
      <c r="L18" t="s">
        <v>15</v>
      </c>
      <c r="M18" t="s">
        <v>65</v>
      </c>
    </row>
    <row r="19" spans="1:13" x14ac:dyDescent="0.35">
      <c r="A19" t="s">
        <v>89</v>
      </c>
      <c r="B19" t="s">
        <v>51</v>
      </c>
      <c r="C19" t="s">
        <v>61</v>
      </c>
      <c r="D19" t="s">
        <v>97</v>
      </c>
      <c r="E19">
        <v>3600</v>
      </c>
      <c r="F19">
        <v>4950</v>
      </c>
      <c r="G19">
        <v>4275</v>
      </c>
      <c r="H19" t="s">
        <v>67</v>
      </c>
      <c r="I19">
        <v>1300</v>
      </c>
      <c r="J19">
        <v>0</v>
      </c>
      <c r="K19" t="s">
        <v>64</v>
      </c>
      <c r="L19" t="s">
        <v>15</v>
      </c>
      <c r="M19" t="s">
        <v>65</v>
      </c>
    </row>
    <row r="20" spans="1:13" x14ac:dyDescent="0.35">
      <c r="A20" t="s">
        <v>89</v>
      </c>
      <c r="B20" t="s">
        <v>56</v>
      </c>
      <c r="C20" t="s">
        <v>61</v>
      </c>
      <c r="D20" t="s">
        <v>739</v>
      </c>
      <c r="E20">
        <v>3200</v>
      </c>
      <c r="F20">
        <v>4150</v>
      </c>
      <c r="G20">
        <v>3675</v>
      </c>
      <c r="H20" t="s">
        <v>67</v>
      </c>
      <c r="I20">
        <v>1500</v>
      </c>
      <c r="J20">
        <v>0</v>
      </c>
      <c r="K20" t="s">
        <v>98</v>
      </c>
      <c r="L20" t="s">
        <v>77</v>
      </c>
      <c r="M20" t="s">
        <v>99</v>
      </c>
    </row>
    <row r="21" spans="1:13" x14ac:dyDescent="0.35">
      <c r="A21" t="s">
        <v>89</v>
      </c>
      <c r="B21" t="s">
        <v>53</v>
      </c>
      <c r="C21" t="s">
        <v>61</v>
      </c>
      <c r="D21" t="s">
        <v>100</v>
      </c>
      <c r="E21">
        <v>2700</v>
      </c>
      <c r="F21">
        <v>3200</v>
      </c>
      <c r="G21">
        <v>2950</v>
      </c>
      <c r="H21" t="s">
        <v>67</v>
      </c>
      <c r="I21">
        <v>1350</v>
      </c>
      <c r="J21">
        <v>0</v>
      </c>
      <c r="K21" t="s">
        <v>73</v>
      </c>
      <c r="L21" t="s">
        <v>71</v>
      </c>
      <c r="M21" t="s">
        <v>74</v>
      </c>
    </row>
    <row r="22" spans="1:13" x14ac:dyDescent="0.35">
      <c r="A22" t="s">
        <v>89</v>
      </c>
      <c r="B22" t="s">
        <v>22</v>
      </c>
      <c r="C22" t="s">
        <v>61</v>
      </c>
      <c r="D22" t="s">
        <v>75</v>
      </c>
      <c r="E22">
        <v>7050</v>
      </c>
      <c r="F22">
        <v>7700</v>
      </c>
      <c r="G22">
        <v>7375</v>
      </c>
      <c r="H22" t="s">
        <v>67</v>
      </c>
      <c r="I22">
        <v>485</v>
      </c>
      <c r="J22">
        <v>0</v>
      </c>
      <c r="K22" t="s">
        <v>76</v>
      </c>
      <c r="L22" t="s">
        <v>77</v>
      </c>
      <c r="M22" t="s">
        <v>78</v>
      </c>
    </row>
    <row r="23" spans="1:13" x14ac:dyDescent="0.35">
      <c r="A23" t="s">
        <v>95</v>
      </c>
      <c r="B23" t="s">
        <v>23</v>
      </c>
      <c r="C23" t="s">
        <v>61</v>
      </c>
      <c r="D23" t="s">
        <v>86</v>
      </c>
      <c r="E23">
        <v>5050</v>
      </c>
      <c r="F23">
        <v>5300</v>
      </c>
      <c r="G23">
        <v>5175</v>
      </c>
      <c r="H23" t="s">
        <v>101</v>
      </c>
      <c r="I23">
        <v>1350</v>
      </c>
      <c r="J23">
        <v>0</v>
      </c>
      <c r="K23" t="s">
        <v>73</v>
      </c>
      <c r="L23" t="s">
        <v>77</v>
      </c>
      <c r="M23" t="s">
        <v>88</v>
      </c>
    </row>
    <row r="24" spans="1:13" x14ac:dyDescent="0.35">
      <c r="A24" t="s">
        <v>54</v>
      </c>
      <c r="B24" t="s">
        <v>102</v>
      </c>
      <c r="C24" t="s">
        <v>61</v>
      </c>
      <c r="D24" t="s">
        <v>103</v>
      </c>
      <c r="E24">
        <v>3100</v>
      </c>
      <c r="F24">
        <v>3500</v>
      </c>
      <c r="G24">
        <v>3300</v>
      </c>
      <c r="H24" t="s">
        <v>67</v>
      </c>
      <c r="I24">
        <v>1500</v>
      </c>
      <c r="J24">
        <v>0</v>
      </c>
      <c r="K24" t="s">
        <v>98</v>
      </c>
      <c r="L24" t="s">
        <v>71</v>
      </c>
      <c r="M24" t="s">
        <v>104</v>
      </c>
    </row>
    <row r="25" spans="1:13" x14ac:dyDescent="0.35">
      <c r="A25" t="s">
        <v>54</v>
      </c>
      <c r="B25" t="s">
        <v>105</v>
      </c>
      <c r="C25" t="s">
        <v>61</v>
      </c>
      <c r="D25" t="s">
        <v>106</v>
      </c>
      <c r="E25">
        <v>2800</v>
      </c>
      <c r="F25">
        <v>3200</v>
      </c>
      <c r="G25">
        <v>3000</v>
      </c>
      <c r="H25" t="s">
        <v>67</v>
      </c>
      <c r="I25">
        <v>1720</v>
      </c>
      <c r="J25">
        <v>0</v>
      </c>
      <c r="K25" t="s">
        <v>107</v>
      </c>
      <c r="L25" t="s">
        <v>71</v>
      </c>
      <c r="M25" t="s">
        <v>65</v>
      </c>
    </row>
    <row r="26" spans="1:13" x14ac:dyDescent="0.35">
      <c r="A26" t="s">
        <v>54</v>
      </c>
      <c r="B26" t="s">
        <v>108</v>
      </c>
      <c r="C26" t="s">
        <v>61</v>
      </c>
      <c r="D26" t="s">
        <v>109</v>
      </c>
      <c r="E26">
        <v>2900</v>
      </c>
      <c r="F26">
        <v>3200</v>
      </c>
      <c r="G26">
        <v>3050</v>
      </c>
      <c r="H26" t="s">
        <v>67</v>
      </c>
      <c r="I26">
        <v>1800</v>
      </c>
      <c r="J26">
        <v>0</v>
      </c>
      <c r="K26" t="s">
        <v>110</v>
      </c>
      <c r="L26" t="s">
        <v>71</v>
      </c>
      <c r="M26" t="s">
        <v>104</v>
      </c>
    </row>
    <row r="27" spans="1:13" x14ac:dyDescent="0.35">
      <c r="A27" t="s">
        <v>54</v>
      </c>
      <c r="B27" t="s">
        <v>56</v>
      </c>
      <c r="C27" t="s">
        <v>61</v>
      </c>
      <c r="D27" t="s">
        <v>739</v>
      </c>
      <c r="E27">
        <v>3200</v>
      </c>
      <c r="F27">
        <v>4150</v>
      </c>
      <c r="G27">
        <v>3675</v>
      </c>
      <c r="H27" t="s">
        <v>67</v>
      </c>
      <c r="I27">
        <v>1500</v>
      </c>
      <c r="J27">
        <v>0</v>
      </c>
      <c r="K27" t="s">
        <v>98</v>
      </c>
      <c r="L27" t="s">
        <v>77</v>
      </c>
      <c r="M27" t="s">
        <v>99</v>
      </c>
    </row>
    <row r="28" spans="1:13" x14ac:dyDescent="0.35">
      <c r="A28" t="s">
        <v>54</v>
      </c>
      <c r="B28" t="s">
        <v>111</v>
      </c>
      <c r="C28" t="s">
        <v>61</v>
      </c>
      <c r="D28" t="s">
        <v>100</v>
      </c>
      <c r="E28">
        <v>2700</v>
      </c>
      <c r="F28">
        <v>3200</v>
      </c>
      <c r="G28">
        <v>2950</v>
      </c>
      <c r="H28" t="s">
        <v>67</v>
      </c>
      <c r="I28">
        <v>1350</v>
      </c>
      <c r="J28">
        <v>0</v>
      </c>
      <c r="K28" t="s">
        <v>73</v>
      </c>
      <c r="L28" t="s">
        <v>71</v>
      </c>
      <c r="M28" t="s">
        <v>74</v>
      </c>
    </row>
    <row r="29" spans="1:13" x14ac:dyDescent="0.35">
      <c r="A29" t="s">
        <v>54</v>
      </c>
      <c r="B29" t="s">
        <v>23</v>
      </c>
      <c r="C29" t="s">
        <v>61</v>
      </c>
      <c r="D29" t="s">
        <v>86</v>
      </c>
      <c r="E29">
        <v>3800</v>
      </c>
      <c r="F29">
        <v>5500</v>
      </c>
      <c r="G29">
        <v>4650</v>
      </c>
      <c r="H29" t="s">
        <v>67</v>
      </c>
      <c r="I29">
        <v>1100</v>
      </c>
      <c r="J29">
        <v>0</v>
      </c>
      <c r="K29" t="s">
        <v>87</v>
      </c>
      <c r="L29" t="s">
        <v>77</v>
      </c>
      <c r="M29" t="s">
        <v>88</v>
      </c>
    </row>
    <row r="30" spans="1:13" x14ac:dyDescent="0.35">
      <c r="A30" t="s">
        <v>112</v>
      </c>
      <c r="B30" t="s">
        <v>22</v>
      </c>
      <c r="C30" t="s">
        <v>113</v>
      </c>
      <c r="D30" t="s">
        <v>75</v>
      </c>
      <c r="E30">
        <v>7050</v>
      </c>
      <c r="F30">
        <v>7700</v>
      </c>
      <c r="G30">
        <v>7375</v>
      </c>
      <c r="H30" t="s">
        <v>67</v>
      </c>
      <c r="I30">
        <v>485</v>
      </c>
      <c r="J30">
        <v>0</v>
      </c>
      <c r="K30" t="s">
        <v>76</v>
      </c>
      <c r="L30" t="s">
        <v>77</v>
      </c>
      <c r="M30" t="s">
        <v>78</v>
      </c>
    </row>
    <row r="31" spans="1:13" x14ac:dyDescent="0.35">
      <c r="A31" t="s">
        <v>112</v>
      </c>
      <c r="B31" t="s">
        <v>23</v>
      </c>
      <c r="C31" t="s">
        <v>114</v>
      </c>
      <c r="D31" t="s">
        <v>86</v>
      </c>
      <c r="E31">
        <v>4400</v>
      </c>
      <c r="F31">
        <v>5500</v>
      </c>
      <c r="G31">
        <v>4950</v>
      </c>
      <c r="H31" t="s">
        <v>67</v>
      </c>
      <c r="I31">
        <v>1100</v>
      </c>
      <c r="J31">
        <v>0</v>
      </c>
      <c r="K31" t="s">
        <v>87</v>
      </c>
      <c r="L31" t="s">
        <v>77</v>
      </c>
      <c r="M31" t="s">
        <v>115</v>
      </c>
    </row>
    <row r="32" spans="1:13" x14ac:dyDescent="0.35">
      <c r="A32" t="s">
        <v>112</v>
      </c>
      <c r="B32" t="s">
        <v>23</v>
      </c>
      <c r="C32" t="s">
        <v>109</v>
      </c>
      <c r="D32" t="s">
        <v>116</v>
      </c>
      <c r="E32">
        <v>2900</v>
      </c>
      <c r="F32">
        <v>4500</v>
      </c>
      <c r="G32">
        <v>3700</v>
      </c>
      <c r="H32" t="s">
        <v>67</v>
      </c>
      <c r="I32">
        <v>2400</v>
      </c>
      <c r="J32">
        <v>1200</v>
      </c>
      <c r="K32" t="s">
        <v>117</v>
      </c>
      <c r="L32" t="s">
        <v>18</v>
      </c>
      <c r="M32" t="s">
        <v>118</v>
      </c>
    </row>
    <row r="33" spans="1:13" x14ac:dyDescent="0.35">
      <c r="A33" t="s">
        <v>112</v>
      </c>
      <c r="B33" t="s">
        <v>23</v>
      </c>
      <c r="C33" t="s">
        <v>119</v>
      </c>
      <c r="D33" t="s">
        <v>120</v>
      </c>
      <c r="E33">
        <v>6800</v>
      </c>
      <c r="F33">
        <v>8100</v>
      </c>
      <c r="G33">
        <v>7450</v>
      </c>
      <c r="H33" t="s">
        <v>67</v>
      </c>
      <c r="I33">
        <v>1300</v>
      </c>
      <c r="J33">
        <v>0</v>
      </c>
      <c r="K33" t="s">
        <v>64</v>
      </c>
      <c r="L33" t="s">
        <v>77</v>
      </c>
      <c r="M33" t="s">
        <v>121</v>
      </c>
    </row>
    <row r="34" spans="1:13" x14ac:dyDescent="0.35">
      <c r="A34" t="s">
        <v>112</v>
      </c>
      <c r="B34" t="s">
        <v>23</v>
      </c>
      <c r="C34" t="s">
        <v>113</v>
      </c>
      <c r="D34" t="s">
        <v>120</v>
      </c>
      <c r="E34">
        <v>6500</v>
      </c>
      <c r="F34">
        <v>7600</v>
      </c>
      <c r="G34">
        <v>7050</v>
      </c>
      <c r="H34" t="s">
        <v>67</v>
      </c>
      <c r="I34">
        <v>1300</v>
      </c>
      <c r="J34">
        <v>0</v>
      </c>
      <c r="K34" t="s">
        <v>64</v>
      </c>
      <c r="L34" t="s">
        <v>77</v>
      </c>
      <c r="M34" t="s">
        <v>122</v>
      </c>
    </row>
    <row r="35" spans="1:13" x14ac:dyDescent="0.35">
      <c r="A35" t="s">
        <v>123</v>
      </c>
      <c r="B35" t="s">
        <v>23</v>
      </c>
      <c r="C35" t="s">
        <v>124</v>
      </c>
      <c r="D35" t="s">
        <v>116</v>
      </c>
      <c r="E35">
        <v>2800</v>
      </c>
      <c r="F35">
        <v>4500</v>
      </c>
      <c r="G35">
        <v>3650</v>
      </c>
      <c r="H35" t="s">
        <v>67</v>
      </c>
      <c r="I35">
        <v>2400</v>
      </c>
      <c r="J35">
        <v>1500</v>
      </c>
      <c r="K35" t="s">
        <v>125</v>
      </c>
      <c r="L35" t="s">
        <v>18</v>
      </c>
      <c r="M35" t="s">
        <v>118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X198"/>
  <sheetViews>
    <sheetView topLeftCell="G1" workbookViewId="0">
      <selection activeCell="L2" sqref="L2:L50"/>
    </sheetView>
    <sheetView tabSelected="1" topLeftCell="W1" workbookViewId="1">
      <selection activeCell="AB1" sqref="V1:AB1048576"/>
    </sheetView>
  </sheetViews>
  <sheetFormatPr defaultRowHeight="14.5" x14ac:dyDescent="0.35"/>
  <cols>
    <col min="1" max="1" width="21.36328125" bestFit="1" customWidth="1"/>
    <col min="2" max="2" width="44.1796875" bestFit="1" customWidth="1"/>
    <col min="3" max="3" width="12.81640625" bestFit="1" customWidth="1"/>
    <col min="4" max="4" width="12.6328125" bestFit="1" customWidth="1"/>
    <col min="5" max="5" width="13.36328125" bestFit="1" customWidth="1"/>
    <col min="6" max="6" width="13.453125" bestFit="1" customWidth="1"/>
    <col min="7" max="7" width="36.6328125" bestFit="1" customWidth="1"/>
    <col min="8" max="8" width="15.81640625" bestFit="1" customWidth="1"/>
    <col min="9" max="9" width="12.90625" bestFit="1" customWidth="1"/>
    <col min="10" max="10" width="21.54296875" bestFit="1" customWidth="1"/>
    <col min="11" max="11" width="35.26953125" bestFit="1" customWidth="1"/>
    <col min="12" max="12" width="15.6328125" bestFit="1" customWidth="1"/>
    <col min="13" max="13" width="15" bestFit="1" customWidth="1"/>
    <col min="14" max="14" width="27.6328125" bestFit="1" customWidth="1"/>
    <col min="15" max="15" width="22.1796875" bestFit="1" customWidth="1"/>
    <col min="16" max="16" width="11.54296875" bestFit="1" customWidth="1"/>
    <col min="17" max="17" width="23.1796875" bestFit="1" customWidth="1"/>
    <col min="18" max="18" width="11.54296875" bestFit="1" customWidth="1"/>
    <col min="19" max="19" width="17" bestFit="1" customWidth="1"/>
    <col min="20" max="20" width="13.6328125" bestFit="1" customWidth="1"/>
    <col min="21" max="21" width="25.90625" style="42" bestFit="1" customWidth="1"/>
    <col min="22" max="22" width="23.81640625" style="101" bestFit="1" customWidth="1"/>
    <col min="23" max="23" width="24.36328125" style="96" bestFit="1" customWidth="1"/>
    <col min="24" max="24" width="18.08984375" style="96" bestFit="1" customWidth="1"/>
    <col min="25" max="25" width="18.81640625" style="96" bestFit="1" customWidth="1"/>
    <col min="26" max="26" width="15.36328125" style="96" bestFit="1" customWidth="1"/>
    <col min="27" max="27" width="22.453125" style="96" bestFit="1" customWidth="1"/>
    <col min="28" max="28" width="20" style="96" bestFit="1" customWidth="1"/>
    <col min="29" max="29" width="27.26953125" style="96" bestFit="1" customWidth="1"/>
    <col min="30" max="30" width="14.1796875" style="96" bestFit="1" customWidth="1"/>
    <col min="31" max="31" width="14.1796875" bestFit="1" customWidth="1"/>
    <col min="32" max="32" width="19" bestFit="1" customWidth="1"/>
    <col min="33" max="33" width="23.26953125" bestFit="1" customWidth="1"/>
    <col min="34" max="34" width="24" bestFit="1" customWidth="1"/>
    <col min="35" max="35" width="17.453125" bestFit="1" customWidth="1"/>
    <col min="36" max="36" width="18" bestFit="1" customWidth="1"/>
    <col min="37" max="37" width="14.453125" bestFit="1" customWidth="1"/>
    <col min="38" max="38" width="22" bestFit="1" customWidth="1"/>
    <col min="39" max="39" width="19.26953125" bestFit="1" customWidth="1"/>
    <col min="40" max="40" width="26.81640625" bestFit="1" customWidth="1"/>
    <col min="41" max="41" width="14.7265625" bestFit="1" customWidth="1"/>
    <col min="42" max="42" width="26.7265625" bestFit="1" customWidth="1"/>
    <col min="43" max="44" width="14.7265625" bestFit="1" customWidth="1"/>
    <col min="45" max="45" width="14.1796875" bestFit="1" customWidth="1"/>
    <col min="46" max="46" width="10" bestFit="1" customWidth="1"/>
    <col min="47" max="47" width="26.7265625" bestFit="1" customWidth="1"/>
    <col min="48" max="48" width="19.1796875" bestFit="1" customWidth="1"/>
    <col min="49" max="49" width="18.1796875" style="39" bestFit="1" customWidth="1"/>
    <col min="50" max="50" width="14.7265625" style="8" bestFit="1" customWidth="1"/>
    <col min="51" max="51" width="12.453125" bestFit="1" customWidth="1"/>
    <col min="52" max="52" width="17.453125" bestFit="1" customWidth="1"/>
    <col min="53" max="53" width="27.54296875" bestFit="1" customWidth="1"/>
    <col min="54" max="54" width="19.81640625" bestFit="1" customWidth="1"/>
    <col min="55" max="55" width="19.26953125" customWidth="1"/>
  </cols>
  <sheetData>
    <row r="1" spans="1:50" x14ac:dyDescent="0.35">
      <c r="A1" t="s">
        <v>32</v>
      </c>
      <c r="B1" t="s">
        <v>30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29</v>
      </c>
      <c r="J1" t="s">
        <v>7</v>
      </c>
      <c r="K1" t="s">
        <v>153</v>
      </c>
      <c r="L1" t="s">
        <v>8</v>
      </c>
      <c r="M1" t="s">
        <v>9</v>
      </c>
      <c r="N1" t="s">
        <v>154</v>
      </c>
      <c r="O1" t="s">
        <v>155</v>
      </c>
      <c r="P1" t="s">
        <v>10</v>
      </c>
      <c r="Q1" t="s">
        <v>11</v>
      </c>
      <c r="R1" s="42" t="s">
        <v>12</v>
      </c>
      <c r="S1" s="41" t="s">
        <v>13</v>
      </c>
      <c r="T1" t="s">
        <v>148</v>
      </c>
      <c r="U1" t="s">
        <v>740</v>
      </c>
      <c r="V1" s="96" t="s">
        <v>156</v>
      </c>
      <c r="W1" s="96" t="s">
        <v>157</v>
      </c>
      <c r="X1" s="96" t="s">
        <v>158</v>
      </c>
      <c r="Y1" s="96" t="s">
        <v>159</v>
      </c>
      <c r="Z1" s="96" t="s">
        <v>151</v>
      </c>
      <c r="AA1" s="96" t="s">
        <v>49</v>
      </c>
      <c r="AB1" s="96" t="s">
        <v>152</v>
      </c>
      <c r="AC1" s="96" t="s">
        <v>160</v>
      </c>
      <c r="AD1" s="8" t="s">
        <v>50</v>
      </c>
      <c r="AW1"/>
      <c r="AX1"/>
    </row>
    <row r="2" spans="1:50" x14ac:dyDescent="0.35">
      <c r="A2" s="47" t="s">
        <v>169</v>
      </c>
      <c r="B2" t="s">
        <v>170</v>
      </c>
      <c r="C2" s="48">
        <v>1</v>
      </c>
      <c r="D2" s="48">
        <v>1</v>
      </c>
      <c r="E2" s="48">
        <v>37284.543325526916</v>
      </c>
      <c r="F2" s="48">
        <v>14.660000000000004</v>
      </c>
      <c r="G2" s="48">
        <v>32</v>
      </c>
      <c r="H2" s="46">
        <v>27328</v>
      </c>
      <c r="I2">
        <v>0</v>
      </c>
      <c r="J2">
        <v>854</v>
      </c>
      <c r="K2" s="48">
        <v>42</v>
      </c>
      <c r="L2">
        <v>21</v>
      </c>
      <c r="M2">
        <v>72</v>
      </c>
      <c r="N2" s="42">
        <v>6</v>
      </c>
      <c r="O2">
        <v>616</v>
      </c>
      <c r="P2" s="20">
        <v>31.84</v>
      </c>
      <c r="Q2">
        <v>8</v>
      </c>
      <c r="R2" s="42">
        <v>0</v>
      </c>
      <c r="S2" s="41">
        <v>6.4453441295546504E-2</v>
      </c>
      <c r="T2" s="20">
        <v>12519.640000000003</v>
      </c>
      <c r="U2">
        <v>15.166666666666666</v>
      </c>
      <c r="V2" s="96">
        <v>3259.2816194331958</v>
      </c>
      <c r="W2" s="96">
        <v>0.11926528174155429</v>
      </c>
      <c r="X2" s="96">
        <v>1355.5512615384605</v>
      </c>
      <c r="Y2" s="96">
        <v>4.9603017474328909E-2</v>
      </c>
      <c r="Z2" s="100">
        <v>1503.0832550607274</v>
      </c>
      <c r="AA2" s="96">
        <v>5.5001582811062918E-2</v>
      </c>
      <c r="AB2" s="100">
        <v>6117.9161360323833</v>
      </c>
      <c r="AC2" s="100">
        <v>0.22386988202694613</v>
      </c>
      <c r="AD2" s="8"/>
      <c r="AW2"/>
      <c r="AX2"/>
    </row>
    <row r="3" spans="1:50" x14ac:dyDescent="0.35">
      <c r="A3" s="47" t="s">
        <v>169</v>
      </c>
      <c r="B3" t="s">
        <v>171</v>
      </c>
      <c r="C3" s="48">
        <v>1</v>
      </c>
      <c r="D3" s="48">
        <v>1</v>
      </c>
      <c r="E3" s="48">
        <v>36000</v>
      </c>
      <c r="F3" s="48">
        <v>14.56</v>
      </c>
      <c r="G3" s="48">
        <v>32</v>
      </c>
      <c r="H3" s="46">
        <v>8</v>
      </c>
      <c r="J3">
        <v>1</v>
      </c>
      <c r="K3" s="48">
        <v>44</v>
      </c>
      <c r="L3">
        <v>1</v>
      </c>
      <c r="M3">
        <v>1</v>
      </c>
      <c r="N3" s="42">
        <v>1</v>
      </c>
      <c r="O3">
        <v>641</v>
      </c>
      <c r="P3" s="20">
        <v>0.04</v>
      </c>
      <c r="Q3">
        <v>8</v>
      </c>
      <c r="R3" s="42"/>
      <c r="S3" s="41">
        <v>8.0971659919028299E-5</v>
      </c>
      <c r="T3" s="20">
        <v>14.56</v>
      </c>
      <c r="U3">
        <v>15.166666666666666</v>
      </c>
      <c r="V3" s="96">
        <v>4.0945748987854227</v>
      </c>
      <c r="W3" s="96">
        <v>0.51182186234817784</v>
      </c>
      <c r="X3" s="96">
        <v>1.7029538461538456</v>
      </c>
      <c r="Y3" s="96">
        <v>0.2128692307692307</v>
      </c>
      <c r="Z3" s="100">
        <v>1.8882955465587035</v>
      </c>
      <c r="AA3" s="96">
        <v>0.23603694331983793</v>
      </c>
      <c r="AB3" s="100">
        <v>7.6858242914979717</v>
      </c>
      <c r="AC3" s="100">
        <v>0.96072803643724647</v>
      </c>
      <c r="AD3" s="8"/>
      <c r="AW3"/>
      <c r="AX3"/>
    </row>
    <row r="4" spans="1:50" x14ac:dyDescent="0.35">
      <c r="A4" s="47" t="s">
        <v>169</v>
      </c>
      <c r="B4" t="s">
        <v>172</v>
      </c>
      <c r="C4" s="48">
        <v>1</v>
      </c>
      <c r="D4" s="48">
        <v>1</v>
      </c>
      <c r="E4" s="48">
        <v>37285.343228200363</v>
      </c>
      <c r="F4" s="48">
        <v>14.559999999999999</v>
      </c>
      <c r="G4" s="48">
        <v>32</v>
      </c>
      <c r="H4" s="46">
        <v>21560</v>
      </c>
      <c r="J4">
        <v>674</v>
      </c>
      <c r="K4" s="48">
        <v>42</v>
      </c>
      <c r="L4">
        <v>17</v>
      </c>
      <c r="M4">
        <v>57</v>
      </c>
      <c r="N4" s="42">
        <v>5</v>
      </c>
      <c r="O4">
        <v>612</v>
      </c>
      <c r="P4" s="20">
        <v>25.13</v>
      </c>
      <c r="Q4">
        <v>8</v>
      </c>
      <c r="R4" s="42"/>
      <c r="S4" s="41">
        <v>5.0870445344129503E-2</v>
      </c>
      <c r="T4" s="20">
        <v>9813.4399999999987</v>
      </c>
      <c r="U4">
        <v>15.166666666666666</v>
      </c>
      <c r="V4" s="96">
        <v>2572.4166801619408</v>
      </c>
      <c r="W4" s="96">
        <v>0.11931431726168557</v>
      </c>
      <c r="X4" s="96">
        <v>1069.8807538461529</v>
      </c>
      <c r="Y4" s="96">
        <v>4.9623411588411541E-2</v>
      </c>
      <c r="Z4" s="100">
        <v>1186.3216771255049</v>
      </c>
      <c r="AA4" s="96">
        <v>5.5024196527157003E-2</v>
      </c>
      <c r="AB4" s="100">
        <v>4828.6191111335993</v>
      </c>
      <c r="AC4" s="100">
        <v>0.22396192537725412</v>
      </c>
      <c r="AD4" s="8"/>
      <c r="AF4" s="39"/>
      <c r="AG4" s="39"/>
      <c r="AH4" s="39"/>
      <c r="AI4" s="39"/>
      <c r="AJ4" s="39"/>
      <c r="AK4" s="39"/>
      <c r="AL4" s="39"/>
      <c r="AM4" s="39"/>
      <c r="AN4" s="39"/>
      <c r="AW4"/>
      <c r="AX4"/>
    </row>
    <row r="5" spans="1:50" x14ac:dyDescent="0.35">
      <c r="A5" s="47" t="s">
        <v>169</v>
      </c>
      <c r="B5" t="s">
        <v>173</v>
      </c>
      <c r="C5" s="48">
        <v>1</v>
      </c>
      <c r="D5" s="48">
        <v>1</v>
      </c>
      <c r="E5" s="48">
        <v>37285.509325681494</v>
      </c>
      <c r="F5" s="48">
        <v>14.559999999999999</v>
      </c>
      <c r="G5" s="48">
        <v>32</v>
      </c>
      <c r="H5" s="46">
        <v>44608</v>
      </c>
      <c r="J5">
        <v>1394</v>
      </c>
      <c r="K5" s="48">
        <v>42</v>
      </c>
      <c r="L5">
        <v>34</v>
      </c>
      <c r="M5">
        <v>117</v>
      </c>
      <c r="N5" s="42">
        <v>9</v>
      </c>
      <c r="O5">
        <v>612</v>
      </c>
      <c r="P5" s="20">
        <v>51.98</v>
      </c>
      <c r="Q5">
        <v>8</v>
      </c>
      <c r="R5" s="42"/>
      <c r="S5" s="41">
        <v>0.10522267206477701</v>
      </c>
      <c r="T5" s="20">
        <v>20296.64</v>
      </c>
      <c r="U5">
        <v>15.166666666666666</v>
      </c>
      <c r="V5" s="96">
        <v>5320.9000809716435</v>
      </c>
      <c r="W5" s="96">
        <v>0.11928129665018929</v>
      </c>
      <c r="X5" s="96">
        <v>2212.9885230769169</v>
      </c>
      <c r="Y5" s="96">
        <v>4.960967815362529E-2</v>
      </c>
      <c r="Z5" s="100">
        <v>2453.8400627530291</v>
      </c>
      <c r="AA5" s="96">
        <v>5.5008968408200978E-2</v>
      </c>
      <c r="AB5" s="100">
        <v>9987.7286668015895</v>
      </c>
      <c r="AC5" s="100">
        <v>0.22389994321201556</v>
      </c>
      <c r="AD5" s="8"/>
      <c r="AF5" s="39"/>
      <c r="AG5" s="39"/>
      <c r="AH5" s="39"/>
      <c r="AI5" s="39"/>
      <c r="AJ5" s="39"/>
      <c r="AK5" s="39"/>
      <c r="AL5" s="39"/>
      <c r="AM5" s="39"/>
      <c r="AN5" s="39"/>
      <c r="AW5"/>
      <c r="AX5"/>
    </row>
    <row r="6" spans="1:50" x14ac:dyDescent="0.35">
      <c r="A6" s="47" t="s">
        <v>169</v>
      </c>
      <c r="B6" t="s">
        <v>174</v>
      </c>
      <c r="C6" s="48">
        <v>1</v>
      </c>
      <c r="D6" s="48">
        <v>1</v>
      </c>
      <c r="E6" s="48">
        <v>37285.930408472021</v>
      </c>
      <c r="F6" s="48">
        <v>14.659999999999998</v>
      </c>
      <c r="G6" s="48">
        <v>32</v>
      </c>
      <c r="H6" s="46">
        <v>42304</v>
      </c>
      <c r="J6">
        <v>1322</v>
      </c>
      <c r="K6" s="48">
        <v>42</v>
      </c>
      <c r="L6">
        <v>32</v>
      </c>
      <c r="M6">
        <v>111</v>
      </c>
      <c r="N6" s="42">
        <v>8</v>
      </c>
      <c r="O6">
        <v>616</v>
      </c>
      <c r="P6" s="20">
        <v>49.29</v>
      </c>
      <c r="Q6">
        <v>8</v>
      </c>
      <c r="R6" s="42"/>
      <c r="S6" s="41">
        <v>9.9777327935222607E-2</v>
      </c>
      <c r="T6" s="20">
        <v>19380.519999999997</v>
      </c>
      <c r="U6">
        <v>15.166666666666666</v>
      </c>
      <c r="V6" s="96">
        <v>5045.539919028337</v>
      </c>
      <c r="W6" s="96">
        <v>0.11926862516613883</v>
      </c>
      <c r="X6" s="96">
        <v>2098.4648769230757</v>
      </c>
      <c r="Y6" s="96">
        <v>4.9604408021063626E-2</v>
      </c>
      <c r="Z6" s="100">
        <v>2326.8521872469623</v>
      </c>
      <c r="AA6" s="96">
        <v>5.5003124698538255E-2</v>
      </c>
      <c r="AB6" s="100">
        <v>9470.856983198375</v>
      </c>
      <c r="AC6" s="100">
        <v>0.22387615788574072</v>
      </c>
      <c r="AD6" s="8"/>
      <c r="AF6" s="39"/>
      <c r="AG6" s="39"/>
      <c r="AH6" s="39"/>
      <c r="AI6" s="39"/>
      <c r="AJ6" s="39"/>
      <c r="AK6" s="39"/>
      <c r="AL6" s="39"/>
      <c r="AM6" s="39"/>
      <c r="AN6" s="39"/>
      <c r="AW6"/>
      <c r="AX6"/>
    </row>
    <row r="7" spans="1:50" x14ac:dyDescent="0.35">
      <c r="A7" s="47" t="s">
        <v>169</v>
      </c>
      <c r="B7" t="s">
        <v>175</v>
      </c>
      <c r="C7" s="48">
        <v>1</v>
      </c>
      <c r="D7" s="48">
        <v>1</v>
      </c>
      <c r="E7" s="48">
        <v>37281.899109792277</v>
      </c>
      <c r="F7" s="48">
        <v>14.690000000000001</v>
      </c>
      <c r="G7" s="48">
        <v>32</v>
      </c>
      <c r="H7" s="46">
        <v>21568</v>
      </c>
      <c r="J7">
        <v>674</v>
      </c>
      <c r="K7" s="48">
        <v>42</v>
      </c>
      <c r="L7">
        <v>17</v>
      </c>
      <c r="M7">
        <v>57</v>
      </c>
      <c r="N7" s="42">
        <v>5</v>
      </c>
      <c r="O7">
        <v>617</v>
      </c>
      <c r="P7" s="20">
        <v>25.13</v>
      </c>
      <c r="Q7">
        <v>8</v>
      </c>
      <c r="R7" s="42"/>
      <c r="S7" s="41">
        <v>5.0870445344129503E-2</v>
      </c>
      <c r="T7" s="20">
        <v>9901.0600000000013</v>
      </c>
      <c r="U7">
        <v>15.166666666666666</v>
      </c>
      <c r="V7" s="96">
        <v>2572.4166801619408</v>
      </c>
      <c r="W7" s="96">
        <v>0.11927006120928881</v>
      </c>
      <c r="X7" s="96">
        <v>1069.8807538461529</v>
      </c>
      <c r="Y7" s="96">
        <v>4.9605005278475188E-2</v>
      </c>
      <c r="Z7" s="100">
        <v>1186.3216771255049</v>
      </c>
      <c r="AA7" s="96">
        <v>5.5003786958712213E-2</v>
      </c>
      <c r="AB7" s="100">
        <v>4828.6191111335993</v>
      </c>
      <c r="AC7" s="100">
        <v>0.22387885344647621</v>
      </c>
      <c r="AD7" s="8"/>
      <c r="AF7" s="39"/>
      <c r="AG7" s="39"/>
      <c r="AH7" s="39"/>
      <c r="AI7" s="39"/>
      <c r="AJ7" s="39"/>
      <c r="AK7" s="39"/>
      <c r="AL7" s="39"/>
      <c r="AM7" s="39"/>
      <c r="AN7" s="39"/>
      <c r="AW7"/>
      <c r="AX7"/>
    </row>
    <row r="8" spans="1:50" x14ac:dyDescent="0.35">
      <c r="A8" s="47" t="s">
        <v>169</v>
      </c>
      <c r="B8" t="s">
        <v>176</v>
      </c>
      <c r="C8" s="48">
        <v>1</v>
      </c>
      <c r="D8" s="48">
        <v>1</v>
      </c>
      <c r="E8" s="48">
        <v>37282.841823056282</v>
      </c>
      <c r="F8" s="48">
        <v>14.200000000000003</v>
      </c>
      <c r="G8" s="48">
        <v>32</v>
      </c>
      <c r="H8" s="46">
        <v>23872</v>
      </c>
      <c r="J8">
        <v>746</v>
      </c>
      <c r="K8" s="48">
        <v>42</v>
      </c>
      <c r="L8">
        <v>18</v>
      </c>
      <c r="M8">
        <v>63</v>
      </c>
      <c r="N8" s="42">
        <v>5</v>
      </c>
      <c r="O8">
        <v>597</v>
      </c>
      <c r="P8" s="20">
        <v>27.81</v>
      </c>
      <c r="Q8">
        <v>8</v>
      </c>
      <c r="R8" s="42"/>
      <c r="S8" s="41">
        <v>5.6295546558704397E-2</v>
      </c>
      <c r="T8" s="20">
        <v>10593.200000000003</v>
      </c>
      <c r="U8">
        <v>15.166666666666666</v>
      </c>
      <c r="V8" s="96">
        <v>2846.7531983805638</v>
      </c>
      <c r="W8" s="96">
        <v>0.11925072044154507</v>
      </c>
      <c r="X8" s="96">
        <v>1183.9786615384605</v>
      </c>
      <c r="Y8" s="96">
        <v>4.9596961358011921E-2</v>
      </c>
      <c r="Z8" s="100">
        <v>1312.8374787449379</v>
      </c>
      <c r="AA8" s="96">
        <v>5.4994867574771192E-2</v>
      </c>
      <c r="AB8" s="100">
        <v>5343.5693386639623</v>
      </c>
      <c r="AC8" s="100">
        <v>0.22384254937432818</v>
      </c>
      <c r="AD8" s="8"/>
      <c r="AF8" s="39"/>
      <c r="AG8" s="39"/>
      <c r="AH8" s="39"/>
      <c r="AI8" s="39"/>
      <c r="AJ8" s="39"/>
      <c r="AK8" s="39"/>
      <c r="AL8" s="39"/>
      <c r="AM8" s="39"/>
      <c r="AN8" s="39"/>
      <c r="AW8"/>
      <c r="AX8"/>
    </row>
    <row r="9" spans="1:50" x14ac:dyDescent="0.35">
      <c r="A9" s="47" t="s">
        <v>169</v>
      </c>
      <c r="B9" t="s">
        <v>177</v>
      </c>
      <c r="C9" s="48">
        <v>1</v>
      </c>
      <c r="D9" s="48">
        <v>1</v>
      </c>
      <c r="E9" s="48">
        <v>37284.053156146168</v>
      </c>
      <c r="F9" s="48">
        <v>14.14</v>
      </c>
      <c r="G9" s="48">
        <v>32</v>
      </c>
      <c r="H9" s="46">
        <v>19264</v>
      </c>
      <c r="J9">
        <v>602</v>
      </c>
      <c r="K9" s="48">
        <v>42</v>
      </c>
      <c r="L9">
        <v>15</v>
      </c>
      <c r="M9">
        <v>51</v>
      </c>
      <c r="N9" s="42">
        <v>4</v>
      </c>
      <c r="O9">
        <v>594</v>
      </c>
      <c r="P9" s="20">
        <v>22.44</v>
      </c>
      <c r="Q9">
        <v>8</v>
      </c>
      <c r="R9" s="42"/>
      <c r="S9" s="41">
        <v>4.5425101214574902E-2</v>
      </c>
      <c r="T9" s="20">
        <v>8512.2800000000007</v>
      </c>
      <c r="U9">
        <v>15.166666666666666</v>
      </c>
      <c r="V9" s="96">
        <v>2297.0565182186238</v>
      </c>
      <c r="W9" s="96">
        <v>0.11924089068825912</v>
      </c>
      <c r="X9" s="96">
        <v>955.35710769230786</v>
      </c>
      <c r="Y9" s="96">
        <v>4.9592873115256848E-2</v>
      </c>
      <c r="Z9" s="100">
        <v>1059.3338016194334</v>
      </c>
      <c r="AA9" s="96">
        <v>5.4990334386390852E-2</v>
      </c>
      <c r="AB9" s="100">
        <v>4311.7474275303648</v>
      </c>
      <c r="AC9" s="100">
        <v>0.22382409818990684</v>
      </c>
      <c r="AD9" s="8"/>
      <c r="AF9" s="39"/>
      <c r="AG9" s="39"/>
      <c r="AH9" s="39"/>
      <c r="AI9" s="39"/>
      <c r="AJ9" s="39"/>
      <c r="AK9" s="39"/>
      <c r="AL9" s="39"/>
      <c r="AM9" s="39"/>
      <c r="AN9" s="39"/>
      <c r="AW9"/>
      <c r="AX9"/>
    </row>
    <row r="10" spans="1:50" x14ac:dyDescent="0.35">
      <c r="A10" s="47" t="s">
        <v>169</v>
      </c>
      <c r="B10" t="s">
        <v>178</v>
      </c>
      <c r="C10" s="48">
        <v>1</v>
      </c>
      <c r="D10" s="48">
        <v>1</v>
      </c>
      <c r="E10" s="48">
        <v>40000</v>
      </c>
      <c r="F10" s="48">
        <v>14.2</v>
      </c>
      <c r="G10" s="48">
        <v>32</v>
      </c>
      <c r="H10" s="46">
        <v>4</v>
      </c>
      <c r="J10">
        <v>1</v>
      </c>
      <c r="K10" s="48">
        <v>39</v>
      </c>
      <c r="L10">
        <v>1</v>
      </c>
      <c r="M10">
        <v>1</v>
      </c>
      <c r="N10" s="42">
        <v>1</v>
      </c>
      <c r="O10">
        <v>554</v>
      </c>
      <c r="P10" s="20">
        <v>0.04</v>
      </c>
      <c r="Q10">
        <v>8</v>
      </c>
      <c r="R10" s="42"/>
      <c r="S10" s="41">
        <v>8.0971659919028299E-5</v>
      </c>
      <c r="T10" s="20">
        <v>14.2</v>
      </c>
      <c r="U10">
        <v>15.166666666666666</v>
      </c>
      <c r="V10" s="96">
        <v>4.0945748987854227</v>
      </c>
      <c r="W10" s="96">
        <v>1.0236437246963557</v>
      </c>
      <c r="X10" s="96">
        <v>1.7029538461538456</v>
      </c>
      <c r="Y10" s="96">
        <v>0.4257384615384614</v>
      </c>
      <c r="Z10" s="100">
        <v>1.8882955465587035</v>
      </c>
      <c r="AA10" s="96">
        <v>0.47207388663967587</v>
      </c>
      <c r="AB10" s="100">
        <v>7.6858242914979717</v>
      </c>
      <c r="AC10" s="100">
        <v>1.9214560728744929</v>
      </c>
      <c r="AD10" s="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W10"/>
      <c r="AX10"/>
    </row>
    <row r="11" spans="1:50" x14ac:dyDescent="0.35">
      <c r="A11" s="47" t="s">
        <v>169</v>
      </c>
      <c r="B11" t="s">
        <v>179</v>
      </c>
      <c r="C11" s="48">
        <v>1</v>
      </c>
      <c r="D11" s="48">
        <v>1</v>
      </c>
      <c r="E11" s="48">
        <v>37285.776728735029</v>
      </c>
      <c r="F11" s="48">
        <v>14.200000000000001</v>
      </c>
      <c r="G11" s="48">
        <v>32</v>
      </c>
      <c r="H11" s="46">
        <v>45756</v>
      </c>
      <c r="J11">
        <v>1430</v>
      </c>
      <c r="K11" s="48">
        <v>42</v>
      </c>
      <c r="L11">
        <v>35</v>
      </c>
      <c r="M11">
        <v>120</v>
      </c>
      <c r="N11" s="42">
        <v>9</v>
      </c>
      <c r="O11">
        <v>597</v>
      </c>
      <c r="P11" s="20">
        <v>53.32</v>
      </c>
      <c r="Q11">
        <v>8</v>
      </c>
      <c r="R11" s="42"/>
      <c r="S11" s="41">
        <v>0.107935222672065</v>
      </c>
      <c r="T11" s="20">
        <v>20306</v>
      </c>
      <c r="U11">
        <v>15.166666666666666</v>
      </c>
      <c r="V11" s="96">
        <v>5458.068340080983</v>
      </c>
      <c r="W11" s="96">
        <v>0.11928639610282768</v>
      </c>
      <c r="X11" s="96">
        <v>2270.0374769230821</v>
      </c>
      <c r="Y11" s="96">
        <v>4.9611799041067446E-2</v>
      </c>
      <c r="Z11" s="100">
        <v>2517.0979635627582</v>
      </c>
      <c r="AA11" s="96">
        <v>5.5011320123322806E-2</v>
      </c>
      <c r="AB11" s="100">
        <v>10245.203780566822</v>
      </c>
      <c r="AC11" s="100">
        <v>0.22390951526721792</v>
      </c>
      <c r="AD11" s="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W11"/>
      <c r="AX11"/>
    </row>
    <row r="12" spans="1:50" x14ac:dyDescent="0.35">
      <c r="A12" s="47" t="s">
        <v>169</v>
      </c>
      <c r="B12" t="s">
        <v>180</v>
      </c>
      <c r="C12" s="48">
        <v>1</v>
      </c>
      <c r="D12" s="48">
        <v>1</v>
      </c>
      <c r="E12" s="48">
        <v>37285.509325681494</v>
      </c>
      <c r="F12" s="48">
        <v>14.200000000000005</v>
      </c>
      <c r="G12" s="48">
        <v>32</v>
      </c>
      <c r="H12" s="46">
        <v>44608</v>
      </c>
      <c r="J12">
        <v>1394</v>
      </c>
      <c r="K12" s="48">
        <v>42</v>
      </c>
      <c r="L12">
        <v>34</v>
      </c>
      <c r="M12">
        <v>117</v>
      </c>
      <c r="N12" s="42">
        <v>9</v>
      </c>
      <c r="O12">
        <v>597</v>
      </c>
      <c r="P12" s="20">
        <v>51.98</v>
      </c>
      <c r="Q12">
        <v>8</v>
      </c>
      <c r="R12" s="42"/>
      <c r="S12" s="41">
        <v>0.10522267206477701</v>
      </c>
      <c r="T12" s="20">
        <v>19794.800000000007</v>
      </c>
      <c r="U12">
        <v>15.166666666666666</v>
      </c>
      <c r="V12" s="96">
        <v>5320.9000809716435</v>
      </c>
      <c r="W12" s="96">
        <v>0.11928129665018929</v>
      </c>
      <c r="X12" s="96">
        <v>2212.9885230769169</v>
      </c>
      <c r="Y12" s="96">
        <v>4.960967815362529E-2</v>
      </c>
      <c r="Z12" s="100">
        <v>2453.8400627530291</v>
      </c>
      <c r="AA12" s="96">
        <v>5.5008968408200978E-2</v>
      </c>
      <c r="AB12" s="100">
        <v>9987.7286668015895</v>
      </c>
      <c r="AC12" s="100">
        <v>0.22389994321201556</v>
      </c>
      <c r="AD12" s="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W12"/>
      <c r="AX12"/>
    </row>
    <row r="13" spans="1:50" x14ac:dyDescent="0.35">
      <c r="A13" s="47" t="s">
        <v>169</v>
      </c>
      <c r="B13" t="s">
        <v>181</v>
      </c>
      <c r="C13" s="48">
        <v>1</v>
      </c>
      <c r="D13" s="48">
        <v>1</v>
      </c>
      <c r="E13" s="48">
        <v>37281.690140845058</v>
      </c>
      <c r="F13" s="48">
        <v>14.200000000000003</v>
      </c>
      <c r="G13" s="48">
        <v>32</v>
      </c>
      <c r="H13" s="46">
        <v>22720</v>
      </c>
      <c r="J13">
        <v>710</v>
      </c>
      <c r="K13" s="48">
        <v>42</v>
      </c>
      <c r="L13">
        <v>17</v>
      </c>
      <c r="M13">
        <v>60</v>
      </c>
      <c r="N13" s="42">
        <v>5</v>
      </c>
      <c r="O13">
        <v>597</v>
      </c>
      <c r="P13" s="20">
        <v>26.47</v>
      </c>
      <c r="Q13">
        <v>8</v>
      </c>
      <c r="R13" s="42"/>
      <c r="S13" s="41">
        <v>5.3582995951417002E-2</v>
      </c>
      <c r="T13" s="20">
        <v>10082.000000000002</v>
      </c>
      <c r="U13">
        <v>15.166666666666666</v>
      </c>
      <c r="V13" s="96">
        <v>2709.5849392712548</v>
      </c>
      <c r="W13" s="96">
        <v>0.11925990049609396</v>
      </c>
      <c r="X13" s="96">
        <v>1126.9297076923078</v>
      </c>
      <c r="Y13" s="96">
        <v>4.9600779387865661E-2</v>
      </c>
      <c r="Z13" s="100">
        <v>1249.5795779352227</v>
      </c>
      <c r="AA13" s="96">
        <v>5.4999101141515086E-2</v>
      </c>
      <c r="AB13" s="100">
        <v>5086.0942248987849</v>
      </c>
      <c r="AC13" s="100">
        <v>0.22385978102547471</v>
      </c>
      <c r="AD13" s="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W13"/>
      <c r="AX13"/>
    </row>
    <row r="14" spans="1:50" x14ac:dyDescent="0.35">
      <c r="A14" s="47" t="s">
        <v>182</v>
      </c>
      <c r="B14" t="s">
        <v>183</v>
      </c>
      <c r="C14" s="48">
        <v>1</v>
      </c>
      <c r="D14" s="48">
        <v>1</v>
      </c>
      <c r="E14" s="48">
        <v>49556.701030927827</v>
      </c>
      <c r="F14" s="48">
        <v>15.21</v>
      </c>
      <c r="G14" s="48">
        <v>84</v>
      </c>
      <c r="H14" s="46">
        <v>8148</v>
      </c>
      <c r="J14">
        <v>97</v>
      </c>
      <c r="K14" s="48">
        <v>32</v>
      </c>
      <c r="L14">
        <v>4</v>
      </c>
      <c r="M14">
        <v>9</v>
      </c>
      <c r="N14" s="42">
        <v>1</v>
      </c>
      <c r="O14">
        <v>487</v>
      </c>
      <c r="P14" s="20">
        <v>4.8099999999999996</v>
      </c>
      <c r="Q14">
        <v>8</v>
      </c>
      <c r="R14" s="42"/>
      <c r="S14" s="41">
        <v>9.7368421052631497E-3</v>
      </c>
      <c r="T14" s="20">
        <v>1475.3700000000001</v>
      </c>
      <c r="U14">
        <v>15.166666666666666</v>
      </c>
      <c r="V14" s="96">
        <v>492.37263157894694</v>
      </c>
      <c r="W14" s="96">
        <v>6.0428648941942435E-2</v>
      </c>
      <c r="X14" s="96">
        <v>204.78019999999987</v>
      </c>
      <c r="Y14" s="96">
        <v>2.5132572410407446E-2</v>
      </c>
      <c r="Z14" s="100">
        <v>227.06753947368404</v>
      </c>
      <c r="AA14" s="96">
        <v>2.7867886533343648E-2</v>
      </c>
      <c r="AB14" s="100">
        <v>924.22037105263075</v>
      </c>
      <c r="AC14" s="100">
        <v>0.11342910788569352</v>
      </c>
      <c r="AD14" s="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W14"/>
      <c r="AX14"/>
    </row>
    <row r="15" spans="1:50" x14ac:dyDescent="0.35">
      <c r="A15" s="47" t="s">
        <v>182</v>
      </c>
      <c r="B15" t="s">
        <v>184</v>
      </c>
      <c r="C15" s="48">
        <v>1</v>
      </c>
      <c r="D15" s="48">
        <v>1</v>
      </c>
      <c r="E15" s="48">
        <v>49560</v>
      </c>
      <c r="F15" s="48">
        <v>15.21</v>
      </c>
      <c r="G15" s="48">
        <v>84</v>
      </c>
      <c r="H15" s="46">
        <v>2100</v>
      </c>
      <c r="J15">
        <v>25</v>
      </c>
      <c r="K15" s="48">
        <v>32</v>
      </c>
      <c r="L15">
        <v>1</v>
      </c>
      <c r="M15">
        <v>3</v>
      </c>
      <c r="N15" s="42">
        <v>1</v>
      </c>
      <c r="O15">
        <v>487</v>
      </c>
      <c r="P15" s="20">
        <v>1.24</v>
      </c>
      <c r="Q15">
        <v>8</v>
      </c>
      <c r="R15" s="42"/>
      <c r="S15" s="41">
        <v>2.5101214574898799E-3</v>
      </c>
      <c r="T15" s="20">
        <v>380.25</v>
      </c>
      <c r="U15">
        <v>15.166666666666666</v>
      </c>
      <c r="V15" s="96">
        <v>126.93182186234824</v>
      </c>
      <c r="W15" s="96">
        <v>6.0443724696356303E-2</v>
      </c>
      <c r="X15" s="96">
        <v>52.791569230769269</v>
      </c>
      <c r="Y15" s="96">
        <v>2.5138842490842511E-2</v>
      </c>
      <c r="Z15" s="100">
        <v>58.537161943319873</v>
      </c>
      <c r="AA15" s="96">
        <v>2.7874839020628511E-2</v>
      </c>
      <c r="AB15" s="100">
        <v>238.26055303643739</v>
      </c>
      <c r="AC15" s="100">
        <v>0.11345740620782732</v>
      </c>
      <c r="AD15" s="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W15"/>
      <c r="AX15"/>
    </row>
    <row r="16" spans="1:50" x14ac:dyDescent="0.35">
      <c r="A16" s="47" t="s">
        <v>182</v>
      </c>
      <c r="B16" t="s">
        <v>185</v>
      </c>
      <c r="C16" s="48">
        <v>1</v>
      </c>
      <c r="D16" s="48">
        <v>1</v>
      </c>
      <c r="E16" s="48">
        <v>49556.701030927827</v>
      </c>
      <c r="F16" s="48">
        <v>15.21</v>
      </c>
      <c r="G16" s="48">
        <v>84</v>
      </c>
      <c r="H16" s="46">
        <v>8148</v>
      </c>
      <c r="J16">
        <v>97</v>
      </c>
      <c r="K16" s="48">
        <v>32</v>
      </c>
      <c r="L16">
        <v>4</v>
      </c>
      <c r="M16">
        <v>9</v>
      </c>
      <c r="N16" s="42">
        <v>1</v>
      </c>
      <c r="O16">
        <v>487</v>
      </c>
      <c r="P16" s="20">
        <v>4.8099999999999996</v>
      </c>
      <c r="Q16">
        <v>8</v>
      </c>
      <c r="R16" s="42"/>
      <c r="S16" s="41">
        <v>9.7368421052631497E-3</v>
      </c>
      <c r="T16" s="20">
        <v>1475.3700000000001</v>
      </c>
      <c r="U16">
        <v>15.166666666666666</v>
      </c>
      <c r="V16" s="96">
        <v>492.37263157894694</v>
      </c>
      <c r="W16" s="96">
        <v>6.0428648941942435E-2</v>
      </c>
      <c r="X16" s="96">
        <v>204.78019999999987</v>
      </c>
      <c r="Y16" s="96">
        <v>2.5132572410407446E-2</v>
      </c>
      <c r="Z16" s="100">
        <v>227.06753947368404</v>
      </c>
      <c r="AA16" s="96">
        <v>2.7867886533343648E-2</v>
      </c>
      <c r="AB16" s="100">
        <v>924.22037105263075</v>
      </c>
      <c r="AC16" s="100">
        <v>0.11342910788569352</v>
      </c>
      <c r="AD16" s="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W16"/>
      <c r="AX16"/>
    </row>
    <row r="17" spans="1:50" x14ac:dyDescent="0.35">
      <c r="A17" s="47" t="s">
        <v>182</v>
      </c>
      <c r="B17" t="s">
        <v>186</v>
      </c>
      <c r="C17" s="48">
        <v>1</v>
      </c>
      <c r="D17" s="48">
        <v>1</v>
      </c>
      <c r="E17" s="48">
        <v>50000</v>
      </c>
      <c r="F17" s="48">
        <v>15.21</v>
      </c>
      <c r="G17" s="48">
        <v>84</v>
      </c>
      <c r="H17" s="46">
        <v>84</v>
      </c>
      <c r="J17">
        <v>1</v>
      </c>
      <c r="K17" s="48">
        <v>31</v>
      </c>
      <c r="L17">
        <v>1</v>
      </c>
      <c r="M17">
        <v>1</v>
      </c>
      <c r="N17" s="42">
        <v>1</v>
      </c>
      <c r="O17">
        <v>472</v>
      </c>
      <c r="P17" s="20">
        <v>0.05</v>
      </c>
      <c r="Q17">
        <v>8</v>
      </c>
      <c r="R17" s="42"/>
      <c r="S17" s="41">
        <v>1.01214574898785E-4</v>
      </c>
      <c r="T17" s="20">
        <v>15.21</v>
      </c>
      <c r="U17">
        <v>15.166666666666666</v>
      </c>
      <c r="V17" s="96">
        <v>5.1182186234817602</v>
      </c>
      <c r="W17" s="96">
        <v>6.0931174089068577E-2</v>
      </c>
      <c r="X17" s="96">
        <v>2.1286923076922992</v>
      </c>
      <c r="Y17" s="96">
        <v>2.5341575091574992E-2</v>
      </c>
      <c r="Z17" s="100">
        <v>2.3603694331983709</v>
      </c>
      <c r="AA17" s="96">
        <v>2.8099636109504417E-2</v>
      </c>
      <c r="AB17" s="100">
        <v>9.6072803643724303</v>
      </c>
      <c r="AC17" s="100">
        <v>0.11437238529014798</v>
      </c>
      <c r="AD17" s="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W17"/>
      <c r="AX17"/>
    </row>
    <row r="18" spans="1:50" x14ac:dyDescent="0.35">
      <c r="A18" s="47" t="s">
        <v>182</v>
      </c>
      <c r="B18" t="s">
        <v>187</v>
      </c>
      <c r="C18" s="48">
        <v>1</v>
      </c>
      <c r="D18" s="48">
        <v>1</v>
      </c>
      <c r="E18" s="48">
        <v>49542.857142857145</v>
      </c>
      <c r="F18" s="48">
        <v>15.21</v>
      </c>
      <c r="G18" s="48">
        <v>84</v>
      </c>
      <c r="H18" s="46">
        <v>8820</v>
      </c>
      <c r="J18">
        <v>105</v>
      </c>
      <c r="K18" s="48">
        <v>32</v>
      </c>
      <c r="L18">
        <v>4</v>
      </c>
      <c r="M18">
        <v>9</v>
      </c>
      <c r="N18" s="42">
        <v>1</v>
      </c>
      <c r="O18">
        <v>487</v>
      </c>
      <c r="P18" s="20">
        <v>5.2</v>
      </c>
      <c r="Q18">
        <v>8</v>
      </c>
      <c r="R18" s="42"/>
      <c r="S18" s="41">
        <v>1.05263157894737E-2</v>
      </c>
      <c r="T18" s="20">
        <v>1597.0500000000002</v>
      </c>
      <c r="U18">
        <v>15.166666666666666</v>
      </c>
      <c r="V18" s="96">
        <v>532.29473684210609</v>
      </c>
      <c r="W18" s="96">
        <v>6.0350877192982551E-2</v>
      </c>
      <c r="X18" s="96">
        <v>221.38400000000036</v>
      </c>
      <c r="Y18" s="96">
        <v>2.5100226757369656E-2</v>
      </c>
      <c r="Z18" s="100">
        <v>245.47842105263194</v>
      </c>
      <c r="AA18" s="96">
        <v>2.7832020527509292E-2</v>
      </c>
      <c r="AB18" s="100">
        <v>999.15715789473836</v>
      </c>
      <c r="AC18" s="100">
        <v>0.1132831244778615</v>
      </c>
      <c r="AD18" s="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W18"/>
      <c r="AX18"/>
    </row>
    <row r="19" spans="1:50" x14ac:dyDescent="0.35">
      <c r="A19" s="47" t="s">
        <v>182</v>
      </c>
      <c r="B19" t="s">
        <v>188</v>
      </c>
      <c r="C19" s="48">
        <v>1</v>
      </c>
      <c r="D19" s="48">
        <v>1</v>
      </c>
      <c r="E19" s="48">
        <v>50000</v>
      </c>
      <c r="F19" s="48">
        <v>15.21</v>
      </c>
      <c r="G19" s="48">
        <v>84</v>
      </c>
      <c r="H19" s="46">
        <v>84</v>
      </c>
      <c r="J19">
        <v>1</v>
      </c>
      <c r="K19" s="48">
        <v>31</v>
      </c>
      <c r="L19">
        <v>1</v>
      </c>
      <c r="M19">
        <v>1</v>
      </c>
      <c r="N19" s="42">
        <v>1</v>
      </c>
      <c r="O19">
        <v>472</v>
      </c>
      <c r="P19" s="20">
        <v>0.05</v>
      </c>
      <c r="Q19">
        <v>8</v>
      </c>
      <c r="R19" s="42"/>
      <c r="S19" s="41">
        <v>1.01214574898785E-4</v>
      </c>
      <c r="T19" s="20">
        <v>15.21</v>
      </c>
      <c r="U19">
        <v>15.166666666666666</v>
      </c>
      <c r="V19" s="96">
        <v>5.1182186234817602</v>
      </c>
      <c r="W19" s="96">
        <v>6.0931174089068577E-2</v>
      </c>
      <c r="X19" s="96">
        <v>2.1286923076922992</v>
      </c>
      <c r="Y19" s="96">
        <v>2.5341575091574992E-2</v>
      </c>
      <c r="Z19" s="100">
        <v>2.3603694331983709</v>
      </c>
      <c r="AA19" s="96">
        <v>2.8099636109504417E-2</v>
      </c>
      <c r="AB19" s="100">
        <v>9.6072803643724303</v>
      </c>
      <c r="AC19" s="100">
        <v>0.11437238529014798</v>
      </c>
      <c r="AD19" s="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W19"/>
      <c r="AX19"/>
    </row>
    <row r="20" spans="1:50" x14ac:dyDescent="0.35">
      <c r="A20" s="47" t="s">
        <v>182</v>
      </c>
      <c r="B20" t="s">
        <v>189</v>
      </c>
      <c r="C20" s="48">
        <v>1</v>
      </c>
      <c r="D20" s="48">
        <v>1</v>
      </c>
      <c r="E20" s="48">
        <v>40082.474226804123</v>
      </c>
      <c r="F20" s="48">
        <v>10.65</v>
      </c>
      <c r="G20" s="48">
        <v>70</v>
      </c>
      <c r="H20" s="46">
        <v>6790</v>
      </c>
      <c r="J20">
        <v>97</v>
      </c>
      <c r="K20" s="48">
        <v>39</v>
      </c>
      <c r="L20">
        <v>3</v>
      </c>
      <c r="M20">
        <v>9</v>
      </c>
      <c r="N20" s="42">
        <v>1</v>
      </c>
      <c r="O20">
        <v>416</v>
      </c>
      <c r="P20" s="20">
        <v>3.89</v>
      </c>
      <c r="Q20">
        <v>8</v>
      </c>
      <c r="R20" s="42"/>
      <c r="S20" s="41">
        <v>7.8744939271254994E-3</v>
      </c>
      <c r="T20" s="20">
        <v>1033.05</v>
      </c>
      <c r="U20">
        <v>15.166666666666666</v>
      </c>
      <c r="V20" s="96">
        <v>398.19740890688223</v>
      </c>
      <c r="W20" s="96">
        <v>5.8644684669643919E-2</v>
      </c>
      <c r="X20" s="96">
        <v>165.61226153846141</v>
      </c>
      <c r="Y20" s="96">
        <v>2.4390612892262357E-2</v>
      </c>
      <c r="Z20" s="100">
        <v>183.63674190283385</v>
      </c>
      <c r="AA20" s="96">
        <v>2.7045175537972584E-2</v>
      </c>
      <c r="AB20" s="100">
        <v>747.44641234817755</v>
      </c>
      <c r="AC20" s="100">
        <v>0.11008047309987887</v>
      </c>
      <c r="AD20" s="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W20"/>
      <c r="AX20"/>
    </row>
    <row r="21" spans="1:50" x14ac:dyDescent="0.35">
      <c r="A21" s="47" t="s">
        <v>182</v>
      </c>
      <c r="B21" t="s">
        <v>190</v>
      </c>
      <c r="C21" s="48">
        <v>1</v>
      </c>
      <c r="D21" s="48">
        <v>1</v>
      </c>
      <c r="E21" s="48">
        <v>40082.474226804123</v>
      </c>
      <c r="F21" s="48">
        <v>10.65</v>
      </c>
      <c r="G21" s="48">
        <v>70</v>
      </c>
      <c r="H21" s="46">
        <v>6790</v>
      </c>
      <c r="J21">
        <v>97</v>
      </c>
      <c r="K21" s="48">
        <v>39</v>
      </c>
      <c r="L21">
        <v>3</v>
      </c>
      <c r="M21">
        <v>9</v>
      </c>
      <c r="N21" s="42">
        <v>1</v>
      </c>
      <c r="O21">
        <v>416</v>
      </c>
      <c r="P21" s="20">
        <v>3.89</v>
      </c>
      <c r="Q21">
        <v>8</v>
      </c>
      <c r="R21" s="42"/>
      <c r="S21" s="41">
        <v>7.8744939271254994E-3</v>
      </c>
      <c r="T21" s="20">
        <v>1033.05</v>
      </c>
      <c r="U21">
        <v>15.166666666666666</v>
      </c>
      <c r="V21" s="96">
        <v>398.19740890688223</v>
      </c>
      <c r="W21" s="96">
        <v>5.8644684669643919E-2</v>
      </c>
      <c r="X21" s="96">
        <v>165.61226153846141</v>
      </c>
      <c r="Y21" s="96">
        <v>2.4390612892262357E-2</v>
      </c>
      <c r="Z21" s="100">
        <v>183.63674190283385</v>
      </c>
      <c r="AA21" s="96">
        <v>2.7045175537972584E-2</v>
      </c>
      <c r="AB21" s="100">
        <v>747.44641234817755</v>
      </c>
      <c r="AC21" s="100">
        <v>0.11008047309987887</v>
      </c>
      <c r="AD21" s="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W21"/>
      <c r="AX21"/>
    </row>
    <row r="22" spans="1:50" x14ac:dyDescent="0.35">
      <c r="A22" s="47" t="s">
        <v>182</v>
      </c>
      <c r="B22" t="s">
        <v>191</v>
      </c>
      <c r="C22" s="48">
        <v>1</v>
      </c>
      <c r="D22" s="48">
        <v>1</v>
      </c>
      <c r="E22" s="48">
        <v>40000</v>
      </c>
      <c r="F22" s="48">
        <v>10.65</v>
      </c>
      <c r="G22" s="48">
        <v>70</v>
      </c>
      <c r="H22" s="46">
        <v>70</v>
      </c>
      <c r="J22">
        <v>1</v>
      </c>
      <c r="K22" s="48">
        <v>39</v>
      </c>
      <c r="L22">
        <v>1</v>
      </c>
      <c r="M22">
        <v>1</v>
      </c>
      <c r="N22" s="42">
        <v>1</v>
      </c>
      <c r="O22">
        <v>416</v>
      </c>
      <c r="P22" s="20">
        <v>0.04</v>
      </c>
      <c r="Q22">
        <v>8</v>
      </c>
      <c r="R22" s="42"/>
      <c r="S22" s="41">
        <v>8.0971659919028299E-5</v>
      </c>
      <c r="T22" s="20">
        <v>10.65</v>
      </c>
      <c r="U22">
        <v>15.166666666666666</v>
      </c>
      <c r="V22" s="96">
        <v>4.0945748987854227</v>
      </c>
      <c r="W22" s="96">
        <v>5.8493927125506037E-2</v>
      </c>
      <c r="X22" s="96">
        <v>1.7029538461538456</v>
      </c>
      <c r="Y22" s="96">
        <v>2.4327912087912081E-2</v>
      </c>
      <c r="Z22" s="100">
        <v>1.8882955465587035</v>
      </c>
      <c r="AA22" s="96">
        <v>2.6975650665124334E-2</v>
      </c>
      <c r="AB22" s="100">
        <v>7.6858242914979717</v>
      </c>
      <c r="AC22" s="100">
        <v>0.10979748987854246</v>
      </c>
      <c r="AD22" s="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W22"/>
      <c r="AX22"/>
    </row>
    <row r="23" spans="1:50" x14ac:dyDescent="0.35">
      <c r="A23" s="47" t="s">
        <v>182</v>
      </c>
      <c r="B23" t="s">
        <v>192</v>
      </c>
      <c r="C23" s="48">
        <v>1</v>
      </c>
      <c r="D23" s="48">
        <v>1</v>
      </c>
      <c r="E23" s="48">
        <v>40082.474226804123</v>
      </c>
      <c r="F23" s="48">
        <v>10.65</v>
      </c>
      <c r="G23" s="48">
        <v>70</v>
      </c>
      <c r="H23" s="46">
        <v>6790</v>
      </c>
      <c r="J23">
        <v>97</v>
      </c>
      <c r="K23" s="48">
        <v>39</v>
      </c>
      <c r="L23">
        <v>3</v>
      </c>
      <c r="M23">
        <v>9</v>
      </c>
      <c r="N23" s="42">
        <v>1</v>
      </c>
      <c r="O23">
        <v>416</v>
      </c>
      <c r="P23" s="20">
        <v>3.89</v>
      </c>
      <c r="Q23">
        <v>8</v>
      </c>
      <c r="R23" s="42"/>
      <c r="S23" s="41">
        <v>7.8744939271254994E-3</v>
      </c>
      <c r="T23" s="20">
        <v>1033.05</v>
      </c>
      <c r="U23">
        <v>15.166666666666666</v>
      </c>
      <c r="V23" s="96">
        <v>398.19740890688223</v>
      </c>
      <c r="W23" s="96">
        <v>5.8644684669643919E-2</v>
      </c>
      <c r="X23" s="96">
        <v>165.61226153846141</v>
      </c>
      <c r="Y23" s="96">
        <v>2.4390612892262357E-2</v>
      </c>
      <c r="Z23" s="100">
        <v>183.63674190283385</v>
      </c>
      <c r="AA23" s="96">
        <v>2.7045175537972584E-2</v>
      </c>
      <c r="AB23" s="100">
        <v>747.44641234817755</v>
      </c>
      <c r="AC23" s="100">
        <v>0.11008047309987887</v>
      </c>
      <c r="AD23" s="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W23"/>
      <c r="AX23"/>
    </row>
    <row r="24" spans="1:50" x14ac:dyDescent="0.35">
      <c r="A24" s="47" t="s">
        <v>182</v>
      </c>
      <c r="B24" t="s">
        <v>193</v>
      </c>
      <c r="C24" s="48">
        <v>1</v>
      </c>
      <c r="D24" s="48">
        <v>1</v>
      </c>
      <c r="E24" s="48">
        <v>40000</v>
      </c>
      <c r="F24" s="48">
        <v>10.65</v>
      </c>
      <c r="G24" s="48">
        <v>70</v>
      </c>
      <c r="H24" s="46">
        <v>70</v>
      </c>
      <c r="J24">
        <v>1</v>
      </c>
      <c r="K24" s="48">
        <v>39</v>
      </c>
      <c r="L24">
        <v>1</v>
      </c>
      <c r="M24">
        <v>1</v>
      </c>
      <c r="N24" s="42">
        <v>1</v>
      </c>
      <c r="O24">
        <v>416</v>
      </c>
      <c r="P24" s="20">
        <v>0.04</v>
      </c>
      <c r="Q24">
        <v>8</v>
      </c>
      <c r="R24" s="42"/>
      <c r="S24" s="41">
        <v>8.0971659919028299E-5</v>
      </c>
      <c r="T24" s="20">
        <v>10.65</v>
      </c>
      <c r="U24">
        <v>15.166666666666666</v>
      </c>
      <c r="V24" s="96">
        <v>4.0945748987854227</v>
      </c>
      <c r="W24" s="96">
        <v>5.8493927125506037E-2</v>
      </c>
      <c r="X24" s="96">
        <v>1.7029538461538456</v>
      </c>
      <c r="Y24" s="96">
        <v>2.4327912087912081E-2</v>
      </c>
      <c r="Z24" s="100">
        <v>1.8882955465587035</v>
      </c>
      <c r="AA24" s="96">
        <v>2.6975650665124334E-2</v>
      </c>
      <c r="AB24" s="100">
        <v>7.6858242914979717</v>
      </c>
      <c r="AC24" s="100">
        <v>0.10979748987854246</v>
      </c>
      <c r="AD24" s="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W24"/>
      <c r="AX24"/>
    </row>
    <row r="25" spans="1:50" x14ac:dyDescent="0.35">
      <c r="A25" s="47" t="s">
        <v>182</v>
      </c>
      <c r="B25" t="s">
        <v>194</v>
      </c>
      <c r="C25" s="48">
        <v>1</v>
      </c>
      <c r="D25" s="48">
        <v>1</v>
      </c>
      <c r="E25" s="48">
        <v>40082.474226804123</v>
      </c>
      <c r="F25" s="48">
        <v>10.65</v>
      </c>
      <c r="G25" s="48">
        <v>70</v>
      </c>
      <c r="H25" s="46">
        <v>6790</v>
      </c>
      <c r="J25">
        <v>97</v>
      </c>
      <c r="K25" s="48">
        <v>39</v>
      </c>
      <c r="L25">
        <v>3</v>
      </c>
      <c r="M25">
        <v>9</v>
      </c>
      <c r="N25" s="42">
        <v>1</v>
      </c>
      <c r="O25">
        <v>416</v>
      </c>
      <c r="P25" s="20">
        <v>3.89</v>
      </c>
      <c r="Q25">
        <v>8</v>
      </c>
      <c r="R25" s="42"/>
      <c r="S25" s="41">
        <v>7.8744939271254994E-3</v>
      </c>
      <c r="T25" s="20">
        <v>1033.05</v>
      </c>
      <c r="U25">
        <v>15.166666666666666</v>
      </c>
      <c r="V25" s="96">
        <v>398.19740890688223</v>
      </c>
      <c r="W25" s="96">
        <v>5.8644684669643919E-2</v>
      </c>
      <c r="X25" s="96">
        <v>165.61226153846141</v>
      </c>
      <c r="Y25" s="96">
        <v>2.4390612892262357E-2</v>
      </c>
      <c r="Z25" s="100">
        <v>183.63674190283385</v>
      </c>
      <c r="AA25" s="96">
        <v>2.7045175537972584E-2</v>
      </c>
      <c r="AB25" s="100">
        <v>747.44641234817755</v>
      </c>
      <c r="AC25" s="100">
        <v>0.11008047309987887</v>
      </c>
      <c r="AD25" s="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W25"/>
      <c r="AX25"/>
    </row>
    <row r="26" spans="1:50" x14ac:dyDescent="0.35">
      <c r="A26" s="47" t="s">
        <v>182</v>
      </c>
      <c r="B26" t="s">
        <v>195</v>
      </c>
      <c r="C26" s="48">
        <v>1</v>
      </c>
      <c r="D26" s="48">
        <v>1</v>
      </c>
      <c r="E26" s="48">
        <v>52000</v>
      </c>
      <c r="F26" s="48">
        <v>10.4</v>
      </c>
      <c r="G26" s="48">
        <v>72</v>
      </c>
      <c r="H26" s="46">
        <v>72</v>
      </c>
      <c r="J26">
        <v>1</v>
      </c>
      <c r="K26" s="48">
        <v>30</v>
      </c>
      <c r="L26">
        <v>1</v>
      </c>
      <c r="M26">
        <v>1</v>
      </c>
      <c r="N26" s="42">
        <v>1</v>
      </c>
      <c r="O26">
        <v>312</v>
      </c>
      <c r="P26" s="20">
        <v>0.05</v>
      </c>
      <c r="Q26">
        <v>8</v>
      </c>
      <c r="R26" s="42"/>
      <c r="S26" s="41">
        <v>1.01214574898785E-4</v>
      </c>
      <c r="T26" s="20">
        <v>10.4</v>
      </c>
      <c r="U26">
        <v>15.166666666666666</v>
      </c>
      <c r="V26" s="96">
        <v>5.1182186234817602</v>
      </c>
      <c r="W26" s="96">
        <v>7.1086369770579999E-2</v>
      </c>
      <c r="X26" s="96">
        <v>2.1286923076922992</v>
      </c>
      <c r="Y26" s="96">
        <v>2.9565170940170821E-2</v>
      </c>
      <c r="Z26" s="100">
        <v>2.3603694331983709</v>
      </c>
      <c r="AA26" s="96">
        <v>3.2782908794421819E-2</v>
      </c>
      <c r="AB26" s="100">
        <v>9.6072803643724303</v>
      </c>
      <c r="AC26" s="100">
        <v>0.13343444950517264</v>
      </c>
      <c r="AD26" s="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8"/>
      <c r="AX26"/>
    </row>
    <row r="27" spans="1:50" x14ac:dyDescent="0.35">
      <c r="A27" s="47" t="s">
        <v>182</v>
      </c>
      <c r="B27" t="s">
        <v>196</v>
      </c>
      <c r="C27" s="48">
        <v>1</v>
      </c>
      <c r="D27" s="48">
        <v>1</v>
      </c>
      <c r="E27" s="48">
        <v>52000</v>
      </c>
      <c r="F27" s="48">
        <v>10.4</v>
      </c>
      <c r="G27" s="48">
        <v>72</v>
      </c>
      <c r="H27" s="46">
        <v>72</v>
      </c>
      <c r="J27">
        <v>1</v>
      </c>
      <c r="K27" s="48">
        <v>30</v>
      </c>
      <c r="L27">
        <v>1</v>
      </c>
      <c r="M27">
        <v>1</v>
      </c>
      <c r="N27" s="42">
        <v>1</v>
      </c>
      <c r="O27">
        <v>312</v>
      </c>
      <c r="P27" s="20">
        <v>0.05</v>
      </c>
      <c r="Q27">
        <v>8</v>
      </c>
      <c r="R27" s="42"/>
      <c r="S27" s="41">
        <v>1.01214574898785E-4</v>
      </c>
      <c r="T27" s="20">
        <v>10.4</v>
      </c>
      <c r="U27">
        <v>15.166666666666666</v>
      </c>
      <c r="V27" s="96">
        <v>5.1182186234817602</v>
      </c>
      <c r="W27" s="96">
        <v>7.1086369770579999E-2</v>
      </c>
      <c r="X27" s="96">
        <v>2.1286923076922992</v>
      </c>
      <c r="Y27" s="96">
        <v>2.9565170940170821E-2</v>
      </c>
      <c r="Z27" s="100">
        <v>2.3603694331983709</v>
      </c>
      <c r="AA27" s="96">
        <v>3.2782908794421819E-2</v>
      </c>
      <c r="AB27" s="100">
        <v>9.6072803643724303</v>
      </c>
      <c r="AC27" s="100">
        <v>0.13343444950517264</v>
      </c>
      <c r="AD27" s="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8"/>
      <c r="AX27"/>
    </row>
    <row r="28" spans="1:50" x14ac:dyDescent="0.35">
      <c r="A28" s="47" t="s">
        <v>182</v>
      </c>
      <c r="B28" t="s">
        <v>197</v>
      </c>
      <c r="C28" s="48">
        <v>1</v>
      </c>
      <c r="D28" s="48">
        <v>1</v>
      </c>
      <c r="E28" s="48">
        <v>52000</v>
      </c>
      <c r="F28" s="48">
        <v>10.4</v>
      </c>
      <c r="G28" s="48">
        <v>72</v>
      </c>
      <c r="H28" s="46">
        <v>72</v>
      </c>
      <c r="J28">
        <v>1</v>
      </c>
      <c r="K28" s="48">
        <v>30</v>
      </c>
      <c r="L28">
        <v>1</v>
      </c>
      <c r="M28">
        <v>1</v>
      </c>
      <c r="N28" s="42">
        <v>1</v>
      </c>
      <c r="O28">
        <v>312</v>
      </c>
      <c r="P28" s="20">
        <v>0.05</v>
      </c>
      <c r="Q28">
        <v>8</v>
      </c>
      <c r="R28" s="42"/>
      <c r="S28" s="41">
        <v>1.01214574898785E-4</v>
      </c>
      <c r="T28" s="20">
        <v>10.4</v>
      </c>
      <c r="U28">
        <v>15.166666666666666</v>
      </c>
      <c r="V28" s="96">
        <v>5.1182186234817602</v>
      </c>
      <c r="W28" s="96">
        <v>7.1086369770579999E-2</v>
      </c>
      <c r="X28" s="96">
        <v>2.1286923076922992</v>
      </c>
      <c r="Y28" s="96">
        <v>2.9565170940170821E-2</v>
      </c>
      <c r="Z28" s="100">
        <v>2.3603694331983709</v>
      </c>
      <c r="AA28" s="96">
        <v>3.2782908794421819E-2</v>
      </c>
      <c r="AB28" s="100">
        <v>9.6072803643724303</v>
      </c>
      <c r="AC28" s="100">
        <v>0.13343444950517264</v>
      </c>
      <c r="AD28" s="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8"/>
      <c r="AX28"/>
    </row>
    <row r="29" spans="1:50" x14ac:dyDescent="0.35">
      <c r="A29" s="47" t="s">
        <v>182</v>
      </c>
      <c r="B29" t="s">
        <v>198</v>
      </c>
      <c r="C29" s="48">
        <v>1</v>
      </c>
      <c r="D29" s="48">
        <v>1</v>
      </c>
      <c r="E29" s="48">
        <v>52000</v>
      </c>
      <c r="F29" s="48">
        <v>10.4</v>
      </c>
      <c r="G29" s="48">
        <v>72</v>
      </c>
      <c r="H29" s="46">
        <v>72</v>
      </c>
      <c r="J29">
        <v>1</v>
      </c>
      <c r="K29" s="48">
        <v>30</v>
      </c>
      <c r="L29">
        <v>1</v>
      </c>
      <c r="M29">
        <v>1</v>
      </c>
      <c r="N29" s="42">
        <v>1</v>
      </c>
      <c r="O29">
        <v>312</v>
      </c>
      <c r="P29" s="20">
        <v>0.05</v>
      </c>
      <c r="Q29">
        <v>8</v>
      </c>
      <c r="R29" s="42"/>
      <c r="S29" s="41">
        <v>1.01214574898785E-4</v>
      </c>
      <c r="T29" s="20">
        <v>10.4</v>
      </c>
      <c r="U29">
        <v>15.166666666666666</v>
      </c>
      <c r="V29" s="96">
        <v>5.1182186234817602</v>
      </c>
      <c r="W29" s="96">
        <v>7.1086369770579999E-2</v>
      </c>
      <c r="X29" s="96">
        <v>2.1286923076922992</v>
      </c>
      <c r="Y29" s="96">
        <v>2.9565170940170821E-2</v>
      </c>
      <c r="Z29" s="100">
        <v>2.3603694331983709</v>
      </c>
      <c r="AA29" s="96">
        <v>3.2782908794421819E-2</v>
      </c>
      <c r="AB29" s="100">
        <v>9.6072803643724303</v>
      </c>
      <c r="AC29" s="100">
        <v>0.13343444950517264</v>
      </c>
      <c r="AD29" s="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8"/>
      <c r="AX29"/>
    </row>
    <row r="30" spans="1:50" x14ac:dyDescent="0.35">
      <c r="A30" s="47" t="s">
        <v>182</v>
      </c>
      <c r="B30" t="s">
        <v>199</v>
      </c>
      <c r="C30" s="48">
        <v>1</v>
      </c>
      <c r="D30" s="48">
        <v>1</v>
      </c>
      <c r="E30" s="48">
        <v>52000</v>
      </c>
      <c r="F30" s="48">
        <v>10.4</v>
      </c>
      <c r="G30" s="48">
        <v>72</v>
      </c>
      <c r="H30" s="46">
        <v>72</v>
      </c>
      <c r="J30">
        <v>1</v>
      </c>
      <c r="K30" s="48">
        <v>30</v>
      </c>
      <c r="L30">
        <v>1</v>
      </c>
      <c r="M30">
        <v>1</v>
      </c>
      <c r="N30" s="42">
        <v>1</v>
      </c>
      <c r="O30">
        <v>312</v>
      </c>
      <c r="P30" s="20">
        <v>0.05</v>
      </c>
      <c r="Q30">
        <v>8</v>
      </c>
      <c r="R30" s="42"/>
      <c r="S30" s="41">
        <v>1.01214574898785E-4</v>
      </c>
      <c r="T30" s="20">
        <v>10.4</v>
      </c>
      <c r="U30">
        <v>15.166666666666666</v>
      </c>
      <c r="V30" s="96">
        <v>5.1182186234817602</v>
      </c>
      <c r="W30" s="96">
        <v>7.1086369770579999E-2</v>
      </c>
      <c r="X30" s="96">
        <v>2.1286923076922992</v>
      </c>
      <c r="Y30" s="96">
        <v>2.9565170940170821E-2</v>
      </c>
      <c r="Z30" s="100">
        <v>2.3603694331983709</v>
      </c>
      <c r="AA30" s="96">
        <v>3.2782908794421819E-2</v>
      </c>
      <c r="AB30" s="100">
        <v>9.6072803643724303</v>
      </c>
      <c r="AC30" s="100">
        <v>0.13343444950517264</v>
      </c>
      <c r="AD30" s="8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8"/>
      <c r="AX30"/>
    </row>
    <row r="31" spans="1:50" x14ac:dyDescent="0.35">
      <c r="A31" s="47" t="s">
        <v>182</v>
      </c>
      <c r="B31" t="s">
        <v>200</v>
      </c>
      <c r="C31" s="48">
        <v>1</v>
      </c>
      <c r="D31" s="48">
        <v>1</v>
      </c>
      <c r="E31" s="48">
        <v>52000</v>
      </c>
      <c r="F31" s="48">
        <v>10.4</v>
      </c>
      <c r="G31" s="48">
        <v>72</v>
      </c>
      <c r="H31" s="46">
        <v>72</v>
      </c>
      <c r="J31">
        <v>1</v>
      </c>
      <c r="K31" s="48">
        <v>30</v>
      </c>
      <c r="L31">
        <v>1</v>
      </c>
      <c r="M31">
        <v>1</v>
      </c>
      <c r="N31" s="42">
        <v>1</v>
      </c>
      <c r="O31">
        <v>312</v>
      </c>
      <c r="P31" s="20">
        <v>0.05</v>
      </c>
      <c r="Q31">
        <v>8</v>
      </c>
      <c r="R31" s="42"/>
      <c r="S31" s="41">
        <v>1.01214574898785E-4</v>
      </c>
      <c r="T31" s="20">
        <v>10.4</v>
      </c>
      <c r="U31">
        <v>15.166666666666666</v>
      </c>
      <c r="V31" s="96">
        <v>5.1182186234817602</v>
      </c>
      <c r="W31" s="96">
        <v>7.1086369770579999E-2</v>
      </c>
      <c r="X31" s="96">
        <v>2.1286923076922992</v>
      </c>
      <c r="Y31" s="96">
        <v>2.9565170940170821E-2</v>
      </c>
      <c r="Z31" s="100">
        <v>2.3603694331983709</v>
      </c>
      <c r="AA31" s="96">
        <v>3.2782908794421819E-2</v>
      </c>
      <c r="AB31" s="100">
        <v>9.6072803643724303</v>
      </c>
      <c r="AC31" s="100">
        <v>0.13343444950517264</v>
      </c>
      <c r="AD31" s="8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8"/>
      <c r="AX31"/>
    </row>
    <row r="32" spans="1:50" x14ac:dyDescent="0.35">
      <c r="A32" s="47" t="s">
        <v>182</v>
      </c>
      <c r="B32" t="s">
        <v>201</v>
      </c>
      <c r="C32" s="48">
        <v>1</v>
      </c>
      <c r="D32" s="48">
        <v>1</v>
      </c>
      <c r="E32" s="48">
        <v>37060.377358490565</v>
      </c>
      <c r="F32" s="48">
        <v>13.790000000000001</v>
      </c>
      <c r="G32" s="48">
        <v>40</v>
      </c>
      <c r="H32" s="46">
        <v>10600</v>
      </c>
      <c r="J32">
        <v>265</v>
      </c>
      <c r="K32" s="48">
        <v>42</v>
      </c>
      <c r="L32">
        <v>7</v>
      </c>
      <c r="M32">
        <v>23</v>
      </c>
      <c r="N32" s="42">
        <v>2</v>
      </c>
      <c r="O32">
        <v>580</v>
      </c>
      <c r="P32" s="20">
        <v>9.82</v>
      </c>
      <c r="Q32">
        <v>8</v>
      </c>
      <c r="R32" s="42"/>
      <c r="S32" s="41">
        <v>1.9878542510121399E-2</v>
      </c>
      <c r="T32" s="20">
        <v>3654.3500000000004</v>
      </c>
      <c r="U32">
        <v>15.166666666666666</v>
      </c>
      <c r="V32" s="96">
        <v>1005.2181376518189</v>
      </c>
      <c r="W32" s="96">
        <v>9.4831899778473477E-2</v>
      </c>
      <c r="X32" s="96">
        <v>418.07516923076804</v>
      </c>
      <c r="Y32" s="96">
        <v>3.9441053701015853E-2</v>
      </c>
      <c r="Z32" s="100">
        <v>463.57655668016059</v>
      </c>
      <c r="AA32" s="96">
        <v>4.3733637422656658E-2</v>
      </c>
      <c r="AB32" s="100">
        <v>1886.8698635627475</v>
      </c>
      <c r="AC32" s="100">
        <v>0.17800659090214599</v>
      </c>
      <c r="AD32" s="8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8"/>
      <c r="AX32"/>
    </row>
    <row r="33" spans="1:50" x14ac:dyDescent="0.35">
      <c r="A33" s="47" t="s">
        <v>182</v>
      </c>
      <c r="B33" t="s">
        <v>202</v>
      </c>
      <c r="C33" s="48">
        <v>1</v>
      </c>
      <c r="D33" s="48">
        <v>1</v>
      </c>
      <c r="E33" s="48">
        <v>37000</v>
      </c>
      <c r="F33" s="48">
        <v>13.79</v>
      </c>
      <c r="G33" s="48">
        <v>40</v>
      </c>
      <c r="H33" s="46">
        <v>40</v>
      </c>
      <c r="J33">
        <v>1</v>
      </c>
      <c r="K33" s="48">
        <v>42</v>
      </c>
      <c r="L33">
        <v>1</v>
      </c>
      <c r="M33">
        <v>1</v>
      </c>
      <c r="N33" s="42">
        <v>1</v>
      </c>
      <c r="O33">
        <v>580</v>
      </c>
      <c r="P33" s="20">
        <v>0.04</v>
      </c>
      <c r="Q33">
        <v>8</v>
      </c>
      <c r="R33" s="42"/>
      <c r="S33" s="41">
        <v>8.0971659919028299E-5</v>
      </c>
      <c r="T33" s="20">
        <v>13.79</v>
      </c>
      <c r="U33">
        <v>15.166666666666666</v>
      </c>
      <c r="V33" s="96">
        <v>4.0945748987854227</v>
      </c>
      <c r="W33" s="96">
        <v>0.10236437246963556</v>
      </c>
      <c r="X33" s="96">
        <v>1.7029538461538456</v>
      </c>
      <c r="Y33" s="96">
        <v>4.2573846153846143E-2</v>
      </c>
      <c r="Z33" s="100">
        <v>1.8882955465587035</v>
      </c>
      <c r="AA33" s="96">
        <v>4.7207388663967585E-2</v>
      </c>
      <c r="AB33" s="100">
        <v>7.6858242914979717</v>
      </c>
      <c r="AC33" s="100">
        <v>0.19214560728744928</v>
      </c>
      <c r="AD33" s="8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8"/>
      <c r="AX33"/>
    </row>
    <row r="34" spans="1:50" x14ac:dyDescent="0.35">
      <c r="A34" s="47" t="s">
        <v>182</v>
      </c>
      <c r="B34" t="s">
        <v>203</v>
      </c>
      <c r="C34" s="48">
        <v>1</v>
      </c>
      <c r="D34" s="48">
        <v>1</v>
      </c>
      <c r="E34" s="48">
        <v>37000</v>
      </c>
      <c r="F34" s="48">
        <v>13.79</v>
      </c>
      <c r="G34" s="48">
        <v>40</v>
      </c>
      <c r="H34" s="46">
        <v>40</v>
      </c>
      <c r="J34">
        <v>1</v>
      </c>
      <c r="K34" s="48">
        <v>42</v>
      </c>
      <c r="L34">
        <v>1</v>
      </c>
      <c r="M34">
        <v>1</v>
      </c>
      <c r="N34" s="42">
        <v>1</v>
      </c>
      <c r="O34">
        <v>580</v>
      </c>
      <c r="P34" s="20">
        <v>0.04</v>
      </c>
      <c r="Q34">
        <v>8</v>
      </c>
      <c r="R34" s="42"/>
      <c r="S34" s="41">
        <v>8.0971659919028299E-5</v>
      </c>
      <c r="T34" s="20">
        <v>13.79</v>
      </c>
      <c r="U34">
        <v>15.166666666666666</v>
      </c>
      <c r="V34" s="96">
        <v>4.0945748987854227</v>
      </c>
      <c r="W34" s="96">
        <v>0.10236437246963556</v>
      </c>
      <c r="X34" s="96">
        <v>1.7029538461538456</v>
      </c>
      <c r="Y34" s="96">
        <v>4.2573846153846143E-2</v>
      </c>
      <c r="Z34" s="100">
        <v>1.8882955465587035</v>
      </c>
      <c r="AA34" s="96">
        <v>4.7207388663967585E-2</v>
      </c>
      <c r="AB34" s="100">
        <v>7.6858242914979717</v>
      </c>
      <c r="AC34" s="100">
        <v>0.19214560728744928</v>
      </c>
      <c r="AD34" s="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8"/>
      <c r="AX34"/>
    </row>
    <row r="35" spans="1:50" x14ac:dyDescent="0.35">
      <c r="A35" s="47" t="s">
        <v>182</v>
      </c>
      <c r="B35" t="s">
        <v>204</v>
      </c>
      <c r="C35" s="48">
        <v>1</v>
      </c>
      <c r="D35" s="48">
        <v>1</v>
      </c>
      <c r="E35" s="48">
        <v>37060.702875399358</v>
      </c>
      <c r="F35" s="48">
        <v>13.790000000000001</v>
      </c>
      <c r="G35" s="48">
        <v>40</v>
      </c>
      <c r="H35" s="46">
        <v>12520</v>
      </c>
      <c r="J35">
        <v>313</v>
      </c>
      <c r="K35" s="48">
        <v>42</v>
      </c>
      <c r="L35">
        <v>8</v>
      </c>
      <c r="M35">
        <v>27</v>
      </c>
      <c r="N35" s="42">
        <v>2</v>
      </c>
      <c r="O35">
        <v>580</v>
      </c>
      <c r="P35" s="20">
        <v>11.6</v>
      </c>
      <c r="Q35">
        <v>8</v>
      </c>
      <c r="R35" s="42"/>
      <c r="S35" s="41">
        <v>2.3481781376518199E-2</v>
      </c>
      <c r="T35" s="20">
        <v>4316.2700000000004</v>
      </c>
      <c r="U35">
        <v>15.166666666666666</v>
      </c>
      <c r="V35" s="96">
        <v>1187.4267206477723</v>
      </c>
      <c r="W35" s="96">
        <v>9.4842389828096826E-2</v>
      </c>
      <c r="X35" s="96">
        <v>493.85661538461505</v>
      </c>
      <c r="Y35" s="96">
        <v>3.9445416564266381E-2</v>
      </c>
      <c r="Z35" s="100">
        <v>547.60570850202384</v>
      </c>
      <c r="AA35" s="96">
        <v>4.3738475119969956E-2</v>
      </c>
      <c r="AB35" s="100">
        <v>2228.8890445344114</v>
      </c>
      <c r="AC35" s="100">
        <v>0.17802628151233318</v>
      </c>
      <c r="AD35" s="8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8"/>
      <c r="AX35"/>
    </row>
    <row r="36" spans="1:50" x14ac:dyDescent="0.35">
      <c r="A36" s="47" t="s">
        <v>182</v>
      </c>
      <c r="B36" t="s">
        <v>205</v>
      </c>
      <c r="C36" s="48">
        <v>1</v>
      </c>
      <c r="D36" s="48">
        <v>1</v>
      </c>
      <c r="E36" s="48">
        <v>37000</v>
      </c>
      <c r="F36" s="48">
        <v>13.79</v>
      </c>
      <c r="G36" s="48">
        <v>40</v>
      </c>
      <c r="H36" s="46">
        <v>40</v>
      </c>
      <c r="J36">
        <v>1</v>
      </c>
      <c r="K36" s="48">
        <v>42</v>
      </c>
      <c r="L36">
        <v>1</v>
      </c>
      <c r="M36">
        <v>1</v>
      </c>
      <c r="N36" s="42">
        <v>1</v>
      </c>
      <c r="O36">
        <v>580</v>
      </c>
      <c r="P36" s="20">
        <v>0.04</v>
      </c>
      <c r="Q36">
        <v>8</v>
      </c>
      <c r="R36" s="42"/>
      <c r="S36" s="41">
        <v>8.0971659919028299E-5</v>
      </c>
      <c r="T36" s="20">
        <v>13.79</v>
      </c>
      <c r="U36">
        <v>15.166666666666666</v>
      </c>
      <c r="V36" s="96">
        <v>4.0945748987854227</v>
      </c>
      <c r="W36" s="96">
        <v>0.10236437246963556</v>
      </c>
      <c r="X36" s="96">
        <v>1.7029538461538456</v>
      </c>
      <c r="Y36" s="96">
        <v>4.2573846153846143E-2</v>
      </c>
      <c r="Z36" s="100">
        <v>1.8882955465587035</v>
      </c>
      <c r="AA36" s="96">
        <v>4.7207388663967585E-2</v>
      </c>
      <c r="AB36" s="100">
        <v>7.6858242914979717</v>
      </c>
      <c r="AC36" s="100">
        <v>0.19214560728744928</v>
      </c>
      <c r="AD36" s="8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8"/>
      <c r="AX36"/>
    </row>
    <row r="37" spans="1:50" x14ac:dyDescent="0.35">
      <c r="A37" s="47" t="s">
        <v>182</v>
      </c>
      <c r="B37" t="s">
        <v>206</v>
      </c>
      <c r="C37" s="48">
        <v>1</v>
      </c>
      <c r="D37" s="48">
        <v>1</v>
      </c>
      <c r="E37" s="48">
        <v>37058.171745152358</v>
      </c>
      <c r="F37" s="48">
        <v>13.790000000000001</v>
      </c>
      <c r="G37" s="48">
        <v>40</v>
      </c>
      <c r="H37" s="46">
        <v>14440</v>
      </c>
      <c r="J37">
        <v>361</v>
      </c>
      <c r="K37" s="48">
        <v>42</v>
      </c>
      <c r="L37">
        <v>9</v>
      </c>
      <c r="M37">
        <v>31</v>
      </c>
      <c r="N37" s="42">
        <v>3</v>
      </c>
      <c r="O37">
        <v>580</v>
      </c>
      <c r="P37" s="20">
        <v>13.38</v>
      </c>
      <c r="Q37">
        <v>8</v>
      </c>
      <c r="R37" s="42"/>
      <c r="S37" s="41">
        <v>2.7085020242914998E-2</v>
      </c>
      <c r="T37" s="20">
        <v>4978.1900000000005</v>
      </c>
      <c r="U37">
        <v>15.166666666666666</v>
      </c>
      <c r="V37" s="96">
        <v>1369.6353036437256</v>
      </c>
      <c r="W37" s="96">
        <v>9.4850090280036395E-2</v>
      </c>
      <c r="X37" s="96">
        <v>569.63806153846201</v>
      </c>
      <c r="Y37" s="96">
        <v>3.9448619220115097E-2</v>
      </c>
      <c r="Z37" s="100">
        <v>631.6348603238871</v>
      </c>
      <c r="AA37" s="96">
        <v>4.3742026338219331E-2</v>
      </c>
      <c r="AB37" s="100">
        <v>2570.9082255060748</v>
      </c>
      <c r="AC37" s="100">
        <v>0.17804073583837082</v>
      </c>
      <c r="AD37" s="8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8"/>
      <c r="AX37"/>
    </row>
    <row r="38" spans="1:50" x14ac:dyDescent="0.35">
      <c r="A38" s="47" t="s">
        <v>182</v>
      </c>
      <c r="B38" t="s">
        <v>207</v>
      </c>
      <c r="C38" s="48">
        <v>1</v>
      </c>
      <c r="D38" s="48">
        <v>1</v>
      </c>
      <c r="E38" s="48">
        <v>30181.818181818177</v>
      </c>
      <c r="F38" s="48">
        <v>14.950000000000001</v>
      </c>
      <c r="G38" s="48">
        <v>24</v>
      </c>
      <c r="H38" s="46">
        <v>12144</v>
      </c>
      <c r="J38">
        <v>506</v>
      </c>
      <c r="K38" s="48">
        <v>52</v>
      </c>
      <c r="L38">
        <v>10</v>
      </c>
      <c r="M38">
        <v>43</v>
      </c>
      <c r="N38" s="42">
        <v>3</v>
      </c>
      <c r="O38">
        <v>778</v>
      </c>
      <c r="P38" s="20">
        <v>15.27</v>
      </c>
      <c r="Q38">
        <v>8</v>
      </c>
      <c r="R38" s="42"/>
      <c r="S38" s="41">
        <v>3.09109311740891E-2</v>
      </c>
      <c r="T38" s="20">
        <v>7564.7000000000007</v>
      </c>
      <c r="U38">
        <v>15.166666666666666</v>
      </c>
      <c r="V38" s="96">
        <v>1563.1039676113376</v>
      </c>
      <c r="W38" s="96">
        <v>0.1287140948296556</v>
      </c>
      <c r="X38" s="96">
        <v>650.1026307692315</v>
      </c>
      <c r="Y38" s="96">
        <v>5.3532825326847125E-2</v>
      </c>
      <c r="Z38" s="100">
        <v>720.85682489878616</v>
      </c>
      <c r="AA38" s="96">
        <v>5.9359092959386212E-2</v>
      </c>
      <c r="AB38" s="100">
        <v>2934.0634232793554</v>
      </c>
      <c r="AC38" s="100">
        <v>0.24160601311588892</v>
      </c>
      <c r="AD38" s="8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8"/>
      <c r="AX38"/>
    </row>
    <row r="39" spans="1:50" x14ac:dyDescent="0.35">
      <c r="A39" s="47" t="s">
        <v>182</v>
      </c>
      <c r="B39" t="s">
        <v>208</v>
      </c>
      <c r="C39" s="48">
        <v>1</v>
      </c>
      <c r="D39" s="48">
        <v>1</v>
      </c>
      <c r="E39" s="48">
        <v>30183.937823834196</v>
      </c>
      <c r="F39" s="48">
        <v>14.950000000000001</v>
      </c>
      <c r="G39" s="48">
        <v>24</v>
      </c>
      <c r="H39" s="46">
        <v>9264</v>
      </c>
      <c r="J39">
        <v>386</v>
      </c>
      <c r="K39" s="48">
        <v>52</v>
      </c>
      <c r="L39">
        <v>8</v>
      </c>
      <c r="M39">
        <v>33</v>
      </c>
      <c r="N39" s="42">
        <v>2</v>
      </c>
      <c r="O39">
        <v>778</v>
      </c>
      <c r="P39" s="20">
        <v>11.65</v>
      </c>
      <c r="Q39">
        <v>8</v>
      </c>
      <c r="R39" s="42"/>
      <c r="S39" s="41">
        <v>2.3582995951417E-2</v>
      </c>
      <c r="T39" s="20">
        <v>5770.7000000000007</v>
      </c>
      <c r="U39">
        <v>15.166666666666666</v>
      </c>
      <c r="V39" s="96">
        <v>1192.5449392712549</v>
      </c>
      <c r="W39" s="96">
        <v>0.12872894422185394</v>
      </c>
      <c r="X39" s="96">
        <v>495.98530769230769</v>
      </c>
      <c r="Y39" s="96">
        <v>5.353900126212302E-2</v>
      </c>
      <c r="Z39" s="100">
        <v>549.96607793522264</v>
      </c>
      <c r="AA39" s="96">
        <v>5.9365941055183793E-2</v>
      </c>
      <c r="AB39" s="100">
        <v>2238.4963248987851</v>
      </c>
      <c r="AC39" s="100">
        <v>0.24163388653916074</v>
      </c>
      <c r="AD39" s="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8"/>
      <c r="AX39"/>
    </row>
    <row r="40" spans="1:50" x14ac:dyDescent="0.35">
      <c r="A40" s="47" t="s">
        <v>182</v>
      </c>
      <c r="B40" t="s">
        <v>209</v>
      </c>
      <c r="C40" s="48">
        <v>1</v>
      </c>
      <c r="D40" s="48">
        <v>1</v>
      </c>
      <c r="E40" s="48">
        <v>30000</v>
      </c>
      <c r="F40" s="48">
        <v>14.95</v>
      </c>
      <c r="G40" s="48">
        <v>24</v>
      </c>
      <c r="H40" s="46">
        <v>48</v>
      </c>
      <c r="J40">
        <v>2</v>
      </c>
      <c r="K40" s="48">
        <v>52</v>
      </c>
      <c r="L40">
        <v>1</v>
      </c>
      <c r="M40">
        <v>1</v>
      </c>
      <c r="N40" s="42">
        <v>1</v>
      </c>
      <c r="O40">
        <v>778</v>
      </c>
      <c r="P40" s="20">
        <v>0.06</v>
      </c>
      <c r="Q40">
        <v>8</v>
      </c>
      <c r="R40" s="42"/>
      <c r="S40" s="41">
        <v>1.21457489878542E-4</v>
      </c>
      <c r="T40" s="20">
        <v>29.9</v>
      </c>
      <c r="U40">
        <v>15.166666666666666</v>
      </c>
      <c r="V40" s="96">
        <v>6.1418623481781118</v>
      </c>
      <c r="W40" s="96">
        <v>0.12795546558704399</v>
      </c>
      <c r="X40" s="96">
        <v>2.5544307692307591</v>
      </c>
      <c r="Y40" s="96">
        <v>5.3217307692307481E-2</v>
      </c>
      <c r="Z40" s="100">
        <v>2.832443319838045</v>
      </c>
      <c r="AA40" s="96">
        <v>5.9009235829959268E-2</v>
      </c>
      <c r="AB40" s="100">
        <v>11.528736437246916</v>
      </c>
      <c r="AC40" s="100">
        <v>0.24018200910931073</v>
      </c>
      <c r="AD40" s="8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8"/>
      <c r="AX40"/>
    </row>
    <row r="41" spans="1:50" x14ac:dyDescent="0.35">
      <c r="A41" s="47" t="s">
        <v>182</v>
      </c>
      <c r="B41" t="s">
        <v>210</v>
      </c>
      <c r="C41" s="48">
        <v>1</v>
      </c>
      <c r="D41" s="48">
        <v>1</v>
      </c>
      <c r="E41" s="48">
        <v>30183.706070287539</v>
      </c>
      <c r="F41" s="48">
        <v>14.950000000000001</v>
      </c>
      <c r="G41" s="48">
        <v>24</v>
      </c>
      <c r="H41" s="46">
        <v>15024</v>
      </c>
      <c r="J41">
        <v>626</v>
      </c>
      <c r="K41" s="48">
        <v>52</v>
      </c>
      <c r="L41">
        <v>13</v>
      </c>
      <c r="M41">
        <v>53</v>
      </c>
      <c r="N41" s="42">
        <v>4</v>
      </c>
      <c r="O41">
        <v>778</v>
      </c>
      <c r="P41" s="20">
        <v>18.899999999999999</v>
      </c>
      <c r="Q41">
        <v>8</v>
      </c>
      <c r="R41" s="42"/>
      <c r="S41" s="41">
        <v>3.8259109311740903E-2</v>
      </c>
      <c r="T41" s="20">
        <v>9358.7000000000007</v>
      </c>
      <c r="U41">
        <v>15.166666666666666</v>
      </c>
      <c r="V41" s="96">
        <v>1934.6866396761141</v>
      </c>
      <c r="W41" s="96">
        <v>0.12877307239590749</v>
      </c>
      <c r="X41" s="96">
        <v>804.64569230769268</v>
      </c>
      <c r="Y41" s="96">
        <v>5.3557354386827252E-2</v>
      </c>
      <c r="Z41" s="100">
        <v>892.21964574898823</v>
      </c>
      <c r="AA41" s="96">
        <v>5.9386291649959282E-2</v>
      </c>
      <c r="AB41" s="100">
        <v>3631.551977732795</v>
      </c>
      <c r="AC41" s="100">
        <v>0.24171671843269402</v>
      </c>
      <c r="AD41" s="8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8"/>
      <c r="AX41"/>
    </row>
    <row r="42" spans="1:50" x14ac:dyDescent="0.35">
      <c r="A42" s="47" t="s">
        <v>182</v>
      </c>
      <c r="B42" t="s">
        <v>211</v>
      </c>
      <c r="C42" s="48">
        <v>1</v>
      </c>
      <c r="D42" s="48">
        <v>1</v>
      </c>
      <c r="E42" s="48">
        <v>30000</v>
      </c>
      <c r="F42" s="48">
        <v>14.95</v>
      </c>
      <c r="G42" s="48">
        <v>24</v>
      </c>
      <c r="H42" s="46">
        <v>48</v>
      </c>
      <c r="J42">
        <v>2</v>
      </c>
      <c r="K42" s="48">
        <v>52</v>
      </c>
      <c r="L42">
        <v>1</v>
      </c>
      <c r="M42">
        <v>1</v>
      </c>
      <c r="N42" s="42">
        <v>1</v>
      </c>
      <c r="O42">
        <v>778</v>
      </c>
      <c r="P42" s="20">
        <v>0.06</v>
      </c>
      <c r="Q42">
        <v>8</v>
      </c>
      <c r="R42" s="42"/>
      <c r="S42" s="41">
        <v>1.21457489878542E-4</v>
      </c>
      <c r="T42" s="20">
        <v>29.9</v>
      </c>
      <c r="U42">
        <v>15.166666666666666</v>
      </c>
      <c r="V42" s="96">
        <v>6.1418623481781118</v>
      </c>
      <c r="W42" s="96">
        <v>0.12795546558704399</v>
      </c>
      <c r="X42" s="96">
        <v>2.5544307692307591</v>
      </c>
      <c r="Y42" s="96">
        <v>5.3217307692307481E-2</v>
      </c>
      <c r="Z42" s="100">
        <v>2.832443319838045</v>
      </c>
      <c r="AA42" s="96">
        <v>5.9009235829959268E-2</v>
      </c>
      <c r="AB42" s="100">
        <v>11.528736437246916</v>
      </c>
      <c r="AC42" s="100">
        <v>0.24018200910931073</v>
      </c>
      <c r="AD42" s="8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8"/>
      <c r="AX42"/>
    </row>
    <row r="43" spans="1:50" x14ac:dyDescent="0.35">
      <c r="A43" s="47" t="s">
        <v>182</v>
      </c>
      <c r="B43" t="s">
        <v>212</v>
      </c>
      <c r="C43" s="48">
        <v>1</v>
      </c>
      <c r="D43" s="48">
        <v>1</v>
      </c>
      <c r="E43" s="48">
        <v>30183.794466403164</v>
      </c>
      <c r="F43" s="48">
        <v>14.950000000000001</v>
      </c>
      <c r="G43" s="48">
        <v>24</v>
      </c>
      <c r="H43" s="46">
        <v>12144</v>
      </c>
      <c r="J43">
        <v>506</v>
      </c>
      <c r="K43" s="48">
        <v>52</v>
      </c>
      <c r="L43">
        <v>10</v>
      </c>
      <c r="M43">
        <v>43</v>
      </c>
      <c r="N43" s="42">
        <v>3</v>
      </c>
      <c r="O43">
        <v>778</v>
      </c>
      <c r="P43" s="20">
        <v>15.27</v>
      </c>
      <c r="Q43">
        <v>8</v>
      </c>
      <c r="R43" s="42"/>
      <c r="S43" s="41">
        <v>3.09109311740891E-2</v>
      </c>
      <c r="T43" s="20">
        <v>7564.7000000000007</v>
      </c>
      <c r="U43">
        <v>15.166666666666666</v>
      </c>
      <c r="V43" s="96">
        <v>1563.1039676113376</v>
      </c>
      <c r="W43" s="96">
        <v>0.1287140948296556</v>
      </c>
      <c r="X43" s="96">
        <v>650.1026307692315</v>
      </c>
      <c r="Y43" s="96">
        <v>5.3532825326847125E-2</v>
      </c>
      <c r="Z43" s="100">
        <v>720.85682489878616</v>
      </c>
      <c r="AA43" s="96">
        <v>5.9359092959386212E-2</v>
      </c>
      <c r="AB43" s="100">
        <v>2934.0634232793554</v>
      </c>
      <c r="AC43" s="100">
        <v>0.24160601311588892</v>
      </c>
      <c r="AD43" s="8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8"/>
      <c r="AX43"/>
    </row>
    <row r="44" spans="1:50" x14ac:dyDescent="0.35">
      <c r="A44" s="47" t="s">
        <v>182</v>
      </c>
      <c r="B44" t="s">
        <v>213</v>
      </c>
      <c r="C44" s="48">
        <v>1</v>
      </c>
      <c r="D44" s="48">
        <v>1</v>
      </c>
      <c r="E44" s="48">
        <v>51000</v>
      </c>
      <c r="F44" s="48">
        <v>4.63</v>
      </c>
      <c r="G44" s="48">
        <v>84</v>
      </c>
      <c r="H44" s="46">
        <v>84</v>
      </c>
      <c r="J44">
        <v>1</v>
      </c>
      <c r="K44" s="48">
        <v>31</v>
      </c>
      <c r="L44">
        <v>1</v>
      </c>
      <c r="M44">
        <v>1</v>
      </c>
      <c r="N44" s="42">
        <v>1</v>
      </c>
      <c r="O44">
        <v>144</v>
      </c>
      <c r="P44" s="20">
        <v>0.05</v>
      </c>
      <c r="Q44">
        <v>8</v>
      </c>
      <c r="R44" s="42"/>
      <c r="S44" s="41">
        <v>1.01214574898785E-4</v>
      </c>
      <c r="T44" s="20">
        <v>4.63</v>
      </c>
      <c r="U44">
        <v>15.166666666666666</v>
      </c>
      <c r="V44" s="96">
        <v>5.1182186234817602</v>
      </c>
      <c r="W44" s="96">
        <v>6.0931174089068577E-2</v>
      </c>
      <c r="X44" s="96">
        <v>2.1286923076922992</v>
      </c>
      <c r="Y44" s="96">
        <v>2.5341575091574992E-2</v>
      </c>
      <c r="Z44" s="100">
        <v>2.3603694331983709</v>
      </c>
      <c r="AA44" s="96">
        <v>2.8099636109504417E-2</v>
      </c>
      <c r="AB44" s="100">
        <v>9.6072803643724303</v>
      </c>
      <c r="AC44" s="100">
        <v>0.11437238529014798</v>
      </c>
      <c r="AD44" s="8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8"/>
      <c r="AX44"/>
    </row>
    <row r="45" spans="1:50" x14ac:dyDescent="0.35">
      <c r="A45" s="47" t="s">
        <v>182</v>
      </c>
      <c r="B45" t="s">
        <v>214</v>
      </c>
      <c r="C45" s="48">
        <v>1</v>
      </c>
      <c r="D45" s="48">
        <v>1</v>
      </c>
      <c r="E45" s="48">
        <v>51000</v>
      </c>
      <c r="F45" s="48">
        <v>4.63</v>
      </c>
      <c r="G45" s="48">
        <v>84</v>
      </c>
      <c r="H45" s="46">
        <v>84</v>
      </c>
      <c r="J45">
        <v>1</v>
      </c>
      <c r="K45" s="48">
        <v>31</v>
      </c>
      <c r="L45">
        <v>1</v>
      </c>
      <c r="M45">
        <v>1</v>
      </c>
      <c r="N45" s="42">
        <v>1</v>
      </c>
      <c r="O45">
        <v>144</v>
      </c>
      <c r="P45" s="20">
        <v>0.05</v>
      </c>
      <c r="Q45">
        <v>8</v>
      </c>
      <c r="R45" s="42"/>
      <c r="S45" s="41">
        <v>1.01214574898785E-4</v>
      </c>
      <c r="T45" s="20">
        <v>4.63</v>
      </c>
      <c r="U45">
        <v>15.166666666666666</v>
      </c>
      <c r="V45" s="96">
        <v>5.1182186234817602</v>
      </c>
      <c r="W45" s="96">
        <v>6.0931174089068577E-2</v>
      </c>
      <c r="X45" s="96">
        <v>2.1286923076922992</v>
      </c>
      <c r="Y45" s="96">
        <v>2.5341575091574992E-2</v>
      </c>
      <c r="Z45" s="100">
        <v>2.3603694331983709</v>
      </c>
      <c r="AA45" s="96">
        <v>2.8099636109504417E-2</v>
      </c>
      <c r="AB45" s="100">
        <v>9.6072803643724303</v>
      </c>
      <c r="AC45" s="100">
        <v>0.11437238529014798</v>
      </c>
      <c r="AD45" s="8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8"/>
      <c r="AX45"/>
    </row>
    <row r="46" spans="1:50" x14ac:dyDescent="0.35">
      <c r="A46" s="47" t="s">
        <v>182</v>
      </c>
      <c r="B46" t="s">
        <v>215</v>
      </c>
      <c r="C46" s="48">
        <v>1</v>
      </c>
      <c r="D46" s="48">
        <v>1</v>
      </c>
      <c r="E46" s="48">
        <v>51000</v>
      </c>
      <c r="F46" s="48">
        <v>4.63</v>
      </c>
      <c r="G46" s="48">
        <v>84</v>
      </c>
      <c r="H46" s="46">
        <v>84</v>
      </c>
      <c r="J46">
        <v>1</v>
      </c>
      <c r="K46" s="48">
        <v>31</v>
      </c>
      <c r="L46">
        <v>1</v>
      </c>
      <c r="M46">
        <v>1</v>
      </c>
      <c r="N46" s="42">
        <v>1</v>
      </c>
      <c r="O46">
        <v>144</v>
      </c>
      <c r="P46" s="20">
        <v>0.05</v>
      </c>
      <c r="Q46">
        <v>8</v>
      </c>
      <c r="R46" s="42"/>
      <c r="S46" s="41">
        <v>1.01214574898785E-4</v>
      </c>
      <c r="T46" s="20">
        <v>4.63</v>
      </c>
      <c r="U46">
        <v>15.166666666666666</v>
      </c>
      <c r="V46" s="96">
        <v>5.1182186234817602</v>
      </c>
      <c r="W46" s="96">
        <v>6.0931174089068577E-2</v>
      </c>
      <c r="X46" s="96">
        <v>2.1286923076922992</v>
      </c>
      <c r="Y46" s="96">
        <v>2.5341575091574992E-2</v>
      </c>
      <c r="Z46" s="100">
        <v>2.3603694331983709</v>
      </c>
      <c r="AA46" s="96">
        <v>2.8099636109504417E-2</v>
      </c>
      <c r="AB46" s="100">
        <v>9.6072803643724303</v>
      </c>
      <c r="AC46" s="100">
        <v>0.11437238529014798</v>
      </c>
      <c r="AD46" s="8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8"/>
      <c r="AX46"/>
    </row>
    <row r="47" spans="1:50" x14ac:dyDescent="0.35">
      <c r="A47" s="47" t="s">
        <v>182</v>
      </c>
      <c r="B47" t="s">
        <v>216</v>
      </c>
      <c r="C47" s="48">
        <v>1</v>
      </c>
      <c r="D47" s="48">
        <v>1</v>
      </c>
      <c r="E47" s="48">
        <v>51000</v>
      </c>
      <c r="F47" s="48">
        <v>4.63</v>
      </c>
      <c r="G47" s="48">
        <v>84</v>
      </c>
      <c r="H47" s="46">
        <v>84</v>
      </c>
      <c r="J47">
        <v>1</v>
      </c>
      <c r="K47" s="48">
        <v>31</v>
      </c>
      <c r="L47">
        <v>1</v>
      </c>
      <c r="M47">
        <v>1</v>
      </c>
      <c r="N47" s="42">
        <v>1</v>
      </c>
      <c r="O47">
        <v>144</v>
      </c>
      <c r="P47" s="20">
        <v>0.05</v>
      </c>
      <c r="Q47">
        <v>8</v>
      </c>
      <c r="R47" s="42"/>
      <c r="S47" s="41">
        <v>1.01214574898785E-4</v>
      </c>
      <c r="T47" s="20">
        <v>4.63</v>
      </c>
      <c r="U47">
        <v>15.166666666666666</v>
      </c>
      <c r="V47" s="96">
        <v>5.1182186234817602</v>
      </c>
      <c r="W47" s="96">
        <v>6.0931174089068577E-2</v>
      </c>
      <c r="X47" s="96">
        <v>2.1286923076922992</v>
      </c>
      <c r="Y47" s="96">
        <v>2.5341575091574992E-2</v>
      </c>
      <c r="Z47" s="100">
        <v>2.3603694331983709</v>
      </c>
      <c r="AA47" s="96">
        <v>2.8099636109504417E-2</v>
      </c>
      <c r="AB47" s="100">
        <v>9.6072803643724303</v>
      </c>
      <c r="AC47" s="100">
        <v>0.11437238529014798</v>
      </c>
      <c r="AD47" s="8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8"/>
      <c r="AX47"/>
    </row>
    <row r="48" spans="1:50" x14ac:dyDescent="0.35">
      <c r="A48" s="47" t="s">
        <v>182</v>
      </c>
      <c r="B48" t="s">
        <v>217</v>
      </c>
      <c r="C48" s="48">
        <v>1</v>
      </c>
      <c r="D48" s="48">
        <v>1</v>
      </c>
      <c r="E48" s="48">
        <v>51000</v>
      </c>
      <c r="F48" s="48">
        <v>4.63</v>
      </c>
      <c r="G48" s="48">
        <v>84</v>
      </c>
      <c r="H48" s="46">
        <v>84</v>
      </c>
      <c r="J48">
        <v>1</v>
      </c>
      <c r="K48" s="48">
        <v>31</v>
      </c>
      <c r="L48">
        <v>1</v>
      </c>
      <c r="M48">
        <v>1</v>
      </c>
      <c r="N48" s="42">
        <v>1</v>
      </c>
      <c r="O48">
        <v>144</v>
      </c>
      <c r="P48" s="20">
        <v>0.05</v>
      </c>
      <c r="Q48">
        <v>8</v>
      </c>
      <c r="R48" s="42"/>
      <c r="S48" s="41">
        <v>1.01214574898785E-4</v>
      </c>
      <c r="T48" s="20">
        <v>4.63</v>
      </c>
      <c r="U48">
        <v>15.166666666666666</v>
      </c>
      <c r="V48" s="96">
        <v>5.1182186234817602</v>
      </c>
      <c r="W48" s="96">
        <v>6.0931174089068577E-2</v>
      </c>
      <c r="X48" s="96">
        <v>2.1286923076922992</v>
      </c>
      <c r="Y48" s="96">
        <v>2.5341575091574992E-2</v>
      </c>
      <c r="Z48" s="100">
        <v>2.3603694331983709</v>
      </c>
      <c r="AA48" s="96">
        <v>2.8099636109504417E-2</v>
      </c>
      <c r="AB48" s="100">
        <v>9.6072803643724303</v>
      </c>
      <c r="AC48" s="100">
        <v>0.11437238529014798</v>
      </c>
      <c r="AD48" s="8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8"/>
      <c r="AX48"/>
    </row>
    <row r="49" spans="1:50" x14ac:dyDescent="0.35">
      <c r="A49" s="47" t="s">
        <v>182</v>
      </c>
      <c r="B49" t="s">
        <v>218</v>
      </c>
      <c r="C49" s="48">
        <v>1</v>
      </c>
      <c r="D49" s="48">
        <v>1</v>
      </c>
      <c r="E49" s="48">
        <v>51000</v>
      </c>
      <c r="F49" s="48">
        <v>4.63</v>
      </c>
      <c r="G49" s="48">
        <v>84</v>
      </c>
      <c r="H49" s="46">
        <v>84</v>
      </c>
      <c r="J49">
        <v>1</v>
      </c>
      <c r="K49" s="48">
        <v>31</v>
      </c>
      <c r="L49">
        <v>1</v>
      </c>
      <c r="M49">
        <v>1</v>
      </c>
      <c r="N49" s="42">
        <v>1</v>
      </c>
      <c r="O49">
        <v>144</v>
      </c>
      <c r="P49" s="20">
        <v>0.05</v>
      </c>
      <c r="Q49">
        <v>8</v>
      </c>
      <c r="R49" s="42"/>
      <c r="S49" s="41">
        <v>1.01214574898785E-4</v>
      </c>
      <c r="T49" s="20">
        <v>4.63</v>
      </c>
      <c r="U49">
        <v>15.166666666666666</v>
      </c>
      <c r="V49" s="96">
        <v>5.1182186234817602</v>
      </c>
      <c r="W49" s="96">
        <v>6.0931174089068577E-2</v>
      </c>
      <c r="X49" s="96">
        <v>2.1286923076922992</v>
      </c>
      <c r="Y49" s="96">
        <v>2.5341575091574992E-2</v>
      </c>
      <c r="Z49" s="100">
        <v>2.3603694331983709</v>
      </c>
      <c r="AA49" s="96">
        <v>2.8099636109504417E-2</v>
      </c>
      <c r="AB49" s="100">
        <v>9.6072803643724303</v>
      </c>
      <c r="AC49" s="100">
        <v>0.11437238529014798</v>
      </c>
      <c r="AD49" s="8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8"/>
      <c r="AX49"/>
    </row>
    <row r="50" spans="1:50" x14ac:dyDescent="0.35">
      <c r="C50" s="49"/>
      <c r="D50" s="49"/>
      <c r="E50" s="49"/>
      <c r="F50" s="49"/>
      <c r="G50" s="49"/>
      <c r="H50" s="50"/>
      <c r="J50">
        <f>SUM(J2:J49)</f>
        <v>13500</v>
      </c>
      <c r="K50" s="49"/>
      <c r="L50">
        <f>SUM(L2:L49)</f>
        <v>353</v>
      </c>
      <c r="M50">
        <f>SUM(M2:M49)</f>
        <v>1167</v>
      </c>
      <c r="P50" s="20">
        <f>SUM(P2:P49)</f>
        <v>494.00000000000017</v>
      </c>
      <c r="Q50" s="4">
        <f>SUM(Q2:Q49)</f>
        <v>384</v>
      </c>
      <c r="R50" s="39">
        <f>SUM(R2:R49)</f>
        <v>0</v>
      </c>
      <c r="S50" s="45"/>
      <c r="T50" s="20">
        <f>SUM(T2:T49)</f>
        <v>193739.25999999995</v>
      </c>
      <c r="U50"/>
      <c r="V50" s="96">
        <f>SUM(V2:V49)</f>
        <v>50567.999999999949</v>
      </c>
      <c r="X50" s="96">
        <f>SUM(X2:X49)</f>
        <v>21031.479999999981</v>
      </c>
      <c r="Z50" s="96">
        <f>SUM(Z2:Z49)</f>
        <v>23320.44999999999</v>
      </c>
      <c r="AB50" s="96">
        <f>SUM(AB2:AB49)</f>
        <v>94919.930000000051</v>
      </c>
      <c r="AD50" s="44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8"/>
      <c r="AX50"/>
    </row>
    <row r="51" spans="1:50" x14ac:dyDescent="0.35">
      <c r="C51" s="49"/>
      <c r="D51" s="49"/>
      <c r="E51" s="49"/>
      <c r="F51" s="49"/>
      <c r="G51" s="49"/>
      <c r="H51" s="46"/>
      <c r="K51" s="49"/>
      <c r="S51" s="20"/>
      <c r="U51" s="53"/>
      <c r="AE51" s="20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50" x14ac:dyDescent="0.35">
      <c r="C52" s="49"/>
      <c r="D52" s="49"/>
      <c r="E52" s="49"/>
      <c r="F52" s="49"/>
      <c r="G52" s="49"/>
      <c r="H52" s="46"/>
      <c r="K52" s="49"/>
      <c r="S52" s="20"/>
      <c r="U52" s="53"/>
      <c r="AE52" s="20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50" x14ac:dyDescent="0.35">
      <c r="C53" s="49"/>
      <c r="D53" s="49"/>
      <c r="E53" s="49"/>
      <c r="F53" s="49"/>
      <c r="G53" s="49"/>
      <c r="H53" s="46"/>
      <c r="K53" s="49"/>
      <c r="S53" s="20"/>
      <c r="U53" s="53"/>
      <c r="AE53" s="20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50" x14ac:dyDescent="0.35">
      <c r="C54" s="49"/>
      <c r="D54" s="49"/>
      <c r="E54" s="49"/>
      <c r="F54" s="49"/>
      <c r="G54" s="49"/>
      <c r="H54" s="46"/>
      <c r="K54" s="49"/>
      <c r="S54" s="20"/>
      <c r="U54" s="53"/>
      <c r="AE54" s="20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50" x14ac:dyDescent="0.35">
      <c r="C55" s="49"/>
      <c r="D55" s="49"/>
      <c r="E55" s="49"/>
      <c r="F55" s="49"/>
      <c r="G55" s="49"/>
      <c r="H55" s="46"/>
      <c r="K55" s="49"/>
      <c r="S55" s="20"/>
      <c r="U55" s="53"/>
      <c r="AE55" s="20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50" x14ac:dyDescent="0.35">
      <c r="C56" s="49"/>
      <c r="D56" s="49"/>
      <c r="E56" s="49"/>
      <c r="F56" s="49"/>
      <c r="G56" s="49"/>
      <c r="H56" s="46"/>
      <c r="K56" s="49"/>
      <c r="S56" s="20"/>
      <c r="U56" s="53"/>
      <c r="AE56" s="20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50" x14ac:dyDescent="0.35">
      <c r="C57" s="49"/>
      <c r="D57" s="49"/>
      <c r="E57" s="49"/>
      <c r="F57" s="49"/>
      <c r="G57" s="49"/>
      <c r="H57" s="46"/>
      <c r="K57" s="49"/>
      <c r="S57" s="20"/>
      <c r="U57" s="53"/>
      <c r="AE57" s="20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50" x14ac:dyDescent="0.35">
      <c r="C58" s="49"/>
      <c r="D58" s="49"/>
      <c r="E58" s="49"/>
      <c r="F58" s="49"/>
      <c r="G58" s="49"/>
      <c r="H58" s="46"/>
      <c r="K58" s="49"/>
      <c r="S58" s="20"/>
      <c r="U58" s="53"/>
      <c r="AE58" s="20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50" x14ac:dyDescent="0.35">
      <c r="C59" s="49"/>
      <c r="D59" s="49"/>
      <c r="E59" s="49"/>
      <c r="F59" s="49"/>
      <c r="H59" s="46"/>
      <c r="K59" s="49"/>
      <c r="S59" s="20"/>
      <c r="U59" s="53"/>
      <c r="AE59" s="20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50" x14ac:dyDescent="0.35">
      <c r="C60" s="49"/>
      <c r="D60" s="49"/>
      <c r="E60" s="49"/>
      <c r="F60" s="49"/>
      <c r="H60" s="46"/>
      <c r="K60" s="49"/>
      <c r="S60" s="20"/>
      <c r="U60" s="53"/>
      <c r="AE60" s="20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50" x14ac:dyDescent="0.35">
      <c r="C61" s="49"/>
      <c r="D61" s="49"/>
      <c r="E61" s="49"/>
      <c r="F61" s="49"/>
      <c r="H61" s="46"/>
      <c r="K61" s="49"/>
      <c r="S61" s="20"/>
      <c r="U61" s="53"/>
      <c r="AE61" s="20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50" x14ac:dyDescent="0.35">
      <c r="C62" s="49"/>
      <c r="D62" s="49"/>
      <c r="E62" s="49"/>
      <c r="F62" s="49"/>
      <c r="H62" s="46"/>
      <c r="S62" s="20"/>
      <c r="U62" s="53"/>
      <c r="AE62" s="20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50" x14ac:dyDescent="0.35">
      <c r="C63" s="49"/>
      <c r="D63" s="49"/>
      <c r="E63" s="49"/>
      <c r="F63" s="49"/>
      <c r="S63" s="20"/>
      <c r="U63" s="53"/>
      <c r="AE63" s="20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50" x14ac:dyDescent="0.35">
      <c r="S64" s="20"/>
      <c r="U64" s="53"/>
      <c r="AE64" s="20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9:48" x14ac:dyDescent="0.35">
      <c r="S65" s="20"/>
      <c r="U65" s="53"/>
      <c r="AE65" s="20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9:48" x14ac:dyDescent="0.35">
      <c r="S66" s="20"/>
      <c r="U66" s="53"/>
      <c r="AE66" s="20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9:48" x14ac:dyDescent="0.35">
      <c r="S67" s="20"/>
      <c r="U67" s="53"/>
      <c r="AE67" s="20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9:48" x14ac:dyDescent="0.35">
      <c r="S68" s="20"/>
      <c r="U68" s="53"/>
      <c r="AE68" s="20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9:48" x14ac:dyDescent="0.35">
      <c r="S69" s="20"/>
      <c r="U69" s="53"/>
      <c r="AE69" s="20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9:48" x14ac:dyDescent="0.35">
      <c r="S70" s="20"/>
      <c r="U70" s="53"/>
      <c r="AE70" s="20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9:48" x14ac:dyDescent="0.35">
      <c r="S71" s="20"/>
      <c r="U71" s="53"/>
      <c r="AE71" s="20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9:48" x14ac:dyDescent="0.35">
      <c r="S72" s="20"/>
      <c r="U72" s="53"/>
      <c r="AE72" s="20"/>
      <c r="AP72" s="39"/>
      <c r="AQ72" s="39"/>
      <c r="AR72" s="39"/>
      <c r="AS72" s="39"/>
      <c r="AT72" s="39"/>
      <c r="AU72" s="39"/>
      <c r="AV72" s="39"/>
    </row>
    <row r="73" spans="19:48" x14ac:dyDescent="0.35">
      <c r="S73" s="20"/>
      <c r="U73" s="53"/>
      <c r="AE73" s="20"/>
      <c r="AP73" s="39"/>
      <c r="AQ73" s="39"/>
      <c r="AR73" s="39"/>
      <c r="AS73" s="39"/>
      <c r="AT73" s="39"/>
      <c r="AU73" s="39"/>
      <c r="AV73" s="39"/>
    </row>
    <row r="74" spans="19:48" x14ac:dyDescent="0.35">
      <c r="S74" s="20"/>
      <c r="U74" s="53"/>
      <c r="AE74" s="20"/>
      <c r="AP74" s="39"/>
      <c r="AQ74" s="39"/>
      <c r="AR74" s="39"/>
      <c r="AS74" s="39"/>
      <c r="AT74" s="39"/>
      <c r="AU74" s="39"/>
      <c r="AV74" s="39"/>
    </row>
    <row r="75" spans="19:48" x14ac:dyDescent="0.35">
      <c r="S75" s="20"/>
      <c r="U75" s="53"/>
      <c r="AE75" s="20"/>
      <c r="AP75" s="39"/>
      <c r="AQ75" s="39"/>
      <c r="AR75" s="39"/>
      <c r="AS75" s="39"/>
      <c r="AT75" s="39"/>
      <c r="AU75" s="39"/>
      <c r="AV75" s="39"/>
    </row>
    <row r="76" spans="19:48" x14ac:dyDescent="0.35">
      <c r="S76" s="20"/>
      <c r="U76" s="53"/>
      <c r="AE76" s="20"/>
      <c r="AP76" s="39"/>
      <c r="AQ76" s="39"/>
      <c r="AR76" s="39"/>
      <c r="AS76" s="39"/>
      <c r="AT76" s="39"/>
      <c r="AU76" s="39"/>
      <c r="AV76" s="39"/>
    </row>
    <row r="77" spans="19:48" x14ac:dyDescent="0.35">
      <c r="S77" s="20"/>
      <c r="U77" s="53"/>
      <c r="AE77" s="20"/>
      <c r="AP77" s="39"/>
      <c r="AQ77" s="39"/>
      <c r="AR77" s="39"/>
      <c r="AS77" s="39"/>
      <c r="AT77" s="39"/>
      <c r="AU77" s="39"/>
      <c r="AV77" s="39"/>
    </row>
    <row r="78" spans="19:48" x14ac:dyDescent="0.35">
      <c r="S78" s="20"/>
      <c r="U78" s="53"/>
      <c r="AE78" s="20"/>
      <c r="AR78" s="39"/>
      <c r="AS78" s="39"/>
      <c r="AT78" s="39"/>
      <c r="AU78" s="39"/>
      <c r="AV78" s="39"/>
    </row>
    <row r="79" spans="19:48" x14ac:dyDescent="0.35">
      <c r="S79" s="20"/>
      <c r="U79" s="53"/>
      <c r="AE79" s="20"/>
      <c r="AR79" s="39"/>
      <c r="AS79" s="39"/>
      <c r="AT79" s="39"/>
      <c r="AU79" s="39"/>
      <c r="AV79" s="39"/>
    </row>
    <row r="80" spans="19:48" x14ac:dyDescent="0.35">
      <c r="S80" s="20"/>
      <c r="U80" s="53"/>
      <c r="AE80" s="20"/>
      <c r="AR80" s="39"/>
      <c r="AS80" s="39"/>
      <c r="AT80" s="39"/>
      <c r="AU80" s="39"/>
      <c r="AV80" s="39"/>
    </row>
    <row r="81" spans="19:48" x14ac:dyDescent="0.35">
      <c r="S81" s="20"/>
      <c r="U81" s="53"/>
      <c r="AE81" s="20"/>
      <c r="AR81" s="39"/>
      <c r="AS81" s="39"/>
      <c r="AT81" s="39"/>
      <c r="AU81" s="39"/>
      <c r="AV81" s="39"/>
    </row>
    <row r="82" spans="19:48" x14ac:dyDescent="0.35">
      <c r="S82" s="20"/>
      <c r="U82" s="53"/>
      <c r="AE82" s="20"/>
      <c r="AR82" s="39"/>
      <c r="AS82" s="39"/>
      <c r="AT82" s="39"/>
      <c r="AU82" s="39"/>
      <c r="AV82" s="39"/>
    </row>
    <row r="83" spans="19:48" x14ac:dyDescent="0.35">
      <c r="S83" s="20"/>
      <c r="U83" s="53"/>
      <c r="AE83" s="20"/>
      <c r="AR83" s="39"/>
      <c r="AS83" s="39"/>
      <c r="AT83" s="39"/>
      <c r="AU83" s="39"/>
      <c r="AV83" s="39"/>
    </row>
    <row r="84" spans="19:48" x14ac:dyDescent="0.35">
      <c r="S84" s="20"/>
      <c r="U84" s="53"/>
      <c r="AE84" s="20"/>
      <c r="AR84" s="39"/>
      <c r="AS84" s="39"/>
      <c r="AT84" s="39"/>
      <c r="AU84" s="39"/>
      <c r="AV84" s="39"/>
    </row>
    <row r="85" spans="19:48" x14ac:dyDescent="0.35">
      <c r="S85" s="20"/>
      <c r="U85" s="53"/>
      <c r="AE85" s="20"/>
      <c r="AR85" s="39"/>
      <c r="AS85" s="39"/>
      <c r="AT85" s="39"/>
      <c r="AU85" s="39"/>
      <c r="AV85" s="39"/>
    </row>
    <row r="86" spans="19:48" x14ac:dyDescent="0.35">
      <c r="S86" s="20"/>
      <c r="U86" s="53"/>
      <c r="AE86" s="20"/>
      <c r="AR86" s="39"/>
      <c r="AS86" s="39"/>
      <c r="AT86" s="39"/>
      <c r="AU86" s="39"/>
      <c r="AV86" s="39"/>
    </row>
    <row r="87" spans="19:48" x14ac:dyDescent="0.35">
      <c r="S87" s="20"/>
      <c r="U87" s="53"/>
      <c r="AE87" s="20"/>
      <c r="AR87" s="39"/>
      <c r="AS87" s="39"/>
      <c r="AT87" s="39"/>
      <c r="AU87" s="39"/>
      <c r="AV87" s="39"/>
    </row>
    <row r="88" spans="19:48" x14ac:dyDescent="0.35">
      <c r="S88" s="20"/>
      <c r="U88" s="53"/>
      <c r="AE88" s="20"/>
      <c r="AR88" s="39"/>
      <c r="AS88" s="39"/>
      <c r="AT88" s="39"/>
      <c r="AU88" s="39"/>
      <c r="AV88" s="39"/>
    </row>
    <row r="89" spans="19:48" x14ac:dyDescent="0.35">
      <c r="S89" s="20"/>
      <c r="U89" s="53"/>
      <c r="AE89" s="20"/>
      <c r="AR89" s="39"/>
      <c r="AS89" s="39"/>
      <c r="AT89" s="39"/>
      <c r="AU89" s="39"/>
      <c r="AV89" s="39"/>
    </row>
    <row r="90" spans="19:48" x14ac:dyDescent="0.35">
      <c r="S90" s="20"/>
      <c r="U90" s="53"/>
      <c r="AE90" s="20"/>
      <c r="AR90" s="39"/>
      <c r="AS90" s="39"/>
      <c r="AT90" s="39"/>
      <c r="AU90" s="39"/>
      <c r="AV90" s="39"/>
    </row>
    <row r="91" spans="19:48" x14ac:dyDescent="0.35">
      <c r="S91" s="20"/>
      <c r="U91" s="53"/>
      <c r="AE91" s="20"/>
      <c r="AR91" s="39"/>
      <c r="AS91" s="39"/>
      <c r="AT91" s="39"/>
      <c r="AU91" s="39"/>
      <c r="AV91" s="39"/>
    </row>
    <row r="92" spans="19:48" x14ac:dyDescent="0.35">
      <c r="S92" s="20"/>
      <c r="U92" s="53"/>
      <c r="AE92" s="20"/>
      <c r="AR92" s="39"/>
      <c r="AS92" s="39"/>
      <c r="AT92" s="39"/>
      <c r="AU92" s="39"/>
      <c r="AV92" s="39"/>
    </row>
    <row r="93" spans="19:48" x14ac:dyDescent="0.35">
      <c r="S93" s="20"/>
      <c r="U93" s="53"/>
      <c r="AE93" s="20"/>
      <c r="AR93" s="39"/>
      <c r="AS93" s="39"/>
      <c r="AT93" s="39"/>
      <c r="AU93" s="39"/>
      <c r="AV93" s="39"/>
    </row>
    <row r="94" spans="19:48" x14ac:dyDescent="0.35">
      <c r="S94" s="20"/>
      <c r="U94" s="53"/>
      <c r="AE94" s="20"/>
      <c r="AU94" s="40"/>
      <c r="AV94" s="40"/>
    </row>
    <row r="95" spans="19:48" x14ac:dyDescent="0.35">
      <c r="S95" s="20"/>
      <c r="AE95" s="20"/>
      <c r="AU95" s="40"/>
      <c r="AV95" s="40"/>
    </row>
    <row r="96" spans="19:48" x14ac:dyDescent="0.35">
      <c r="S96" s="20"/>
      <c r="AE96" s="20"/>
      <c r="AU96" s="40"/>
      <c r="AV96" s="40"/>
    </row>
    <row r="97" spans="19:48" x14ac:dyDescent="0.35">
      <c r="S97" s="20"/>
      <c r="AE97" s="20"/>
      <c r="AU97" s="40"/>
      <c r="AV97" s="40"/>
    </row>
    <row r="98" spans="19:48" x14ac:dyDescent="0.35">
      <c r="S98" s="20"/>
      <c r="AE98" s="20"/>
      <c r="AU98" s="40"/>
      <c r="AV98" s="40"/>
    </row>
    <row r="99" spans="19:48" x14ac:dyDescent="0.35">
      <c r="S99" s="20"/>
      <c r="AE99" s="20"/>
      <c r="AU99" s="40"/>
      <c r="AV99" s="40"/>
    </row>
    <row r="100" spans="19:48" x14ac:dyDescent="0.35">
      <c r="S100" s="20"/>
      <c r="AE100" s="20"/>
      <c r="AU100" s="40"/>
      <c r="AV100" s="40"/>
    </row>
    <row r="101" spans="19:48" x14ac:dyDescent="0.35">
      <c r="S101" s="20"/>
      <c r="AE101" s="20"/>
      <c r="AU101" s="40"/>
      <c r="AV101" s="40"/>
    </row>
    <row r="102" spans="19:48" x14ac:dyDescent="0.35">
      <c r="S102" s="20"/>
      <c r="AE102" s="20"/>
      <c r="AU102" s="40"/>
      <c r="AV102" s="40"/>
    </row>
    <row r="103" spans="19:48" x14ac:dyDescent="0.35">
      <c r="S103" s="20"/>
      <c r="AE103" s="20"/>
      <c r="AU103" s="40"/>
      <c r="AV103" s="40"/>
    </row>
    <row r="104" spans="19:48" x14ac:dyDescent="0.35">
      <c r="S104" s="20"/>
      <c r="AE104" s="20"/>
      <c r="AU104" s="40"/>
      <c r="AV104" s="40"/>
    </row>
    <row r="105" spans="19:48" x14ac:dyDescent="0.35">
      <c r="S105" s="20"/>
      <c r="AE105" s="20"/>
      <c r="AU105" s="40"/>
      <c r="AV105" s="40"/>
    </row>
    <row r="106" spans="19:48" x14ac:dyDescent="0.35">
      <c r="S106" s="20"/>
      <c r="AE106" s="20"/>
      <c r="AU106" s="40"/>
      <c r="AV106" s="40"/>
    </row>
    <row r="107" spans="19:48" x14ac:dyDescent="0.35">
      <c r="S107" s="20"/>
      <c r="AE107" s="20"/>
      <c r="AU107" s="40"/>
      <c r="AV107" s="40"/>
    </row>
    <row r="108" spans="19:48" x14ac:dyDescent="0.35">
      <c r="S108" s="20"/>
      <c r="AE108" s="20"/>
      <c r="AU108" s="40"/>
      <c r="AV108" s="40"/>
    </row>
    <row r="109" spans="19:48" x14ac:dyDescent="0.35">
      <c r="S109" s="20"/>
      <c r="AE109" s="20"/>
      <c r="AU109" s="40"/>
      <c r="AV109" s="40"/>
    </row>
    <row r="110" spans="19:48" x14ac:dyDescent="0.35">
      <c r="S110" s="20"/>
      <c r="AE110" s="20"/>
      <c r="AU110" s="40"/>
      <c r="AV110" s="40"/>
    </row>
    <row r="111" spans="19:48" x14ac:dyDescent="0.35">
      <c r="S111" s="20"/>
      <c r="AE111" s="20"/>
      <c r="AU111" s="40"/>
      <c r="AV111" s="40"/>
    </row>
    <row r="112" spans="19:48" x14ac:dyDescent="0.35">
      <c r="S112" s="20"/>
      <c r="AE112" s="20"/>
      <c r="AU112" s="40"/>
      <c r="AV112" s="40"/>
    </row>
    <row r="113" spans="19:48" x14ac:dyDescent="0.35">
      <c r="S113" s="20"/>
      <c r="AE113" s="20"/>
      <c r="AU113" s="40"/>
      <c r="AV113" s="40"/>
    </row>
    <row r="114" spans="19:48" x14ac:dyDescent="0.35">
      <c r="S114" s="20"/>
      <c r="AE114" s="20"/>
      <c r="AU114" s="40"/>
      <c r="AV114" s="40"/>
    </row>
    <row r="115" spans="19:48" x14ac:dyDescent="0.35">
      <c r="S115" s="20"/>
      <c r="AE115" s="20"/>
      <c r="AU115" s="40"/>
      <c r="AV115" s="40"/>
    </row>
    <row r="116" spans="19:48" x14ac:dyDescent="0.35">
      <c r="S116" s="20"/>
      <c r="AE116" s="20"/>
      <c r="AU116" s="40"/>
      <c r="AV116" s="40"/>
    </row>
    <row r="117" spans="19:48" x14ac:dyDescent="0.35">
      <c r="S117" s="20"/>
      <c r="AE117" s="20"/>
      <c r="AU117" s="40"/>
      <c r="AV117" s="40"/>
    </row>
    <row r="118" spans="19:48" x14ac:dyDescent="0.35">
      <c r="S118" s="20">
        <f>SUM(S49:S117)</f>
        <v>1.01214574898785E-4</v>
      </c>
      <c r="AE118" s="20"/>
      <c r="AU118" s="40"/>
      <c r="AV118" s="40"/>
    </row>
    <row r="119" spans="19:48" x14ac:dyDescent="0.35">
      <c r="AE119" s="20"/>
      <c r="AU119" s="40"/>
      <c r="AV119" s="40"/>
    </row>
    <row r="120" spans="19:48" x14ac:dyDescent="0.35">
      <c r="AE120" s="20"/>
      <c r="AU120" s="40"/>
      <c r="AV120" s="40"/>
    </row>
    <row r="121" spans="19:48" x14ac:dyDescent="0.35">
      <c r="AE121" s="20"/>
      <c r="AU121" s="40"/>
      <c r="AV121" s="40"/>
    </row>
    <row r="122" spans="19:48" x14ac:dyDescent="0.35">
      <c r="AE122" s="20"/>
      <c r="AU122" s="40"/>
      <c r="AV122" s="40"/>
    </row>
    <row r="123" spans="19:48" x14ac:dyDescent="0.35">
      <c r="AE123" s="20"/>
      <c r="AU123" s="40"/>
      <c r="AV123" s="40"/>
    </row>
    <row r="124" spans="19:48" x14ac:dyDescent="0.35">
      <c r="AE124" s="20"/>
      <c r="AU124" s="40"/>
      <c r="AV124" s="40"/>
    </row>
    <row r="125" spans="19:48" x14ac:dyDescent="0.35">
      <c r="AE125" s="20"/>
      <c r="AU125" s="40"/>
      <c r="AV125" s="40"/>
    </row>
    <row r="126" spans="19:48" x14ac:dyDescent="0.35">
      <c r="AE126" s="20"/>
      <c r="AU126" s="40"/>
      <c r="AV126" s="40"/>
    </row>
    <row r="127" spans="19:48" x14ac:dyDescent="0.35">
      <c r="AE127" s="20"/>
      <c r="AU127" s="40"/>
      <c r="AV127" s="40"/>
    </row>
    <row r="128" spans="19:48" x14ac:dyDescent="0.35">
      <c r="AE128" s="20"/>
      <c r="AU128" s="40"/>
      <c r="AV128" s="40"/>
    </row>
    <row r="129" spans="31:48" x14ac:dyDescent="0.35">
      <c r="AE129" s="20"/>
      <c r="AU129" s="40"/>
      <c r="AV129" s="40"/>
    </row>
    <row r="130" spans="31:48" x14ac:dyDescent="0.35">
      <c r="AE130" s="20"/>
      <c r="AU130" s="40"/>
      <c r="AV130" s="40"/>
    </row>
    <row r="131" spans="31:48" x14ac:dyDescent="0.35">
      <c r="AU131" s="40"/>
      <c r="AV131" s="40"/>
    </row>
    <row r="132" spans="31:48" x14ac:dyDescent="0.35">
      <c r="AU132" s="40"/>
      <c r="AV132" s="40"/>
    </row>
    <row r="133" spans="31:48" x14ac:dyDescent="0.35">
      <c r="AU133" s="40"/>
      <c r="AV133" s="40"/>
    </row>
    <row r="134" spans="31:48" x14ac:dyDescent="0.35">
      <c r="AU134" s="40"/>
      <c r="AV134" s="40"/>
    </row>
    <row r="135" spans="31:48" x14ac:dyDescent="0.35">
      <c r="AU135" s="40"/>
      <c r="AV135" s="40"/>
    </row>
    <row r="136" spans="31:48" x14ac:dyDescent="0.35">
      <c r="AU136" s="40"/>
      <c r="AV136" s="40"/>
    </row>
    <row r="137" spans="31:48" x14ac:dyDescent="0.35">
      <c r="AU137" s="40"/>
      <c r="AV137" s="40"/>
    </row>
    <row r="138" spans="31:48" x14ac:dyDescent="0.35">
      <c r="AU138" s="40"/>
      <c r="AV138" s="40"/>
    </row>
    <row r="139" spans="31:48" x14ac:dyDescent="0.35">
      <c r="AU139" s="40"/>
      <c r="AV139" s="40"/>
    </row>
    <row r="140" spans="31:48" x14ac:dyDescent="0.35">
      <c r="AU140" s="40"/>
      <c r="AV140" s="40"/>
    </row>
    <row r="141" spans="31:48" x14ac:dyDescent="0.35">
      <c r="AU141" s="40"/>
      <c r="AV141" s="40"/>
    </row>
    <row r="142" spans="31:48" x14ac:dyDescent="0.35">
      <c r="AU142" s="40"/>
      <c r="AV142" s="40"/>
    </row>
    <row r="143" spans="31:48" x14ac:dyDescent="0.35">
      <c r="AU143" s="40"/>
      <c r="AV143" s="40"/>
    </row>
    <row r="144" spans="31:48" x14ac:dyDescent="0.35">
      <c r="AU144" s="40"/>
      <c r="AV144" s="40"/>
    </row>
    <row r="145" spans="47:48" x14ac:dyDescent="0.35">
      <c r="AU145" s="40"/>
      <c r="AV145" s="40"/>
    </row>
    <row r="146" spans="47:48" x14ac:dyDescent="0.35">
      <c r="AU146" s="40"/>
      <c r="AV146" s="40"/>
    </row>
    <row r="147" spans="47:48" x14ac:dyDescent="0.35">
      <c r="AU147" s="40"/>
      <c r="AV147" s="40"/>
    </row>
    <row r="148" spans="47:48" x14ac:dyDescent="0.35">
      <c r="AU148" s="40"/>
      <c r="AV148" s="40"/>
    </row>
    <row r="149" spans="47:48" x14ac:dyDescent="0.35">
      <c r="AU149" s="40"/>
      <c r="AV149" s="40"/>
    </row>
    <row r="150" spans="47:48" x14ac:dyDescent="0.35">
      <c r="AU150" s="40"/>
      <c r="AV150" s="40"/>
    </row>
    <row r="151" spans="47:48" x14ac:dyDescent="0.35">
      <c r="AU151" s="40"/>
      <c r="AV151" s="40"/>
    </row>
    <row r="152" spans="47:48" x14ac:dyDescent="0.35">
      <c r="AU152" s="40"/>
      <c r="AV152" s="40"/>
    </row>
    <row r="153" spans="47:48" x14ac:dyDescent="0.35">
      <c r="AU153" s="40"/>
      <c r="AV153" s="40"/>
    </row>
    <row r="154" spans="47:48" x14ac:dyDescent="0.35">
      <c r="AU154" s="40"/>
      <c r="AV154" s="40"/>
    </row>
    <row r="155" spans="47:48" x14ac:dyDescent="0.35">
      <c r="AU155" s="40"/>
      <c r="AV155" s="40"/>
    </row>
    <row r="156" spans="47:48" x14ac:dyDescent="0.35">
      <c r="AU156" s="40"/>
      <c r="AV156" s="40"/>
    </row>
    <row r="157" spans="47:48" x14ac:dyDescent="0.35">
      <c r="AU157" s="40"/>
      <c r="AV157" s="40"/>
    </row>
    <row r="158" spans="47:48" x14ac:dyDescent="0.35">
      <c r="AU158" s="40"/>
      <c r="AV158" s="40"/>
    </row>
    <row r="159" spans="47:48" x14ac:dyDescent="0.35">
      <c r="AU159" s="40"/>
      <c r="AV159" s="40"/>
    </row>
    <row r="160" spans="47:48" x14ac:dyDescent="0.35">
      <c r="AU160" s="40"/>
      <c r="AV160" s="40"/>
    </row>
    <row r="161" spans="47:48" x14ac:dyDescent="0.35">
      <c r="AU161" s="40"/>
      <c r="AV161" s="40"/>
    </row>
    <row r="162" spans="47:48" x14ac:dyDescent="0.35">
      <c r="AU162" s="40"/>
      <c r="AV162" s="40"/>
    </row>
    <row r="163" spans="47:48" x14ac:dyDescent="0.35">
      <c r="AU163" s="40"/>
      <c r="AV163" s="40"/>
    </row>
    <row r="164" spans="47:48" x14ac:dyDescent="0.35">
      <c r="AU164" s="40"/>
      <c r="AV164" s="40"/>
    </row>
    <row r="165" spans="47:48" x14ac:dyDescent="0.35">
      <c r="AU165" s="40"/>
      <c r="AV165" s="40"/>
    </row>
    <row r="166" spans="47:48" x14ac:dyDescent="0.35">
      <c r="AU166" s="40"/>
      <c r="AV166" s="40"/>
    </row>
    <row r="167" spans="47:48" x14ac:dyDescent="0.35">
      <c r="AU167" s="40"/>
      <c r="AV167" s="40"/>
    </row>
    <row r="168" spans="47:48" x14ac:dyDescent="0.35">
      <c r="AU168" s="40"/>
      <c r="AV168" s="40"/>
    </row>
    <row r="169" spans="47:48" x14ac:dyDescent="0.35">
      <c r="AU169" s="40"/>
      <c r="AV169" s="40"/>
    </row>
    <row r="170" spans="47:48" x14ac:dyDescent="0.35">
      <c r="AU170" s="40"/>
      <c r="AV170" s="40"/>
    </row>
    <row r="171" spans="47:48" x14ac:dyDescent="0.35">
      <c r="AU171" s="40"/>
      <c r="AV171" s="40"/>
    </row>
    <row r="172" spans="47:48" x14ac:dyDescent="0.35">
      <c r="AU172" s="40"/>
      <c r="AV172" s="40"/>
    </row>
    <row r="173" spans="47:48" x14ac:dyDescent="0.35">
      <c r="AU173" s="40"/>
      <c r="AV173" s="40"/>
    </row>
    <row r="174" spans="47:48" x14ac:dyDescent="0.35">
      <c r="AU174" s="40"/>
      <c r="AV174" s="40"/>
    </row>
    <row r="175" spans="47:48" x14ac:dyDescent="0.35">
      <c r="AU175" s="40"/>
      <c r="AV175" s="40"/>
    </row>
    <row r="176" spans="47:48" x14ac:dyDescent="0.35">
      <c r="AU176" s="40"/>
      <c r="AV176" s="40"/>
    </row>
    <row r="177" spans="47:48" x14ac:dyDescent="0.35">
      <c r="AU177" s="40"/>
      <c r="AV177" s="40"/>
    </row>
    <row r="178" spans="47:48" x14ac:dyDescent="0.35">
      <c r="AU178" s="40"/>
      <c r="AV178" s="40"/>
    </row>
    <row r="179" spans="47:48" x14ac:dyDescent="0.35">
      <c r="AU179" s="40"/>
      <c r="AV179" s="40"/>
    </row>
    <row r="180" spans="47:48" x14ac:dyDescent="0.35">
      <c r="AU180" s="40"/>
      <c r="AV180" s="40"/>
    </row>
    <row r="181" spans="47:48" x14ac:dyDescent="0.35">
      <c r="AU181" s="40"/>
      <c r="AV181" s="40"/>
    </row>
    <row r="182" spans="47:48" x14ac:dyDescent="0.35">
      <c r="AU182" s="40"/>
      <c r="AV182" s="40"/>
    </row>
    <row r="183" spans="47:48" x14ac:dyDescent="0.35">
      <c r="AU183" s="40"/>
      <c r="AV183" s="40"/>
    </row>
    <row r="184" spans="47:48" x14ac:dyDescent="0.35">
      <c r="AU184" s="40"/>
      <c r="AV184" s="40"/>
    </row>
    <row r="185" spans="47:48" x14ac:dyDescent="0.35">
      <c r="AU185" s="40"/>
      <c r="AV185" s="40"/>
    </row>
    <row r="186" spans="47:48" x14ac:dyDescent="0.35">
      <c r="AU186" s="40"/>
      <c r="AV186" s="40"/>
    </row>
    <row r="187" spans="47:48" x14ac:dyDescent="0.35">
      <c r="AU187" s="40"/>
      <c r="AV187" s="40"/>
    </row>
    <row r="188" spans="47:48" x14ac:dyDescent="0.35">
      <c r="AU188" s="40"/>
      <c r="AV188" s="40"/>
    </row>
    <row r="189" spans="47:48" x14ac:dyDescent="0.35">
      <c r="AU189" s="40"/>
      <c r="AV189" s="40"/>
    </row>
    <row r="190" spans="47:48" x14ac:dyDescent="0.35">
      <c r="AU190" s="40"/>
      <c r="AV190" s="40"/>
    </row>
    <row r="191" spans="47:48" x14ac:dyDescent="0.35">
      <c r="AU191" s="40"/>
      <c r="AV191" s="40"/>
    </row>
    <row r="192" spans="47:48" x14ac:dyDescent="0.35">
      <c r="AU192" s="40"/>
      <c r="AV192" s="40"/>
    </row>
    <row r="193" spans="47:48" x14ac:dyDescent="0.35">
      <c r="AU193" s="40"/>
      <c r="AV193" s="40"/>
    </row>
    <row r="194" spans="47:48" x14ac:dyDescent="0.35">
      <c r="AU194" s="40"/>
      <c r="AV194" s="40"/>
    </row>
    <row r="195" spans="47:48" x14ac:dyDescent="0.35">
      <c r="AU195" s="40"/>
      <c r="AV195" s="40"/>
    </row>
    <row r="196" spans="47:48" x14ac:dyDescent="0.35">
      <c r="AU196" s="40"/>
      <c r="AV196" s="40"/>
    </row>
    <row r="197" spans="47:48" x14ac:dyDescent="0.35">
      <c r="AV197" s="40"/>
    </row>
    <row r="198" spans="47:48" x14ac:dyDescent="0.35">
      <c r="AV198" s="40"/>
    </row>
  </sheetData>
  <phoneticPr fontId="1" type="noConversion"/>
  <conditionalFormatting sqref="W2:W89">
    <cfRule type="colorScale" priority="106">
      <colorScale>
        <cfvo type="min"/>
        <cfvo type="max"/>
        <color theme="0"/>
        <color rgb="FFC00000"/>
      </colorScale>
    </cfRule>
  </conditionalFormatting>
  <conditionalFormatting sqref="AA2:AA83">
    <cfRule type="colorScale" priority="108">
      <colorScale>
        <cfvo type="min"/>
        <cfvo type="max"/>
        <color theme="0"/>
        <color rgb="FFC00000"/>
      </colorScale>
    </cfRule>
  </conditionalFormatting>
  <conditionalFormatting sqref="Y2:Y82">
    <cfRule type="colorScale" priority="110">
      <colorScale>
        <cfvo type="min"/>
        <cfvo type="max"/>
        <color theme="0"/>
        <color rgb="FFC00000"/>
      </colorScale>
    </cfRule>
  </conditionalFormatting>
  <conditionalFormatting sqref="AC2:AC50 AC51:AD79">
    <cfRule type="colorScale" priority="112">
      <colorScale>
        <cfvo type="min"/>
        <cfvo type="max"/>
        <color theme="0"/>
        <color rgb="FFC00000"/>
      </colorScale>
    </cfRule>
  </conditionalFormatting>
  <conditionalFormatting sqref="AD2:AD50 AE51:AE85">
    <cfRule type="colorScale" priority="1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9FDD9-7057-4C8D-B275-C691BD2D5F76}">
  <dimension ref="A1:AH250"/>
  <sheetViews>
    <sheetView topLeftCell="A195" workbookViewId="0"/>
    <sheetView workbookViewId="1"/>
  </sheetViews>
  <sheetFormatPr defaultRowHeight="14.5" x14ac:dyDescent="0.35"/>
  <cols>
    <col min="1" max="1" width="31.36328125" bestFit="1" customWidth="1"/>
    <col min="2" max="25" width="6.81640625" bestFit="1" customWidth="1"/>
    <col min="26" max="34" width="7.81640625" bestFit="1" customWidth="1"/>
  </cols>
  <sheetData>
    <row r="1" spans="1:34" x14ac:dyDescent="0.35">
      <c r="A1" t="s">
        <v>24</v>
      </c>
      <c r="B1" t="s">
        <v>481</v>
      </c>
      <c r="C1" t="s">
        <v>482</v>
      </c>
      <c r="D1" t="s">
        <v>483</v>
      </c>
      <c r="E1" t="s">
        <v>484</v>
      </c>
      <c r="F1" t="s">
        <v>485</v>
      </c>
      <c r="G1" t="s">
        <v>486</v>
      </c>
      <c r="H1" t="s">
        <v>487</v>
      </c>
      <c r="I1" t="s">
        <v>488</v>
      </c>
      <c r="J1" t="s">
        <v>489</v>
      </c>
      <c r="K1" t="s">
        <v>432</v>
      </c>
      <c r="L1" t="s">
        <v>433</v>
      </c>
      <c r="M1" t="s">
        <v>434</v>
      </c>
      <c r="N1" t="s">
        <v>435</v>
      </c>
      <c r="O1" t="s">
        <v>436</v>
      </c>
      <c r="P1" t="s">
        <v>437</v>
      </c>
      <c r="Q1" t="s">
        <v>438</v>
      </c>
      <c r="R1" t="s">
        <v>439</v>
      </c>
      <c r="S1" t="s">
        <v>440</v>
      </c>
      <c r="T1" t="s">
        <v>441</v>
      </c>
      <c r="U1" t="s">
        <v>442</v>
      </c>
      <c r="V1" t="s">
        <v>443</v>
      </c>
      <c r="W1" t="s">
        <v>444</v>
      </c>
      <c r="X1" t="s">
        <v>445</v>
      </c>
      <c r="Y1" t="s">
        <v>446</v>
      </c>
      <c r="Z1" t="s">
        <v>447</v>
      </c>
      <c r="AA1" t="s">
        <v>448</v>
      </c>
      <c r="AB1" t="s">
        <v>449</v>
      </c>
      <c r="AC1" t="s">
        <v>450</v>
      </c>
      <c r="AD1" t="s">
        <v>451</v>
      </c>
      <c r="AE1" t="s">
        <v>452</v>
      </c>
      <c r="AF1" t="s">
        <v>453</v>
      </c>
      <c r="AG1" t="s">
        <v>454</v>
      </c>
      <c r="AH1" t="s">
        <v>455</v>
      </c>
    </row>
    <row r="2" spans="1:34" x14ac:dyDescent="0.35">
      <c r="A2" t="s">
        <v>490</v>
      </c>
      <c r="B2">
        <v>84</v>
      </c>
      <c r="C2">
        <v>101.85000000000001</v>
      </c>
      <c r="D2">
        <v>114.45</v>
      </c>
      <c r="E2">
        <v>128.1</v>
      </c>
      <c r="F2">
        <v>135.45000000000002</v>
      </c>
      <c r="G2">
        <v>140.70000000000002</v>
      </c>
      <c r="H2">
        <v>149.76</v>
      </c>
      <c r="I2">
        <v>157.04</v>
      </c>
      <c r="J2">
        <v>163.28</v>
      </c>
      <c r="K2">
        <v>169.52</v>
      </c>
      <c r="L2">
        <v>172.64000000000001</v>
      </c>
      <c r="M2">
        <v>175.76000000000002</v>
      </c>
      <c r="N2">
        <v>183.04000000000002</v>
      </c>
      <c r="O2">
        <v>192.4</v>
      </c>
      <c r="P2">
        <v>197.6</v>
      </c>
      <c r="Q2">
        <v>203.84</v>
      </c>
      <c r="R2">
        <v>206.96</v>
      </c>
      <c r="S2">
        <v>214.24</v>
      </c>
      <c r="T2">
        <v>218.4</v>
      </c>
      <c r="U2">
        <v>226.72</v>
      </c>
      <c r="V2">
        <v>232.96</v>
      </c>
      <c r="W2">
        <v>240.24</v>
      </c>
      <c r="X2">
        <v>248.56</v>
      </c>
      <c r="Y2">
        <v>251.68</v>
      </c>
      <c r="Z2">
        <v>255.84</v>
      </c>
      <c r="AA2">
        <v>263.12</v>
      </c>
      <c r="AB2">
        <v>269.36</v>
      </c>
      <c r="AC2">
        <v>277.68</v>
      </c>
      <c r="AD2">
        <v>282.88</v>
      </c>
      <c r="AE2">
        <v>293.28000000000003</v>
      </c>
      <c r="AF2">
        <v>303.68</v>
      </c>
      <c r="AG2">
        <v>303.68</v>
      </c>
      <c r="AH2">
        <v>303.68</v>
      </c>
    </row>
    <row r="3" spans="1:34" x14ac:dyDescent="0.35">
      <c r="A3" t="s">
        <v>491</v>
      </c>
      <c r="B3">
        <v>145.95000000000002</v>
      </c>
      <c r="C3">
        <v>175.35</v>
      </c>
      <c r="D3">
        <v>211.05</v>
      </c>
      <c r="E3">
        <v>235.20000000000002</v>
      </c>
      <c r="F3">
        <v>271.95</v>
      </c>
      <c r="G3">
        <v>292.95</v>
      </c>
      <c r="H3">
        <v>313.04000000000002</v>
      </c>
      <c r="I3">
        <v>330.72</v>
      </c>
      <c r="J3">
        <v>352.56</v>
      </c>
      <c r="K3">
        <v>365.04</v>
      </c>
      <c r="L3">
        <v>386.88</v>
      </c>
      <c r="M3">
        <v>402.48</v>
      </c>
      <c r="N3">
        <v>425.36</v>
      </c>
      <c r="O3">
        <v>454.48</v>
      </c>
      <c r="P3">
        <v>469.04</v>
      </c>
      <c r="Q3">
        <v>483.6</v>
      </c>
      <c r="R3">
        <v>512.72</v>
      </c>
      <c r="S3">
        <v>527.28</v>
      </c>
      <c r="T3">
        <v>535.6</v>
      </c>
      <c r="U3">
        <v>557.44000000000005</v>
      </c>
      <c r="V3">
        <v>585.52</v>
      </c>
      <c r="W3">
        <v>608.4</v>
      </c>
      <c r="X3">
        <v>639.6</v>
      </c>
      <c r="Y3">
        <v>659.36</v>
      </c>
      <c r="Z3">
        <v>682.24</v>
      </c>
      <c r="AA3">
        <v>695.76</v>
      </c>
      <c r="AB3">
        <v>709.28</v>
      </c>
      <c r="AC3">
        <v>732.16000000000008</v>
      </c>
      <c r="AD3">
        <v>755.04000000000008</v>
      </c>
      <c r="AE3">
        <v>770.64</v>
      </c>
      <c r="AF3">
        <v>782.08</v>
      </c>
      <c r="AG3">
        <v>782.08</v>
      </c>
      <c r="AH3">
        <v>782.08</v>
      </c>
    </row>
    <row r="4" spans="1:34" x14ac:dyDescent="0.35">
      <c r="A4" t="s">
        <v>492</v>
      </c>
      <c r="B4">
        <v>111.30000000000001</v>
      </c>
      <c r="C4">
        <v>142.80000000000001</v>
      </c>
      <c r="D4">
        <v>172.20000000000002</v>
      </c>
      <c r="E4">
        <v>199.5</v>
      </c>
      <c r="F4">
        <v>217.35000000000002</v>
      </c>
      <c r="G4">
        <v>231</v>
      </c>
      <c r="H4">
        <v>242.32000000000002</v>
      </c>
      <c r="I4">
        <v>250.64000000000001</v>
      </c>
      <c r="J4">
        <v>261.04000000000002</v>
      </c>
      <c r="K4">
        <v>272.48</v>
      </c>
      <c r="L4">
        <v>276.64</v>
      </c>
      <c r="M4">
        <v>286</v>
      </c>
      <c r="N4">
        <v>298.48</v>
      </c>
      <c r="O4">
        <v>307.84000000000003</v>
      </c>
      <c r="P4">
        <v>310.96000000000004</v>
      </c>
      <c r="Q4">
        <v>320.32</v>
      </c>
      <c r="R4">
        <v>324.48</v>
      </c>
      <c r="S4">
        <v>339.04</v>
      </c>
      <c r="T4">
        <v>346.32</v>
      </c>
      <c r="U4">
        <v>347.36</v>
      </c>
      <c r="V4">
        <v>360.88</v>
      </c>
      <c r="W4">
        <v>364</v>
      </c>
      <c r="X4">
        <v>375.44</v>
      </c>
      <c r="Y4">
        <v>380.64</v>
      </c>
      <c r="Z4">
        <v>387.92</v>
      </c>
      <c r="AA4">
        <v>399.36</v>
      </c>
      <c r="AB4">
        <v>408.72</v>
      </c>
      <c r="AC4">
        <v>423.28000000000003</v>
      </c>
      <c r="AD4">
        <v>430.56</v>
      </c>
      <c r="AE4">
        <v>447.2</v>
      </c>
      <c r="AF4">
        <v>464.88</v>
      </c>
      <c r="AG4">
        <v>464.88</v>
      </c>
      <c r="AH4">
        <v>464.88</v>
      </c>
    </row>
    <row r="5" spans="1:34" x14ac:dyDescent="0.35">
      <c r="A5" t="s">
        <v>493</v>
      </c>
      <c r="B5">
        <v>161.70000000000002</v>
      </c>
      <c r="C5">
        <v>212.10000000000002</v>
      </c>
      <c r="D5">
        <v>243.60000000000002</v>
      </c>
      <c r="E5">
        <v>274.05</v>
      </c>
      <c r="F5">
        <v>301.35000000000002</v>
      </c>
      <c r="G5">
        <v>318.15000000000003</v>
      </c>
      <c r="H5">
        <v>341.12</v>
      </c>
      <c r="I5">
        <v>361.92</v>
      </c>
      <c r="J5">
        <v>385.84000000000003</v>
      </c>
      <c r="K5">
        <v>401.44</v>
      </c>
      <c r="L5">
        <v>420.16</v>
      </c>
      <c r="M5">
        <v>429.52000000000004</v>
      </c>
      <c r="N5">
        <v>438.88</v>
      </c>
      <c r="O5">
        <v>449.28000000000003</v>
      </c>
      <c r="P5">
        <v>468</v>
      </c>
      <c r="Q5">
        <v>483.6</v>
      </c>
      <c r="R5">
        <v>494</v>
      </c>
      <c r="S5">
        <v>509.6</v>
      </c>
      <c r="T5">
        <v>527.28</v>
      </c>
      <c r="U5">
        <v>538.72</v>
      </c>
      <c r="V5">
        <v>559.52</v>
      </c>
      <c r="W5">
        <v>575.12</v>
      </c>
      <c r="X5">
        <v>604.24</v>
      </c>
      <c r="Y5">
        <v>621.92000000000007</v>
      </c>
      <c r="Z5">
        <v>647.92000000000007</v>
      </c>
      <c r="AA5">
        <v>663.52</v>
      </c>
      <c r="AB5">
        <v>673.92000000000007</v>
      </c>
      <c r="AC5">
        <v>694.72</v>
      </c>
      <c r="AD5">
        <v>722.80000000000007</v>
      </c>
      <c r="AE5">
        <v>747.76</v>
      </c>
      <c r="AF5">
        <v>765.44</v>
      </c>
      <c r="AG5">
        <v>765.44</v>
      </c>
      <c r="AH5">
        <v>765.44</v>
      </c>
    </row>
    <row r="6" spans="1:34" x14ac:dyDescent="0.35">
      <c r="A6" t="s">
        <v>494</v>
      </c>
      <c r="B6">
        <v>161.70000000000002</v>
      </c>
      <c r="C6">
        <v>212.10000000000002</v>
      </c>
      <c r="D6">
        <v>243.60000000000002</v>
      </c>
      <c r="E6">
        <v>274.05</v>
      </c>
      <c r="F6">
        <v>301.35000000000002</v>
      </c>
      <c r="G6">
        <v>318.15000000000003</v>
      </c>
      <c r="H6">
        <v>341.12</v>
      </c>
      <c r="I6">
        <v>361.92</v>
      </c>
      <c r="J6">
        <v>385.84000000000003</v>
      </c>
      <c r="K6">
        <v>401.44</v>
      </c>
      <c r="L6">
        <v>420.16</v>
      </c>
      <c r="M6">
        <v>429.52000000000004</v>
      </c>
      <c r="N6">
        <v>438.88</v>
      </c>
      <c r="O6">
        <v>449.28000000000003</v>
      </c>
      <c r="P6">
        <v>468</v>
      </c>
      <c r="Q6">
        <v>483.6</v>
      </c>
      <c r="R6">
        <v>494</v>
      </c>
      <c r="S6">
        <v>509.6</v>
      </c>
      <c r="T6">
        <v>527.28</v>
      </c>
      <c r="U6">
        <v>538.72</v>
      </c>
      <c r="V6">
        <v>559.52</v>
      </c>
      <c r="W6">
        <v>575.12</v>
      </c>
      <c r="X6">
        <v>604.24</v>
      </c>
      <c r="Y6">
        <v>621.92000000000007</v>
      </c>
      <c r="Z6">
        <v>647.92000000000007</v>
      </c>
      <c r="AA6">
        <v>663.52</v>
      </c>
      <c r="AB6">
        <v>673.92000000000007</v>
      </c>
      <c r="AC6">
        <v>694.72</v>
      </c>
      <c r="AD6">
        <v>722.80000000000007</v>
      </c>
      <c r="AE6">
        <v>747.76</v>
      </c>
      <c r="AF6">
        <v>765.44</v>
      </c>
      <c r="AG6">
        <v>765.44</v>
      </c>
      <c r="AH6">
        <v>765.44</v>
      </c>
    </row>
    <row r="7" spans="1:34" x14ac:dyDescent="0.35">
      <c r="A7" t="s">
        <v>495</v>
      </c>
      <c r="B7">
        <v>169.05</v>
      </c>
      <c r="C7">
        <v>225.75</v>
      </c>
      <c r="D7">
        <v>255.15</v>
      </c>
      <c r="E7">
        <v>284.55</v>
      </c>
      <c r="F7">
        <v>308.7</v>
      </c>
      <c r="G7">
        <v>321.3</v>
      </c>
      <c r="H7">
        <v>346.32</v>
      </c>
      <c r="I7">
        <v>366.08000000000004</v>
      </c>
      <c r="J7">
        <v>377.52000000000004</v>
      </c>
      <c r="K7">
        <v>397.28000000000003</v>
      </c>
      <c r="L7">
        <v>426.40000000000003</v>
      </c>
      <c r="M7">
        <v>446.16</v>
      </c>
      <c r="N7">
        <v>461.76</v>
      </c>
      <c r="O7">
        <v>489.84000000000003</v>
      </c>
      <c r="P7">
        <v>512.72</v>
      </c>
      <c r="Q7">
        <v>544.96</v>
      </c>
      <c r="R7">
        <v>566.80000000000007</v>
      </c>
      <c r="S7">
        <v>589.68000000000006</v>
      </c>
      <c r="T7">
        <v>609.44000000000005</v>
      </c>
      <c r="U7">
        <v>629.20000000000005</v>
      </c>
      <c r="V7">
        <v>641.68000000000006</v>
      </c>
      <c r="W7">
        <v>665.6</v>
      </c>
      <c r="X7">
        <v>677.04000000000008</v>
      </c>
      <c r="Y7">
        <v>692.64</v>
      </c>
      <c r="Z7">
        <v>707.2</v>
      </c>
      <c r="AA7">
        <v>732.16000000000008</v>
      </c>
      <c r="AB7">
        <v>754</v>
      </c>
      <c r="AC7">
        <v>790.4</v>
      </c>
      <c r="AD7">
        <v>810.16000000000008</v>
      </c>
      <c r="AE7">
        <v>845.52</v>
      </c>
      <c r="AF7">
        <v>876.72</v>
      </c>
      <c r="AG7">
        <v>876.72</v>
      </c>
      <c r="AH7">
        <v>876.72</v>
      </c>
    </row>
    <row r="8" spans="1:34" x14ac:dyDescent="0.35">
      <c r="A8" t="s">
        <v>496</v>
      </c>
      <c r="B8">
        <v>137.55000000000001</v>
      </c>
      <c r="C8">
        <v>157.5</v>
      </c>
      <c r="D8">
        <v>184.8</v>
      </c>
      <c r="E8">
        <v>204.75</v>
      </c>
      <c r="F8">
        <v>221.55</v>
      </c>
      <c r="G8">
        <v>232.05</v>
      </c>
      <c r="H8">
        <v>243.36</v>
      </c>
      <c r="I8">
        <v>250.64000000000001</v>
      </c>
      <c r="J8">
        <v>260</v>
      </c>
      <c r="K8">
        <v>267.28000000000003</v>
      </c>
      <c r="L8">
        <v>273.52</v>
      </c>
      <c r="M8">
        <v>283.92</v>
      </c>
      <c r="N8">
        <v>290.16000000000003</v>
      </c>
      <c r="O8">
        <v>299.52</v>
      </c>
      <c r="P8">
        <v>300.56</v>
      </c>
      <c r="Q8">
        <v>310.96000000000004</v>
      </c>
      <c r="R8">
        <v>317.2</v>
      </c>
      <c r="S8">
        <v>320.32</v>
      </c>
      <c r="T8">
        <v>328.64</v>
      </c>
      <c r="U8">
        <v>334.88</v>
      </c>
      <c r="V8">
        <v>342.16</v>
      </c>
      <c r="W8">
        <v>346.32</v>
      </c>
      <c r="X8">
        <v>354.64</v>
      </c>
      <c r="Y8">
        <v>364</v>
      </c>
      <c r="Z8">
        <v>372.32</v>
      </c>
      <c r="AA8">
        <v>380.64</v>
      </c>
      <c r="AB8">
        <v>386.88</v>
      </c>
      <c r="AC8">
        <v>401.44</v>
      </c>
      <c r="AD8">
        <v>402.48</v>
      </c>
      <c r="AE8">
        <v>416</v>
      </c>
      <c r="AF8">
        <v>432.64</v>
      </c>
      <c r="AG8">
        <v>432.64</v>
      </c>
      <c r="AH8">
        <v>432.64</v>
      </c>
    </row>
    <row r="9" spans="1:34" x14ac:dyDescent="0.35">
      <c r="A9" t="s">
        <v>497</v>
      </c>
      <c r="B9">
        <v>169.05</v>
      </c>
      <c r="C9">
        <v>212.10000000000002</v>
      </c>
      <c r="D9">
        <v>240.45000000000002</v>
      </c>
      <c r="E9">
        <v>283.5</v>
      </c>
      <c r="F9">
        <v>322.35000000000002</v>
      </c>
      <c r="G9">
        <v>344.40000000000003</v>
      </c>
      <c r="H9">
        <v>369.2</v>
      </c>
      <c r="I9">
        <v>381.68</v>
      </c>
      <c r="J9">
        <v>402.48</v>
      </c>
      <c r="K9">
        <v>421.2</v>
      </c>
      <c r="L9">
        <v>438.88</v>
      </c>
      <c r="M9">
        <v>458.64000000000004</v>
      </c>
      <c r="N9">
        <v>479.44</v>
      </c>
      <c r="O9">
        <v>499.20000000000005</v>
      </c>
      <c r="P9">
        <v>516.88</v>
      </c>
      <c r="Q9">
        <v>532.48</v>
      </c>
      <c r="R9">
        <v>548.08000000000004</v>
      </c>
      <c r="S9">
        <v>579.28</v>
      </c>
      <c r="T9">
        <v>606.32000000000005</v>
      </c>
      <c r="U9">
        <v>616.72</v>
      </c>
      <c r="V9">
        <v>639.6</v>
      </c>
      <c r="W9">
        <v>670.80000000000007</v>
      </c>
      <c r="X9">
        <v>688.48</v>
      </c>
      <c r="Y9">
        <v>717.6</v>
      </c>
      <c r="Z9">
        <v>744.64</v>
      </c>
      <c r="AA9">
        <v>773.76</v>
      </c>
      <c r="AB9">
        <v>804.96</v>
      </c>
      <c r="AC9">
        <v>837.2</v>
      </c>
      <c r="AD9">
        <v>849.68000000000006</v>
      </c>
      <c r="AE9">
        <v>862.16000000000008</v>
      </c>
      <c r="AF9">
        <v>876.72</v>
      </c>
      <c r="AG9">
        <v>876.72</v>
      </c>
      <c r="AH9">
        <v>876.72</v>
      </c>
    </row>
    <row r="10" spans="1:34" x14ac:dyDescent="0.35">
      <c r="A10" t="s">
        <v>498</v>
      </c>
      <c r="B10">
        <v>187.95000000000002</v>
      </c>
      <c r="C10">
        <v>233.10000000000002</v>
      </c>
      <c r="D10">
        <v>246.75</v>
      </c>
      <c r="E10">
        <v>299.25</v>
      </c>
      <c r="F10">
        <v>345.45</v>
      </c>
      <c r="G10">
        <v>372.75</v>
      </c>
      <c r="H10">
        <v>414.96000000000004</v>
      </c>
      <c r="I10">
        <v>447.2</v>
      </c>
      <c r="J10">
        <v>476.32</v>
      </c>
      <c r="K10">
        <v>482.56</v>
      </c>
      <c r="L10">
        <v>492.96000000000004</v>
      </c>
      <c r="M10">
        <v>510.64000000000004</v>
      </c>
      <c r="N10">
        <v>528.32000000000005</v>
      </c>
      <c r="O10">
        <v>544.96</v>
      </c>
      <c r="P10">
        <v>562.64</v>
      </c>
      <c r="Q10">
        <v>585.52</v>
      </c>
      <c r="R10">
        <v>610.48</v>
      </c>
      <c r="S10">
        <v>636.48</v>
      </c>
      <c r="T10">
        <v>655.20000000000005</v>
      </c>
      <c r="U10">
        <v>683.28</v>
      </c>
      <c r="V10">
        <v>715.52</v>
      </c>
      <c r="W10">
        <v>761.28</v>
      </c>
      <c r="X10">
        <v>795.6</v>
      </c>
      <c r="Y10">
        <v>837.2</v>
      </c>
      <c r="Z10">
        <v>885.04000000000008</v>
      </c>
      <c r="AA10">
        <v>904.80000000000007</v>
      </c>
      <c r="AB10">
        <v>922.48</v>
      </c>
      <c r="AC10">
        <v>951.6</v>
      </c>
      <c r="AD10">
        <v>986.96</v>
      </c>
      <c r="AE10">
        <v>1004.64</v>
      </c>
      <c r="AF10">
        <v>1019.2</v>
      </c>
      <c r="AG10">
        <v>1019.2</v>
      </c>
      <c r="AH10">
        <v>1019.2</v>
      </c>
    </row>
    <row r="11" spans="1:34" x14ac:dyDescent="0.35">
      <c r="A11" t="s">
        <v>499</v>
      </c>
      <c r="B11">
        <v>131.25</v>
      </c>
      <c r="C11">
        <v>165.9</v>
      </c>
      <c r="D11">
        <v>192.15</v>
      </c>
      <c r="E11">
        <v>212.10000000000002</v>
      </c>
      <c r="F11">
        <v>245.70000000000002</v>
      </c>
      <c r="G11">
        <v>256.2</v>
      </c>
      <c r="H11">
        <v>278.72000000000003</v>
      </c>
      <c r="I11">
        <v>289.12</v>
      </c>
      <c r="J11">
        <v>303.68</v>
      </c>
      <c r="K11">
        <v>313.04000000000002</v>
      </c>
      <c r="L11">
        <v>324.48</v>
      </c>
      <c r="M11">
        <v>338</v>
      </c>
      <c r="N11">
        <v>343.2</v>
      </c>
      <c r="O11">
        <v>360.88</v>
      </c>
      <c r="P11">
        <v>369.2</v>
      </c>
      <c r="Q11">
        <v>380.64</v>
      </c>
      <c r="R11">
        <v>391.04</v>
      </c>
      <c r="S11">
        <v>402.48</v>
      </c>
      <c r="T11">
        <v>418.08000000000004</v>
      </c>
      <c r="U11">
        <v>434.72</v>
      </c>
      <c r="V11">
        <v>444.08000000000004</v>
      </c>
      <c r="W11">
        <v>456.56</v>
      </c>
      <c r="X11">
        <v>472.16</v>
      </c>
      <c r="Y11">
        <v>481.52000000000004</v>
      </c>
      <c r="Z11">
        <v>489.84000000000003</v>
      </c>
      <c r="AA11">
        <v>505.44</v>
      </c>
      <c r="AB11">
        <v>516.88</v>
      </c>
      <c r="AC11">
        <v>537.68000000000006</v>
      </c>
      <c r="AD11">
        <v>551.20000000000005</v>
      </c>
      <c r="AE11">
        <v>573.04</v>
      </c>
      <c r="AF11">
        <v>591.76</v>
      </c>
      <c r="AG11">
        <v>591.76</v>
      </c>
      <c r="AH11">
        <v>591.76</v>
      </c>
    </row>
    <row r="12" spans="1:34" x14ac:dyDescent="0.35">
      <c r="A12" t="s">
        <v>500</v>
      </c>
      <c r="B12">
        <v>161.70000000000002</v>
      </c>
      <c r="C12">
        <v>202.65</v>
      </c>
      <c r="D12">
        <v>222.60000000000002</v>
      </c>
      <c r="E12">
        <v>271.95</v>
      </c>
      <c r="F12">
        <v>277.2</v>
      </c>
      <c r="G12">
        <v>297.15000000000003</v>
      </c>
      <c r="H12">
        <v>324.48</v>
      </c>
      <c r="I12">
        <v>343.2</v>
      </c>
      <c r="J12">
        <v>358.8</v>
      </c>
      <c r="K12">
        <v>374.40000000000003</v>
      </c>
      <c r="L12">
        <v>380.64</v>
      </c>
      <c r="M12">
        <v>397.28000000000003</v>
      </c>
      <c r="N12">
        <v>402.48</v>
      </c>
      <c r="O12">
        <v>426.40000000000003</v>
      </c>
      <c r="P12">
        <v>450.32</v>
      </c>
      <c r="Q12">
        <v>468</v>
      </c>
      <c r="R12">
        <v>488.8</v>
      </c>
      <c r="S12">
        <v>503.36</v>
      </c>
      <c r="T12">
        <v>526.24</v>
      </c>
      <c r="U12">
        <v>543.92000000000007</v>
      </c>
      <c r="V12">
        <v>568.88</v>
      </c>
      <c r="W12">
        <v>590.72</v>
      </c>
      <c r="X12">
        <v>613.6</v>
      </c>
      <c r="Y12">
        <v>636.48</v>
      </c>
      <c r="Z12">
        <v>654.16</v>
      </c>
      <c r="AA12">
        <v>672.88</v>
      </c>
      <c r="AB12">
        <v>685.36</v>
      </c>
      <c r="AC12">
        <v>707.2</v>
      </c>
      <c r="AD12">
        <v>738.4</v>
      </c>
      <c r="AE12">
        <v>754</v>
      </c>
      <c r="AF12">
        <v>765.44</v>
      </c>
      <c r="AG12">
        <v>765.44</v>
      </c>
      <c r="AH12">
        <v>765.44</v>
      </c>
    </row>
    <row r="13" spans="1:34" x14ac:dyDescent="0.35">
      <c r="A13" t="s">
        <v>501</v>
      </c>
      <c r="B13">
        <v>149.1</v>
      </c>
      <c r="C13">
        <v>164.85</v>
      </c>
      <c r="D13">
        <v>214.20000000000002</v>
      </c>
      <c r="E13">
        <v>249.9</v>
      </c>
      <c r="F13">
        <v>263.55</v>
      </c>
      <c r="G13">
        <v>273</v>
      </c>
      <c r="H13">
        <v>297.44</v>
      </c>
      <c r="I13">
        <v>316.16000000000003</v>
      </c>
      <c r="J13">
        <v>334.88</v>
      </c>
      <c r="K13">
        <v>343.2</v>
      </c>
      <c r="L13">
        <v>356.72</v>
      </c>
      <c r="M13">
        <v>361.92</v>
      </c>
      <c r="N13">
        <v>368.16</v>
      </c>
      <c r="O13">
        <v>386.88</v>
      </c>
      <c r="P13">
        <v>401.44</v>
      </c>
      <c r="Q13">
        <v>414.96000000000004</v>
      </c>
      <c r="R13">
        <v>429.52000000000004</v>
      </c>
      <c r="S13">
        <v>447.2</v>
      </c>
      <c r="T13">
        <v>461.76</v>
      </c>
      <c r="U13">
        <v>483.6</v>
      </c>
      <c r="V13">
        <v>501.28000000000003</v>
      </c>
      <c r="W13">
        <v>524.16</v>
      </c>
      <c r="X13">
        <v>535.6</v>
      </c>
      <c r="Y13">
        <v>555.36</v>
      </c>
      <c r="Z13">
        <v>574.08000000000004</v>
      </c>
      <c r="AA13">
        <v>589.68000000000006</v>
      </c>
      <c r="AB13">
        <v>602.16</v>
      </c>
      <c r="AC13">
        <v>621.92000000000007</v>
      </c>
      <c r="AD13">
        <v>651.04000000000008</v>
      </c>
      <c r="AE13">
        <v>665.6</v>
      </c>
      <c r="AF13">
        <v>676</v>
      </c>
      <c r="AG13">
        <v>676</v>
      </c>
      <c r="AH13">
        <v>676</v>
      </c>
    </row>
    <row r="14" spans="1:34" x14ac:dyDescent="0.35">
      <c r="A14" t="s">
        <v>502</v>
      </c>
      <c r="B14">
        <v>130.20000000000002</v>
      </c>
      <c r="C14">
        <v>147</v>
      </c>
      <c r="D14">
        <v>179.55</v>
      </c>
      <c r="E14">
        <v>202.65</v>
      </c>
      <c r="F14">
        <v>221.55</v>
      </c>
      <c r="G14">
        <v>237.3</v>
      </c>
      <c r="H14">
        <v>250.64000000000001</v>
      </c>
      <c r="I14">
        <v>264.16000000000003</v>
      </c>
      <c r="J14">
        <v>278.72000000000003</v>
      </c>
      <c r="K14">
        <v>293.28000000000003</v>
      </c>
      <c r="L14">
        <v>301.60000000000002</v>
      </c>
      <c r="M14">
        <v>316.16000000000003</v>
      </c>
      <c r="N14">
        <v>324.48</v>
      </c>
      <c r="O14">
        <v>343.2</v>
      </c>
      <c r="P14">
        <v>360.88</v>
      </c>
      <c r="Q14">
        <v>368.16</v>
      </c>
      <c r="R14">
        <v>381.68</v>
      </c>
      <c r="S14">
        <v>398.32</v>
      </c>
      <c r="T14">
        <v>416</v>
      </c>
      <c r="U14">
        <v>431.6</v>
      </c>
      <c r="V14">
        <v>454.48</v>
      </c>
      <c r="W14">
        <v>473.2</v>
      </c>
      <c r="X14">
        <v>494</v>
      </c>
      <c r="Y14">
        <v>510.64000000000004</v>
      </c>
      <c r="Z14">
        <v>528.32000000000005</v>
      </c>
      <c r="AA14">
        <v>539.76</v>
      </c>
      <c r="AB14">
        <v>562.64</v>
      </c>
      <c r="AC14">
        <v>585.52</v>
      </c>
      <c r="AD14">
        <v>601.12</v>
      </c>
      <c r="AE14">
        <v>629.20000000000005</v>
      </c>
      <c r="AF14">
        <v>654.16</v>
      </c>
      <c r="AG14">
        <v>654.16</v>
      </c>
      <c r="AH14">
        <v>654.16</v>
      </c>
    </row>
    <row r="15" spans="1:34" x14ac:dyDescent="0.35">
      <c r="A15" t="s">
        <v>503</v>
      </c>
      <c r="B15">
        <v>191.1</v>
      </c>
      <c r="C15">
        <v>225.75</v>
      </c>
      <c r="D15">
        <v>258.3</v>
      </c>
      <c r="E15">
        <v>289.8</v>
      </c>
      <c r="F15">
        <v>301.35000000000002</v>
      </c>
      <c r="G15">
        <v>316.05</v>
      </c>
      <c r="H15">
        <v>338</v>
      </c>
      <c r="I15">
        <v>358.8</v>
      </c>
      <c r="J15">
        <v>379.6</v>
      </c>
      <c r="K15">
        <v>402.48</v>
      </c>
      <c r="L15">
        <v>414.96000000000004</v>
      </c>
      <c r="M15">
        <v>424.32</v>
      </c>
      <c r="N15">
        <v>442</v>
      </c>
      <c r="O15">
        <v>465.92</v>
      </c>
      <c r="P15">
        <v>486.72</v>
      </c>
      <c r="Q15">
        <v>511.68</v>
      </c>
      <c r="R15">
        <v>527.28</v>
      </c>
      <c r="S15">
        <v>550.16</v>
      </c>
      <c r="T15">
        <v>589.68000000000006</v>
      </c>
      <c r="U15">
        <v>618.80000000000007</v>
      </c>
      <c r="V15">
        <v>641.68000000000006</v>
      </c>
      <c r="W15">
        <v>679.12</v>
      </c>
      <c r="X15">
        <v>712.4</v>
      </c>
      <c r="Y15">
        <v>744.64</v>
      </c>
      <c r="Z15">
        <v>778.96</v>
      </c>
      <c r="AA15">
        <v>813.28</v>
      </c>
      <c r="AB15">
        <v>839.28</v>
      </c>
      <c r="AC15">
        <v>895.44</v>
      </c>
      <c r="AD15">
        <v>917.28000000000009</v>
      </c>
      <c r="AE15">
        <v>952.64</v>
      </c>
      <c r="AF15">
        <v>985.92000000000007</v>
      </c>
      <c r="AG15">
        <v>985.92000000000007</v>
      </c>
      <c r="AH15">
        <v>985.92000000000007</v>
      </c>
    </row>
    <row r="16" spans="1:34" x14ac:dyDescent="0.35">
      <c r="A16" t="s">
        <v>504</v>
      </c>
      <c r="B16">
        <v>153.30000000000001</v>
      </c>
      <c r="C16">
        <v>212.10000000000002</v>
      </c>
      <c r="D16">
        <v>250.95000000000002</v>
      </c>
      <c r="E16">
        <v>275.10000000000002</v>
      </c>
      <c r="F16">
        <v>296.10000000000002</v>
      </c>
      <c r="G16">
        <v>310.8</v>
      </c>
      <c r="H16">
        <v>340.08</v>
      </c>
      <c r="I16">
        <v>354.64</v>
      </c>
      <c r="J16">
        <v>361.92</v>
      </c>
      <c r="K16">
        <v>376.48</v>
      </c>
      <c r="L16">
        <v>388.96000000000004</v>
      </c>
      <c r="M16">
        <v>399.36</v>
      </c>
      <c r="N16">
        <v>402.48</v>
      </c>
      <c r="O16">
        <v>422.24</v>
      </c>
      <c r="P16">
        <v>424.32</v>
      </c>
      <c r="Q16">
        <v>440.96000000000004</v>
      </c>
      <c r="R16">
        <v>459.68</v>
      </c>
      <c r="S16">
        <v>470.08000000000004</v>
      </c>
      <c r="T16">
        <v>492.96000000000004</v>
      </c>
      <c r="U16">
        <v>504.40000000000003</v>
      </c>
      <c r="V16">
        <v>527.28</v>
      </c>
      <c r="W16">
        <v>539.76</v>
      </c>
      <c r="X16">
        <v>572</v>
      </c>
      <c r="Y16">
        <v>586.56000000000006</v>
      </c>
      <c r="Z16">
        <v>609.44000000000005</v>
      </c>
      <c r="AA16">
        <v>621.92000000000007</v>
      </c>
      <c r="AB16">
        <v>642.72</v>
      </c>
      <c r="AC16">
        <v>662.48</v>
      </c>
      <c r="AD16">
        <v>670.80000000000007</v>
      </c>
      <c r="AE16">
        <v>682.24</v>
      </c>
      <c r="AF16">
        <v>692.64</v>
      </c>
      <c r="AG16">
        <v>692.64</v>
      </c>
      <c r="AH16">
        <v>692.64</v>
      </c>
    </row>
    <row r="17" spans="1:34" x14ac:dyDescent="0.35">
      <c r="A17" t="s">
        <v>505</v>
      </c>
      <c r="B17">
        <v>168</v>
      </c>
      <c r="C17">
        <v>202.65</v>
      </c>
      <c r="D17">
        <v>256.2</v>
      </c>
      <c r="E17">
        <v>273</v>
      </c>
      <c r="F17">
        <v>302.40000000000003</v>
      </c>
      <c r="G17">
        <v>323.40000000000003</v>
      </c>
      <c r="H17">
        <v>356.72</v>
      </c>
      <c r="I17">
        <v>384.8</v>
      </c>
      <c r="J17">
        <v>407.68</v>
      </c>
      <c r="K17">
        <v>424.32</v>
      </c>
      <c r="L17">
        <v>440.96000000000004</v>
      </c>
      <c r="M17">
        <v>461.76</v>
      </c>
      <c r="N17">
        <v>478.40000000000003</v>
      </c>
      <c r="O17">
        <v>505.44</v>
      </c>
      <c r="P17">
        <v>534.56000000000006</v>
      </c>
      <c r="Q17">
        <v>568.88</v>
      </c>
      <c r="R17">
        <v>598</v>
      </c>
      <c r="S17">
        <v>626.08000000000004</v>
      </c>
      <c r="T17">
        <v>641.68000000000006</v>
      </c>
      <c r="U17">
        <v>663.52</v>
      </c>
      <c r="V17">
        <v>683.28</v>
      </c>
      <c r="W17">
        <v>704.08</v>
      </c>
      <c r="X17">
        <v>717.6</v>
      </c>
      <c r="Y17">
        <v>742.56000000000006</v>
      </c>
      <c r="Z17">
        <v>772.72</v>
      </c>
      <c r="AA17">
        <v>800.80000000000007</v>
      </c>
      <c r="AB17">
        <v>835.12</v>
      </c>
      <c r="AC17">
        <v>879.84</v>
      </c>
      <c r="AD17">
        <v>914.16000000000008</v>
      </c>
      <c r="AE17">
        <v>953.68000000000006</v>
      </c>
      <c r="AF17">
        <v>985.92000000000007</v>
      </c>
      <c r="AG17">
        <v>985.92000000000007</v>
      </c>
      <c r="AH17">
        <v>985.92000000000007</v>
      </c>
    </row>
    <row r="18" spans="1:34" x14ac:dyDescent="0.35">
      <c r="A18" t="s">
        <v>506</v>
      </c>
      <c r="B18">
        <v>174.3</v>
      </c>
      <c r="C18">
        <v>210</v>
      </c>
      <c r="D18">
        <v>258.3</v>
      </c>
      <c r="E18">
        <v>274.05</v>
      </c>
      <c r="F18">
        <v>306.60000000000002</v>
      </c>
      <c r="G18">
        <v>332.85</v>
      </c>
      <c r="H18">
        <v>361.92</v>
      </c>
      <c r="I18">
        <v>385.84000000000003</v>
      </c>
      <c r="J18">
        <v>421.2</v>
      </c>
      <c r="K18">
        <v>436.8</v>
      </c>
      <c r="L18">
        <v>446.16</v>
      </c>
      <c r="M18">
        <v>471.12</v>
      </c>
      <c r="N18">
        <v>491.92</v>
      </c>
      <c r="O18">
        <v>507.52000000000004</v>
      </c>
      <c r="P18">
        <v>541.84</v>
      </c>
      <c r="Q18">
        <v>572</v>
      </c>
      <c r="R18">
        <v>609.44000000000005</v>
      </c>
      <c r="S18">
        <v>629.20000000000005</v>
      </c>
      <c r="T18">
        <v>647.92000000000007</v>
      </c>
      <c r="U18">
        <v>670.80000000000007</v>
      </c>
      <c r="V18">
        <v>688.48</v>
      </c>
      <c r="W18">
        <v>707.2</v>
      </c>
      <c r="X18">
        <v>729.04000000000008</v>
      </c>
      <c r="Y18">
        <v>750.88</v>
      </c>
      <c r="Z18">
        <v>780</v>
      </c>
      <c r="AA18">
        <v>813.28</v>
      </c>
      <c r="AB18">
        <v>837.2</v>
      </c>
      <c r="AC18">
        <v>880.88</v>
      </c>
      <c r="AD18">
        <v>917.28000000000009</v>
      </c>
      <c r="AE18">
        <v>955.76</v>
      </c>
      <c r="AF18">
        <v>985.92000000000007</v>
      </c>
      <c r="AG18">
        <v>985.92000000000007</v>
      </c>
      <c r="AH18">
        <v>985.92000000000007</v>
      </c>
    </row>
    <row r="19" spans="1:34" x14ac:dyDescent="0.35">
      <c r="A19" t="s">
        <v>507</v>
      </c>
      <c r="B19">
        <v>129.15</v>
      </c>
      <c r="C19">
        <v>171.15</v>
      </c>
      <c r="D19">
        <v>192.15</v>
      </c>
      <c r="E19">
        <v>217.35000000000002</v>
      </c>
      <c r="F19">
        <v>220.5</v>
      </c>
      <c r="G19">
        <v>227.85000000000002</v>
      </c>
      <c r="H19">
        <v>240.24</v>
      </c>
      <c r="I19">
        <v>258.96000000000004</v>
      </c>
      <c r="J19">
        <v>272.48</v>
      </c>
      <c r="K19">
        <v>288.08</v>
      </c>
      <c r="L19">
        <v>301.60000000000002</v>
      </c>
      <c r="M19">
        <v>316.16000000000003</v>
      </c>
      <c r="N19">
        <v>323.44</v>
      </c>
      <c r="O19">
        <v>329.68</v>
      </c>
      <c r="P19">
        <v>344.24</v>
      </c>
      <c r="Q19">
        <v>352.56</v>
      </c>
      <c r="R19">
        <v>356.72</v>
      </c>
      <c r="S19">
        <v>368.16</v>
      </c>
      <c r="T19">
        <v>384.8</v>
      </c>
      <c r="U19">
        <v>397.28000000000003</v>
      </c>
      <c r="V19">
        <v>408.72</v>
      </c>
      <c r="W19">
        <v>418.08000000000004</v>
      </c>
      <c r="X19">
        <v>430.56</v>
      </c>
      <c r="Y19">
        <v>444.08000000000004</v>
      </c>
      <c r="Z19">
        <v>455.52000000000004</v>
      </c>
      <c r="AA19">
        <v>470.08000000000004</v>
      </c>
      <c r="AB19">
        <v>483.6</v>
      </c>
      <c r="AC19">
        <v>503.36</v>
      </c>
      <c r="AD19">
        <v>525.20000000000005</v>
      </c>
      <c r="AE19">
        <v>557.44000000000005</v>
      </c>
      <c r="AF19">
        <v>580.32000000000005</v>
      </c>
      <c r="AG19">
        <v>580.32000000000005</v>
      </c>
      <c r="AH19">
        <v>580.32000000000005</v>
      </c>
    </row>
    <row r="20" spans="1:34" x14ac:dyDescent="0.35">
      <c r="A20" t="s">
        <v>508</v>
      </c>
      <c r="B20">
        <v>139.65</v>
      </c>
      <c r="C20">
        <v>189</v>
      </c>
      <c r="D20">
        <v>189</v>
      </c>
      <c r="E20">
        <v>231</v>
      </c>
      <c r="F20">
        <v>265.65000000000003</v>
      </c>
      <c r="G20">
        <v>276.15000000000003</v>
      </c>
      <c r="H20">
        <v>299.52</v>
      </c>
      <c r="I20">
        <v>313.04000000000002</v>
      </c>
      <c r="J20">
        <v>327.60000000000002</v>
      </c>
      <c r="K20">
        <v>341.12</v>
      </c>
      <c r="L20">
        <v>353.6</v>
      </c>
      <c r="M20">
        <v>369.2</v>
      </c>
      <c r="N20">
        <v>378.56</v>
      </c>
      <c r="O20">
        <v>391.04</v>
      </c>
      <c r="P20">
        <v>406.64</v>
      </c>
      <c r="Q20">
        <v>419.12</v>
      </c>
      <c r="R20">
        <v>438.88</v>
      </c>
      <c r="S20">
        <v>452.40000000000003</v>
      </c>
      <c r="T20">
        <v>472.16</v>
      </c>
      <c r="U20">
        <v>483.6</v>
      </c>
      <c r="V20">
        <v>505.44</v>
      </c>
      <c r="W20">
        <v>528.32000000000005</v>
      </c>
      <c r="X20">
        <v>543.92000000000007</v>
      </c>
      <c r="Y20">
        <v>559.52</v>
      </c>
      <c r="Z20">
        <v>579.28</v>
      </c>
      <c r="AA20">
        <v>599.04</v>
      </c>
      <c r="AB20">
        <v>617.76</v>
      </c>
      <c r="AC20">
        <v>638.56000000000006</v>
      </c>
      <c r="AD20">
        <v>660.4</v>
      </c>
      <c r="AE20">
        <v>679.12</v>
      </c>
      <c r="AF20">
        <v>689.52</v>
      </c>
      <c r="AG20">
        <v>689.52</v>
      </c>
      <c r="AH20">
        <v>689.52</v>
      </c>
    </row>
    <row r="21" spans="1:34" x14ac:dyDescent="0.35">
      <c r="A21" t="s">
        <v>509</v>
      </c>
      <c r="B21">
        <v>105</v>
      </c>
      <c r="C21">
        <v>139.65</v>
      </c>
      <c r="D21">
        <v>162.75</v>
      </c>
      <c r="E21">
        <v>184.8</v>
      </c>
      <c r="F21">
        <v>196.35</v>
      </c>
      <c r="G21">
        <v>203.70000000000002</v>
      </c>
      <c r="H21">
        <v>216.32</v>
      </c>
      <c r="I21">
        <v>226.72</v>
      </c>
      <c r="J21">
        <v>235.04000000000002</v>
      </c>
      <c r="K21">
        <v>247.52</v>
      </c>
      <c r="L21">
        <v>252.72</v>
      </c>
      <c r="M21">
        <v>271.44</v>
      </c>
      <c r="N21">
        <v>278.72000000000003</v>
      </c>
      <c r="O21">
        <v>287.04000000000002</v>
      </c>
      <c r="P21">
        <v>304.72000000000003</v>
      </c>
      <c r="Q21">
        <v>309.92</v>
      </c>
      <c r="R21">
        <v>317.2</v>
      </c>
      <c r="S21">
        <v>323.44</v>
      </c>
      <c r="T21">
        <v>330.72</v>
      </c>
      <c r="U21">
        <v>338</v>
      </c>
      <c r="V21">
        <v>344.24</v>
      </c>
      <c r="W21">
        <v>351.52000000000004</v>
      </c>
      <c r="X21">
        <v>358.8</v>
      </c>
      <c r="Y21">
        <v>367.12</v>
      </c>
      <c r="Z21">
        <v>373.36</v>
      </c>
      <c r="AA21">
        <v>381.68</v>
      </c>
      <c r="AB21">
        <v>390</v>
      </c>
      <c r="AC21">
        <v>400.40000000000003</v>
      </c>
      <c r="AD21">
        <v>402.48</v>
      </c>
      <c r="AE21">
        <v>420.16</v>
      </c>
      <c r="AF21">
        <v>437.84000000000003</v>
      </c>
      <c r="AG21">
        <v>437.84000000000003</v>
      </c>
      <c r="AH21">
        <v>437.84000000000003</v>
      </c>
    </row>
    <row r="22" spans="1:34" x14ac:dyDescent="0.35">
      <c r="A22" t="s">
        <v>510</v>
      </c>
      <c r="B22">
        <v>186.9</v>
      </c>
      <c r="C22">
        <v>219.45000000000002</v>
      </c>
      <c r="D22">
        <v>252</v>
      </c>
      <c r="E22">
        <v>297.15000000000003</v>
      </c>
      <c r="F22">
        <v>315</v>
      </c>
      <c r="G22">
        <v>331.8</v>
      </c>
      <c r="H22">
        <v>349.44</v>
      </c>
      <c r="I22">
        <v>367.12</v>
      </c>
      <c r="J22">
        <v>391.04</v>
      </c>
      <c r="K22">
        <v>414.96000000000004</v>
      </c>
      <c r="L22">
        <v>435.76</v>
      </c>
      <c r="M22">
        <v>454.48</v>
      </c>
      <c r="N22">
        <v>487.76</v>
      </c>
      <c r="O22">
        <v>530.4</v>
      </c>
      <c r="P22">
        <v>536.64</v>
      </c>
      <c r="Q22">
        <v>569.92000000000007</v>
      </c>
      <c r="R22">
        <v>606.32000000000005</v>
      </c>
      <c r="S22">
        <v>640.64</v>
      </c>
      <c r="T22">
        <v>692.64</v>
      </c>
      <c r="U22">
        <v>716.56000000000006</v>
      </c>
      <c r="V22">
        <v>768.56000000000006</v>
      </c>
      <c r="W22">
        <v>810.16000000000008</v>
      </c>
      <c r="X22">
        <v>854.88</v>
      </c>
      <c r="Y22">
        <v>884</v>
      </c>
      <c r="Z22">
        <v>932.88</v>
      </c>
      <c r="AA22">
        <v>970.32</v>
      </c>
      <c r="AB22">
        <v>999.44</v>
      </c>
      <c r="AC22">
        <v>1043.1200000000001</v>
      </c>
      <c r="AD22">
        <v>1077.44</v>
      </c>
      <c r="AE22">
        <v>1123.2</v>
      </c>
      <c r="AF22">
        <v>1163.76</v>
      </c>
      <c r="AG22">
        <v>1163.76</v>
      </c>
      <c r="AH22">
        <v>1163.76</v>
      </c>
    </row>
    <row r="23" spans="1:34" x14ac:dyDescent="0.35">
      <c r="A23" t="s">
        <v>511</v>
      </c>
      <c r="B23">
        <v>130.20000000000002</v>
      </c>
      <c r="C23">
        <v>172.20000000000002</v>
      </c>
      <c r="D23">
        <v>192.15</v>
      </c>
      <c r="E23">
        <v>217.35000000000002</v>
      </c>
      <c r="F23">
        <v>243.60000000000002</v>
      </c>
      <c r="G23">
        <v>254.10000000000002</v>
      </c>
      <c r="H23">
        <v>273.52</v>
      </c>
      <c r="I23">
        <v>286</v>
      </c>
      <c r="J23">
        <v>297.44</v>
      </c>
      <c r="K23">
        <v>306.8</v>
      </c>
      <c r="L23">
        <v>318.24</v>
      </c>
      <c r="M23">
        <v>327.60000000000002</v>
      </c>
      <c r="N23">
        <v>331.76</v>
      </c>
      <c r="O23">
        <v>333.84000000000003</v>
      </c>
      <c r="P23">
        <v>342.16</v>
      </c>
      <c r="Q23">
        <v>361.92</v>
      </c>
      <c r="R23">
        <v>374.40000000000003</v>
      </c>
      <c r="S23">
        <v>391.04</v>
      </c>
      <c r="T23">
        <v>404.56</v>
      </c>
      <c r="U23">
        <v>429.52000000000004</v>
      </c>
      <c r="V23">
        <v>443.04</v>
      </c>
      <c r="W23">
        <v>458.64000000000004</v>
      </c>
      <c r="X23">
        <v>472.16</v>
      </c>
      <c r="Y23">
        <v>482.56</v>
      </c>
      <c r="Z23">
        <v>496.08000000000004</v>
      </c>
      <c r="AA23">
        <v>511.68</v>
      </c>
      <c r="AB23">
        <v>527.28</v>
      </c>
      <c r="AC23">
        <v>549.12</v>
      </c>
      <c r="AD23">
        <v>575.12</v>
      </c>
      <c r="AE23">
        <v>592.80000000000007</v>
      </c>
      <c r="AF23">
        <v>602.16</v>
      </c>
      <c r="AG23">
        <v>602.16</v>
      </c>
      <c r="AH23">
        <v>602.16</v>
      </c>
    </row>
    <row r="24" spans="1:34" x14ac:dyDescent="0.35">
      <c r="A24" t="s">
        <v>512</v>
      </c>
      <c r="B24">
        <v>168</v>
      </c>
      <c r="C24">
        <v>207.9</v>
      </c>
      <c r="D24">
        <v>249.9</v>
      </c>
      <c r="E24">
        <v>274.05</v>
      </c>
      <c r="F24">
        <v>292.95</v>
      </c>
      <c r="G24">
        <v>309.75</v>
      </c>
      <c r="H24">
        <v>334.88</v>
      </c>
      <c r="I24">
        <v>358.8</v>
      </c>
      <c r="J24">
        <v>381.68</v>
      </c>
      <c r="K24">
        <v>418.08000000000004</v>
      </c>
      <c r="L24">
        <v>434.72</v>
      </c>
      <c r="M24">
        <v>465.92</v>
      </c>
      <c r="N24">
        <v>472.16</v>
      </c>
      <c r="O24">
        <v>487.76</v>
      </c>
      <c r="P24">
        <v>525.20000000000005</v>
      </c>
      <c r="Q24">
        <v>547.04</v>
      </c>
      <c r="R24">
        <v>569.92000000000007</v>
      </c>
      <c r="S24">
        <v>589.68000000000006</v>
      </c>
      <c r="T24">
        <v>605.28</v>
      </c>
      <c r="U24">
        <v>614.64</v>
      </c>
      <c r="V24">
        <v>642.72</v>
      </c>
      <c r="W24">
        <v>658.32</v>
      </c>
      <c r="X24">
        <v>686.4</v>
      </c>
      <c r="Y24">
        <v>718.64</v>
      </c>
      <c r="Z24">
        <v>743.6</v>
      </c>
      <c r="AA24">
        <v>777.92000000000007</v>
      </c>
      <c r="AB24">
        <v>808.08</v>
      </c>
      <c r="AC24">
        <v>842.4</v>
      </c>
      <c r="AD24">
        <v>867.36</v>
      </c>
      <c r="AE24">
        <v>906.88</v>
      </c>
      <c r="AF24">
        <v>945.36</v>
      </c>
      <c r="AG24">
        <v>945.36</v>
      </c>
      <c r="AH24">
        <v>945.36</v>
      </c>
    </row>
    <row r="25" spans="1:34" x14ac:dyDescent="0.35">
      <c r="A25" t="s">
        <v>513</v>
      </c>
      <c r="B25">
        <v>118.65</v>
      </c>
      <c r="C25">
        <v>152.25</v>
      </c>
      <c r="D25">
        <v>169.05</v>
      </c>
      <c r="E25">
        <v>191.1</v>
      </c>
      <c r="F25">
        <v>197.4</v>
      </c>
      <c r="G25">
        <v>210</v>
      </c>
      <c r="H25">
        <v>217.36</v>
      </c>
      <c r="I25">
        <v>228.8</v>
      </c>
      <c r="J25">
        <v>240.24</v>
      </c>
      <c r="K25">
        <v>251.68</v>
      </c>
      <c r="L25">
        <v>258.96000000000004</v>
      </c>
      <c r="M25">
        <v>272.48</v>
      </c>
      <c r="N25">
        <v>292.24</v>
      </c>
      <c r="O25">
        <v>301.60000000000002</v>
      </c>
      <c r="P25">
        <v>317.2</v>
      </c>
      <c r="Q25">
        <v>326.56</v>
      </c>
      <c r="R25">
        <v>338</v>
      </c>
      <c r="S25">
        <v>345.28000000000003</v>
      </c>
      <c r="T25">
        <v>361.92</v>
      </c>
      <c r="U25">
        <v>362.96000000000004</v>
      </c>
      <c r="V25">
        <v>374.40000000000003</v>
      </c>
      <c r="W25">
        <v>386.88</v>
      </c>
      <c r="X25">
        <v>399.36</v>
      </c>
      <c r="Y25">
        <v>408.72</v>
      </c>
      <c r="Z25">
        <v>422.24</v>
      </c>
      <c r="AA25">
        <v>435.76</v>
      </c>
      <c r="AB25">
        <v>448.24</v>
      </c>
      <c r="AC25">
        <v>469.04</v>
      </c>
      <c r="AD25">
        <v>487.76</v>
      </c>
      <c r="AE25">
        <v>502.32</v>
      </c>
      <c r="AF25">
        <v>510.64000000000004</v>
      </c>
      <c r="AG25">
        <v>510.64000000000004</v>
      </c>
      <c r="AH25">
        <v>510.64000000000004</v>
      </c>
    </row>
    <row r="26" spans="1:34" x14ac:dyDescent="0.35">
      <c r="A26" t="s">
        <v>514</v>
      </c>
      <c r="B26">
        <v>101.85000000000001</v>
      </c>
      <c r="C26">
        <v>133.35</v>
      </c>
      <c r="D26">
        <v>150.15</v>
      </c>
      <c r="E26">
        <v>168</v>
      </c>
      <c r="F26">
        <v>173.25</v>
      </c>
      <c r="G26">
        <v>182.70000000000002</v>
      </c>
      <c r="H26">
        <v>194.48000000000002</v>
      </c>
      <c r="I26">
        <v>198.64000000000001</v>
      </c>
      <c r="J26">
        <v>209.04000000000002</v>
      </c>
      <c r="K26">
        <v>221.52</v>
      </c>
      <c r="L26">
        <v>225.68</v>
      </c>
      <c r="M26">
        <v>237.12</v>
      </c>
      <c r="N26">
        <v>239.20000000000002</v>
      </c>
      <c r="O26">
        <v>250.64000000000001</v>
      </c>
      <c r="P26">
        <v>258.96000000000004</v>
      </c>
      <c r="Q26">
        <v>260</v>
      </c>
      <c r="R26">
        <v>267.28000000000003</v>
      </c>
      <c r="S26">
        <v>275.60000000000002</v>
      </c>
      <c r="T26">
        <v>283.92</v>
      </c>
      <c r="U26">
        <v>288.08</v>
      </c>
      <c r="V26">
        <v>297.44</v>
      </c>
      <c r="W26">
        <v>306.8</v>
      </c>
      <c r="X26">
        <v>316.16000000000003</v>
      </c>
      <c r="Y26">
        <v>320.32</v>
      </c>
      <c r="Z26">
        <v>328.64</v>
      </c>
      <c r="AA26">
        <v>338</v>
      </c>
      <c r="AB26">
        <v>346.32</v>
      </c>
      <c r="AC26">
        <v>358.8</v>
      </c>
      <c r="AD26">
        <v>366.08000000000004</v>
      </c>
      <c r="AE26">
        <v>380.64</v>
      </c>
      <c r="AF26">
        <v>396.24</v>
      </c>
      <c r="AG26">
        <v>396.24</v>
      </c>
      <c r="AH26">
        <v>396.24</v>
      </c>
    </row>
    <row r="27" spans="1:34" x14ac:dyDescent="0.35">
      <c r="A27" t="s">
        <v>515</v>
      </c>
      <c r="B27">
        <v>161.70000000000002</v>
      </c>
      <c r="C27">
        <v>210</v>
      </c>
      <c r="D27">
        <v>239.4</v>
      </c>
      <c r="E27">
        <v>284.55</v>
      </c>
      <c r="F27">
        <v>303.45</v>
      </c>
      <c r="G27">
        <v>319.2</v>
      </c>
      <c r="H27">
        <v>346.32</v>
      </c>
      <c r="I27">
        <v>361.92</v>
      </c>
      <c r="J27">
        <v>377.52000000000004</v>
      </c>
      <c r="K27">
        <v>399.36</v>
      </c>
      <c r="L27">
        <v>418.08000000000004</v>
      </c>
      <c r="M27">
        <v>431.6</v>
      </c>
      <c r="N27">
        <v>450.32</v>
      </c>
      <c r="O27">
        <v>468</v>
      </c>
      <c r="P27">
        <v>476.32</v>
      </c>
      <c r="Q27">
        <v>516.88</v>
      </c>
      <c r="R27">
        <v>538.72</v>
      </c>
      <c r="S27">
        <v>566.80000000000007</v>
      </c>
      <c r="T27">
        <v>592.80000000000007</v>
      </c>
      <c r="U27">
        <v>617.76</v>
      </c>
      <c r="V27">
        <v>642.72</v>
      </c>
      <c r="W27">
        <v>663.52</v>
      </c>
      <c r="X27">
        <v>682.24</v>
      </c>
      <c r="Y27">
        <v>705.12</v>
      </c>
      <c r="Z27">
        <v>730.08</v>
      </c>
      <c r="AA27">
        <v>761.28</v>
      </c>
      <c r="AB27">
        <v>792.48</v>
      </c>
      <c r="AC27">
        <v>826.80000000000007</v>
      </c>
      <c r="AD27">
        <v>844.48</v>
      </c>
      <c r="AE27">
        <v>862.16000000000008</v>
      </c>
      <c r="AF27">
        <v>876.72</v>
      </c>
      <c r="AG27">
        <v>876.72</v>
      </c>
      <c r="AH27">
        <v>876.72</v>
      </c>
    </row>
    <row r="28" spans="1:34" x14ac:dyDescent="0.35">
      <c r="A28" t="s">
        <v>516</v>
      </c>
      <c r="B28">
        <v>150.15</v>
      </c>
      <c r="C28">
        <v>196.35</v>
      </c>
      <c r="D28">
        <v>225.75</v>
      </c>
      <c r="E28">
        <v>266.7</v>
      </c>
      <c r="F28">
        <v>279.3</v>
      </c>
      <c r="G28">
        <v>288.75</v>
      </c>
      <c r="H28">
        <v>316.16000000000003</v>
      </c>
      <c r="I28">
        <v>330.72</v>
      </c>
      <c r="J28">
        <v>352.56</v>
      </c>
      <c r="K28">
        <v>366.08000000000004</v>
      </c>
      <c r="L28">
        <v>381.68</v>
      </c>
      <c r="M28">
        <v>399.36</v>
      </c>
      <c r="N28">
        <v>414.96000000000004</v>
      </c>
      <c r="O28">
        <v>429.52000000000004</v>
      </c>
      <c r="P28">
        <v>445.12</v>
      </c>
      <c r="Q28">
        <v>464.88</v>
      </c>
      <c r="R28">
        <v>486.72</v>
      </c>
      <c r="S28">
        <v>511.68</v>
      </c>
      <c r="T28">
        <v>538.72</v>
      </c>
      <c r="U28">
        <v>561.6</v>
      </c>
      <c r="V28">
        <v>586.56000000000006</v>
      </c>
      <c r="W28">
        <v>615.68000000000006</v>
      </c>
      <c r="X28">
        <v>641.68000000000006</v>
      </c>
      <c r="Y28">
        <v>663.52</v>
      </c>
      <c r="Z28">
        <v>690.56000000000006</v>
      </c>
      <c r="AA28">
        <v>719.68000000000006</v>
      </c>
      <c r="AB28">
        <v>740.48</v>
      </c>
      <c r="AC28">
        <v>772.72</v>
      </c>
      <c r="AD28">
        <v>798.72</v>
      </c>
      <c r="AE28">
        <v>819.52</v>
      </c>
      <c r="AF28">
        <v>832</v>
      </c>
      <c r="AG28">
        <v>832</v>
      </c>
      <c r="AH28">
        <v>832</v>
      </c>
    </row>
    <row r="29" spans="1:34" x14ac:dyDescent="0.35">
      <c r="A29" t="s">
        <v>517</v>
      </c>
      <c r="B29">
        <v>185.85</v>
      </c>
      <c r="C29">
        <v>260.40000000000003</v>
      </c>
      <c r="D29">
        <v>302.40000000000003</v>
      </c>
      <c r="E29">
        <v>344.40000000000003</v>
      </c>
      <c r="F29">
        <v>403.20000000000005</v>
      </c>
      <c r="G29">
        <v>418.95000000000005</v>
      </c>
      <c r="H29">
        <v>438.88</v>
      </c>
      <c r="I29">
        <v>465.92</v>
      </c>
      <c r="J29">
        <v>491.92</v>
      </c>
      <c r="K29">
        <v>518.96</v>
      </c>
      <c r="L29">
        <v>526.24</v>
      </c>
      <c r="M29">
        <v>540.80000000000007</v>
      </c>
      <c r="N29">
        <v>562.64</v>
      </c>
      <c r="O29">
        <v>599.04</v>
      </c>
      <c r="P29">
        <v>628.16</v>
      </c>
      <c r="Q29">
        <v>651.04000000000008</v>
      </c>
      <c r="R29">
        <v>686.4</v>
      </c>
      <c r="S29">
        <v>708.24</v>
      </c>
      <c r="T29">
        <v>740.48</v>
      </c>
      <c r="U29">
        <v>775.84</v>
      </c>
      <c r="V29">
        <v>822.64</v>
      </c>
      <c r="W29">
        <v>872.56000000000006</v>
      </c>
      <c r="X29">
        <v>917.28000000000009</v>
      </c>
      <c r="Y29">
        <v>964.08</v>
      </c>
      <c r="Z29">
        <v>1020.24</v>
      </c>
      <c r="AA29">
        <v>1047.28</v>
      </c>
      <c r="AB29">
        <v>1085.76</v>
      </c>
      <c r="AC29">
        <v>1125.28</v>
      </c>
      <c r="AD29">
        <v>1159.6000000000001</v>
      </c>
      <c r="AE29">
        <v>1190.8</v>
      </c>
      <c r="AF29">
        <v>1219.92</v>
      </c>
      <c r="AG29">
        <v>1219.92</v>
      </c>
      <c r="AH29">
        <v>1219.92</v>
      </c>
    </row>
    <row r="30" spans="1:34" x14ac:dyDescent="0.35">
      <c r="A30" t="s">
        <v>518</v>
      </c>
      <c r="B30">
        <v>126</v>
      </c>
      <c r="C30">
        <v>149.1</v>
      </c>
      <c r="D30">
        <v>173.25</v>
      </c>
      <c r="E30">
        <v>195.3</v>
      </c>
      <c r="F30">
        <v>207.9</v>
      </c>
      <c r="G30">
        <v>215.25</v>
      </c>
      <c r="H30">
        <v>230.88</v>
      </c>
      <c r="I30">
        <v>241.28</v>
      </c>
      <c r="J30">
        <v>250.64000000000001</v>
      </c>
      <c r="K30">
        <v>263.12</v>
      </c>
      <c r="L30">
        <v>273.52</v>
      </c>
      <c r="M30">
        <v>284.96000000000004</v>
      </c>
      <c r="N30">
        <v>296.40000000000003</v>
      </c>
      <c r="O30">
        <v>308.88</v>
      </c>
      <c r="P30">
        <v>316.16000000000003</v>
      </c>
      <c r="Q30">
        <v>339.04</v>
      </c>
      <c r="R30">
        <v>352.56</v>
      </c>
      <c r="S30">
        <v>366.08000000000004</v>
      </c>
      <c r="T30">
        <v>378.56</v>
      </c>
      <c r="U30">
        <v>395.2</v>
      </c>
      <c r="V30">
        <v>411.84000000000003</v>
      </c>
      <c r="W30">
        <v>425.36</v>
      </c>
      <c r="X30">
        <v>444.08000000000004</v>
      </c>
      <c r="Y30">
        <v>452.40000000000003</v>
      </c>
      <c r="Z30">
        <v>465.92</v>
      </c>
      <c r="AA30">
        <v>489.84000000000003</v>
      </c>
      <c r="AB30">
        <v>506.48</v>
      </c>
      <c r="AC30">
        <v>537.68000000000006</v>
      </c>
      <c r="AD30">
        <v>558.48</v>
      </c>
      <c r="AE30">
        <v>586.56000000000006</v>
      </c>
      <c r="AF30">
        <v>615.68000000000006</v>
      </c>
      <c r="AG30">
        <v>615.68000000000006</v>
      </c>
      <c r="AH30">
        <v>615.68000000000006</v>
      </c>
    </row>
    <row r="31" spans="1:34" x14ac:dyDescent="0.35">
      <c r="A31" t="s">
        <v>519</v>
      </c>
      <c r="B31">
        <v>175.35</v>
      </c>
      <c r="C31">
        <v>212.10000000000002</v>
      </c>
      <c r="D31">
        <v>257.25</v>
      </c>
      <c r="E31">
        <v>283.5</v>
      </c>
      <c r="F31">
        <v>301.35000000000002</v>
      </c>
      <c r="G31">
        <v>312.90000000000003</v>
      </c>
      <c r="H31">
        <v>347.36</v>
      </c>
      <c r="I31">
        <v>376.48</v>
      </c>
      <c r="J31">
        <v>402.48</v>
      </c>
      <c r="K31">
        <v>436.8</v>
      </c>
      <c r="L31">
        <v>461.76</v>
      </c>
      <c r="M31">
        <v>478.40000000000003</v>
      </c>
      <c r="N31">
        <v>498.16</v>
      </c>
      <c r="O31">
        <v>526.24</v>
      </c>
      <c r="P31">
        <v>558.48</v>
      </c>
      <c r="Q31">
        <v>596.96</v>
      </c>
      <c r="R31">
        <v>618.80000000000007</v>
      </c>
      <c r="S31">
        <v>641.68000000000006</v>
      </c>
      <c r="T31">
        <v>666.64</v>
      </c>
      <c r="U31">
        <v>690.56000000000006</v>
      </c>
      <c r="V31">
        <v>708.24</v>
      </c>
      <c r="W31">
        <v>736.32</v>
      </c>
      <c r="X31">
        <v>758.16000000000008</v>
      </c>
      <c r="Y31">
        <v>787.28</v>
      </c>
      <c r="Z31">
        <v>819.52</v>
      </c>
      <c r="AA31">
        <v>850.72</v>
      </c>
      <c r="AB31">
        <v>884</v>
      </c>
      <c r="AC31">
        <v>930.80000000000007</v>
      </c>
      <c r="AD31">
        <v>956.80000000000007</v>
      </c>
      <c r="AE31">
        <v>993.2</v>
      </c>
      <c r="AF31">
        <v>1019.2</v>
      </c>
      <c r="AG31">
        <v>1019.2</v>
      </c>
      <c r="AH31">
        <v>1019.2</v>
      </c>
    </row>
    <row r="32" spans="1:34" x14ac:dyDescent="0.35">
      <c r="A32" t="s">
        <v>520</v>
      </c>
      <c r="B32">
        <v>175.35</v>
      </c>
      <c r="C32">
        <v>228.9</v>
      </c>
      <c r="D32">
        <v>258.3</v>
      </c>
      <c r="E32">
        <v>285.60000000000002</v>
      </c>
      <c r="F32">
        <v>311.85000000000002</v>
      </c>
      <c r="G32">
        <v>333.90000000000003</v>
      </c>
      <c r="H32">
        <v>364</v>
      </c>
      <c r="I32">
        <v>401.44</v>
      </c>
      <c r="J32">
        <v>416</v>
      </c>
      <c r="K32">
        <v>448.24</v>
      </c>
      <c r="L32">
        <v>480.48</v>
      </c>
      <c r="M32">
        <v>507.52000000000004</v>
      </c>
      <c r="N32">
        <v>538.72</v>
      </c>
      <c r="O32">
        <v>562.64</v>
      </c>
      <c r="P32">
        <v>587.6</v>
      </c>
      <c r="Q32">
        <v>630.24</v>
      </c>
      <c r="R32">
        <v>654.16</v>
      </c>
      <c r="S32">
        <v>672.88</v>
      </c>
      <c r="T32">
        <v>695.76</v>
      </c>
      <c r="U32">
        <v>715.52</v>
      </c>
      <c r="V32">
        <v>736.32</v>
      </c>
      <c r="W32">
        <v>758.16000000000008</v>
      </c>
      <c r="X32">
        <v>777.92000000000007</v>
      </c>
      <c r="Y32">
        <v>797.68000000000006</v>
      </c>
      <c r="Z32">
        <v>836.16000000000008</v>
      </c>
      <c r="AA32">
        <v>862.16000000000008</v>
      </c>
      <c r="AB32">
        <v>899.6</v>
      </c>
      <c r="AC32">
        <v>944.32</v>
      </c>
      <c r="AD32">
        <v>967.2</v>
      </c>
      <c r="AE32">
        <v>994.24</v>
      </c>
      <c r="AF32">
        <v>1019.2</v>
      </c>
      <c r="AG32">
        <v>1019.2</v>
      </c>
      <c r="AH32">
        <v>1019.2</v>
      </c>
    </row>
    <row r="33" spans="1:34" x14ac:dyDescent="0.35">
      <c r="A33" t="s">
        <v>521</v>
      </c>
      <c r="B33">
        <v>175.35</v>
      </c>
      <c r="C33">
        <v>218.4</v>
      </c>
      <c r="D33">
        <v>262.5</v>
      </c>
      <c r="E33">
        <v>287.7</v>
      </c>
      <c r="F33">
        <v>308.7</v>
      </c>
      <c r="G33">
        <v>325.5</v>
      </c>
      <c r="H33">
        <v>352.56</v>
      </c>
      <c r="I33">
        <v>378.56</v>
      </c>
      <c r="J33">
        <v>402.48</v>
      </c>
      <c r="K33">
        <v>437.84000000000003</v>
      </c>
      <c r="L33">
        <v>456.56</v>
      </c>
      <c r="M33">
        <v>489.84000000000003</v>
      </c>
      <c r="N33">
        <v>496.08000000000004</v>
      </c>
      <c r="O33">
        <v>511.68</v>
      </c>
      <c r="P33">
        <v>551.20000000000005</v>
      </c>
      <c r="Q33">
        <v>574.08000000000004</v>
      </c>
      <c r="R33">
        <v>598</v>
      </c>
      <c r="S33">
        <v>618.80000000000007</v>
      </c>
      <c r="T33">
        <v>636.48</v>
      </c>
      <c r="U33">
        <v>644.80000000000007</v>
      </c>
      <c r="V33">
        <v>676</v>
      </c>
      <c r="W33">
        <v>690.56000000000006</v>
      </c>
      <c r="X33">
        <v>721.76</v>
      </c>
      <c r="Y33">
        <v>754</v>
      </c>
      <c r="Z33">
        <v>781.04000000000008</v>
      </c>
      <c r="AA33">
        <v>816.4</v>
      </c>
      <c r="AB33">
        <v>847.6</v>
      </c>
      <c r="AC33">
        <v>884</v>
      </c>
      <c r="AD33">
        <v>911.04000000000008</v>
      </c>
      <c r="AE33">
        <v>952.64</v>
      </c>
      <c r="AF33">
        <v>992.16000000000008</v>
      </c>
      <c r="AG33">
        <v>992.16000000000008</v>
      </c>
      <c r="AH33">
        <v>992.16000000000008</v>
      </c>
    </row>
    <row r="34" spans="1:34" x14ac:dyDescent="0.35">
      <c r="A34" t="s">
        <v>522</v>
      </c>
      <c r="B34">
        <v>135.45000000000002</v>
      </c>
      <c r="C34">
        <v>159.6</v>
      </c>
      <c r="D34">
        <v>185.85</v>
      </c>
      <c r="E34">
        <v>208.95000000000002</v>
      </c>
      <c r="F34">
        <v>222.60000000000002</v>
      </c>
      <c r="G34">
        <v>229.95000000000002</v>
      </c>
      <c r="H34">
        <v>248.56</v>
      </c>
      <c r="I34">
        <v>258.96000000000004</v>
      </c>
      <c r="J34">
        <v>270.40000000000003</v>
      </c>
      <c r="K34">
        <v>281.84000000000003</v>
      </c>
      <c r="L34">
        <v>294.32</v>
      </c>
      <c r="M34">
        <v>305.76</v>
      </c>
      <c r="N34">
        <v>318.24</v>
      </c>
      <c r="O34">
        <v>330.72</v>
      </c>
      <c r="P34">
        <v>338</v>
      </c>
      <c r="Q34">
        <v>364</v>
      </c>
      <c r="R34">
        <v>377.52000000000004</v>
      </c>
      <c r="S34">
        <v>392.08000000000004</v>
      </c>
      <c r="T34">
        <v>404.56</v>
      </c>
      <c r="U34">
        <v>423.28000000000003</v>
      </c>
      <c r="V34">
        <v>442</v>
      </c>
      <c r="W34">
        <v>456.56</v>
      </c>
      <c r="X34">
        <v>475.28000000000003</v>
      </c>
      <c r="Y34">
        <v>484.64000000000004</v>
      </c>
      <c r="Z34">
        <v>499.20000000000005</v>
      </c>
      <c r="AA34">
        <v>524.16</v>
      </c>
      <c r="AB34">
        <v>543.92000000000007</v>
      </c>
      <c r="AC34">
        <v>576.16</v>
      </c>
      <c r="AD34">
        <v>598</v>
      </c>
      <c r="AE34">
        <v>630.24</v>
      </c>
      <c r="AF34">
        <v>660.4</v>
      </c>
      <c r="AG34">
        <v>660.4</v>
      </c>
      <c r="AH34">
        <v>660.4</v>
      </c>
    </row>
    <row r="35" spans="1:34" x14ac:dyDescent="0.35">
      <c r="A35" t="s">
        <v>523</v>
      </c>
      <c r="B35">
        <v>172.20000000000002</v>
      </c>
      <c r="C35">
        <v>207.9</v>
      </c>
      <c r="D35">
        <v>226.8</v>
      </c>
      <c r="E35">
        <v>254.10000000000002</v>
      </c>
      <c r="F35">
        <v>263.55</v>
      </c>
      <c r="G35">
        <v>274.05</v>
      </c>
      <c r="H35">
        <v>299.52</v>
      </c>
      <c r="I35">
        <v>321.36</v>
      </c>
      <c r="J35">
        <v>346.32</v>
      </c>
      <c r="K35">
        <v>366.08000000000004</v>
      </c>
      <c r="L35">
        <v>381.68</v>
      </c>
      <c r="M35">
        <v>402.48</v>
      </c>
      <c r="N35">
        <v>424.32</v>
      </c>
      <c r="O35">
        <v>465.92</v>
      </c>
      <c r="P35">
        <v>489.84000000000003</v>
      </c>
      <c r="Q35">
        <v>526.24</v>
      </c>
      <c r="R35">
        <v>558.48</v>
      </c>
      <c r="S35">
        <v>587.6</v>
      </c>
      <c r="T35">
        <v>617.76</v>
      </c>
      <c r="U35">
        <v>648.96</v>
      </c>
      <c r="V35">
        <v>689.52</v>
      </c>
      <c r="W35">
        <v>730.08</v>
      </c>
      <c r="X35">
        <v>758.16000000000008</v>
      </c>
      <c r="Y35">
        <v>778.96</v>
      </c>
      <c r="Z35">
        <v>810.16000000000008</v>
      </c>
      <c r="AA35">
        <v>841.36</v>
      </c>
      <c r="AB35">
        <v>869.44</v>
      </c>
      <c r="AC35">
        <v>907.92000000000007</v>
      </c>
      <c r="AD35">
        <v>941.2</v>
      </c>
      <c r="AE35">
        <v>972.4</v>
      </c>
      <c r="AF35">
        <v>985.92000000000007</v>
      </c>
      <c r="AG35">
        <v>985.92000000000007</v>
      </c>
      <c r="AH35">
        <v>985.92000000000007</v>
      </c>
    </row>
    <row r="36" spans="1:34" x14ac:dyDescent="0.35">
      <c r="A36" t="s">
        <v>524</v>
      </c>
      <c r="B36">
        <v>133.35</v>
      </c>
      <c r="C36">
        <v>177.45000000000002</v>
      </c>
      <c r="D36">
        <v>200.55</v>
      </c>
      <c r="E36">
        <v>237.3</v>
      </c>
      <c r="F36">
        <v>262.5</v>
      </c>
      <c r="G36">
        <v>277.2</v>
      </c>
      <c r="H36">
        <v>306.8</v>
      </c>
      <c r="I36">
        <v>317.2</v>
      </c>
      <c r="J36">
        <v>333.84000000000003</v>
      </c>
      <c r="K36">
        <v>345.28000000000003</v>
      </c>
      <c r="L36">
        <v>360.88</v>
      </c>
      <c r="M36">
        <v>377.52000000000004</v>
      </c>
      <c r="N36">
        <v>385.84000000000003</v>
      </c>
      <c r="O36">
        <v>397.28000000000003</v>
      </c>
      <c r="P36">
        <v>402.48</v>
      </c>
      <c r="Q36">
        <v>414.96000000000004</v>
      </c>
      <c r="R36">
        <v>427.44</v>
      </c>
      <c r="S36">
        <v>443.04</v>
      </c>
      <c r="T36">
        <v>455.52000000000004</v>
      </c>
      <c r="U36">
        <v>476.32</v>
      </c>
      <c r="V36">
        <v>491.92</v>
      </c>
      <c r="W36">
        <v>507.52000000000004</v>
      </c>
      <c r="X36">
        <v>524.16</v>
      </c>
      <c r="Y36">
        <v>540.80000000000007</v>
      </c>
      <c r="Z36">
        <v>557.44000000000005</v>
      </c>
      <c r="AA36">
        <v>575.12</v>
      </c>
      <c r="AB36">
        <v>585.52</v>
      </c>
      <c r="AC36">
        <v>610.48</v>
      </c>
      <c r="AD36">
        <v>626.08000000000004</v>
      </c>
      <c r="AE36">
        <v>648.96</v>
      </c>
      <c r="AF36">
        <v>673.92000000000007</v>
      </c>
      <c r="AG36">
        <v>673.92000000000007</v>
      </c>
      <c r="AH36">
        <v>673.92000000000007</v>
      </c>
    </row>
    <row r="37" spans="1:34" x14ac:dyDescent="0.35">
      <c r="A37" t="s">
        <v>525</v>
      </c>
      <c r="B37">
        <v>159.6</v>
      </c>
      <c r="C37">
        <v>207.9</v>
      </c>
      <c r="D37">
        <v>237.3</v>
      </c>
      <c r="E37">
        <v>280.35000000000002</v>
      </c>
      <c r="F37">
        <v>295.05</v>
      </c>
      <c r="G37">
        <v>303.45</v>
      </c>
      <c r="H37">
        <v>331.76</v>
      </c>
      <c r="I37">
        <v>347.36</v>
      </c>
      <c r="J37">
        <v>370.24</v>
      </c>
      <c r="K37">
        <v>385.84000000000003</v>
      </c>
      <c r="L37">
        <v>402.48</v>
      </c>
      <c r="M37">
        <v>421.2</v>
      </c>
      <c r="N37">
        <v>436.8</v>
      </c>
      <c r="O37">
        <v>452.40000000000003</v>
      </c>
      <c r="P37">
        <v>468</v>
      </c>
      <c r="Q37">
        <v>489.84000000000003</v>
      </c>
      <c r="R37">
        <v>511.68</v>
      </c>
      <c r="S37">
        <v>537.68000000000006</v>
      </c>
      <c r="T37">
        <v>567.84</v>
      </c>
      <c r="U37">
        <v>592.80000000000007</v>
      </c>
      <c r="V37">
        <v>618.80000000000007</v>
      </c>
      <c r="W37">
        <v>647.92000000000007</v>
      </c>
      <c r="X37">
        <v>674.96</v>
      </c>
      <c r="Y37">
        <v>699.92000000000007</v>
      </c>
      <c r="Z37">
        <v>729.04000000000008</v>
      </c>
      <c r="AA37">
        <v>757.12</v>
      </c>
      <c r="AB37">
        <v>778.96</v>
      </c>
      <c r="AC37">
        <v>812.24</v>
      </c>
      <c r="AD37">
        <v>841.36</v>
      </c>
      <c r="AE37">
        <v>862.16000000000008</v>
      </c>
      <c r="AF37">
        <v>876.72</v>
      </c>
      <c r="AG37">
        <v>876.72</v>
      </c>
      <c r="AH37">
        <v>876.72</v>
      </c>
    </row>
    <row r="38" spans="1:34" x14ac:dyDescent="0.35">
      <c r="A38" t="s">
        <v>526</v>
      </c>
      <c r="B38">
        <v>70.350000000000009</v>
      </c>
      <c r="C38">
        <v>90.3</v>
      </c>
      <c r="D38">
        <v>102.9</v>
      </c>
      <c r="E38">
        <v>121.80000000000001</v>
      </c>
      <c r="F38">
        <v>135.45000000000002</v>
      </c>
      <c r="G38">
        <v>152.25</v>
      </c>
      <c r="H38">
        <v>163.28</v>
      </c>
      <c r="I38">
        <v>170.56</v>
      </c>
      <c r="J38">
        <v>179.92000000000002</v>
      </c>
      <c r="K38">
        <v>190.32</v>
      </c>
      <c r="L38">
        <v>195.52</v>
      </c>
      <c r="M38">
        <v>201.76000000000002</v>
      </c>
      <c r="N38">
        <v>206.96</v>
      </c>
      <c r="O38">
        <v>216.32</v>
      </c>
      <c r="P38">
        <v>223.6</v>
      </c>
      <c r="Q38">
        <v>228.8</v>
      </c>
      <c r="R38">
        <v>235.04000000000002</v>
      </c>
      <c r="S38">
        <v>239.20000000000002</v>
      </c>
      <c r="T38">
        <v>243.36</v>
      </c>
      <c r="U38">
        <v>248.56</v>
      </c>
      <c r="V38">
        <v>250.64000000000001</v>
      </c>
      <c r="W38">
        <v>260</v>
      </c>
      <c r="X38">
        <v>265.2</v>
      </c>
      <c r="Y38">
        <v>266.24</v>
      </c>
      <c r="Z38">
        <v>272.48</v>
      </c>
      <c r="AA38">
        <v>278.72000000000003</v>
      </c>
      <c r="AB38">
        <v>286</v>
      </c>
      <c r="AC38">
        <v>294.32</v>
      </c>
      <c r="AD38">
        <v>299.52</v>
      </c>
      <c r="AE38">
        <v>316.16000000000003</v>
      </c>
      <c r="AF38">
        <v>328.64</v>
      </c>
      <c r="AG38">
        <v>328.64</v>
      </c>
      <c r="AH38">
        <v>328.64</v>
      </c>
    </row>
    <row r="39" spans="1:34" x14ac:dyDescent="0.35">
      <c r="A39" t="s">
        <v>527</v>
      </c>
      <c r="B39">
        <v>115.5</v>
      </c>
      <c r="C39">
        <v>148.05000000000001</v>
      </c>
      <c r="D39">
        <v>163.80000000000001</v>
      </c>
      <c r="E39">
        <v>185.85</v>
      </c>
      <c r="F39">
        <v>192.15</v>
      </c>
      <c r="G39">
        <v>203.70000000000002</v>
      </c>
      <c r="H39">
        <v>210.08</v>
      </c>
      <c r="I39">
        <v>223.6</v>
      </c>
      <c r="J39">
        <v>232.96</v>
      </c>
      <c r="K39">
        <v>244.4</v>
      </c>
      <c r="L39">
        <v>250.64000000000001</v>
      </c>
      <c r="M39">
        <v>265.2</v>
      </c>
      <c r="N39">
        <v>282.88</v>
      </c>
      <c r="O39">
        <v>294.32</v>
      </c>
      <c r="P39">
        <v>308.88</v>
      </c>
      <c r="Q39">
        <v>317.2</v>
      </c>
      <c r="R39">
        <v>327.60000000000002</v>
      </c>
      <c r="S39">
        <v>335.92</v>
      </c>
      <c r="T39">
        <v>352.56</v>
      </c>
      <c r="U39">
        <v>353.6</v>
      </c>
      <c r="V39">
        <v>362.96000000000004</v>
      </c>
      <c r="W39">
        <v>376.48</v>
      </c>
      <c r="X39">
        <v>387.92</v>
      </c>
      <c r="Y39">
        <v>397.28000000000003</v>
      </c>
      <c r="Z39">
        <v>409.76</v>
      </c>
      <c r="AA39">
        <v>424.32</v>
      </c>
      <c r="AB39">
        <v>435.76</v>
      </c>
      <c r="AC39">
        <v>455.52000000000004</v>
      </c>
      <c r="AD39">
        <v>472.16</v>
      </c>
      <c r="AE39">
        <v>488.8</v>
      </c>
      <c r="AF39">
        <v>495.04</v>
      </c>
      <c r="AG39">
        <v>495.04</v>
      </c>
      <c r="AH39">
        <v>495.04</v>
      </c>
    </row>
    <row r="40" spans="1:34" x14ac:dyDescent="0.35">
      <c r="A40" t="s">
        <v>528</v>
      </c>
      <c r="B40">
        <v>206.85000000000002</v>
      </c>
      <c r="C40">
        <v>255.15</v>
      </c>
      <c r="D40">
        <v>307.65000000000003</v>
      </c>
      <c r="E40">
        <v>337.05</v>
      </c>
      <c r="F40">
        <v>361.2</v>
      </c>
      <c r="G40">
        <v>382.2</v>
      </c>
      <c r="H40">
        <v>412.88</v>
      </c>
      <c r="I40">
        <v>444.08000000000004</v>
      </c>
      <c r="J40">
        <v>471.12</v>
      </c>
      <c r="K40">
        <v>513.76</v>
      </c>
      <c r="L40">
        <v>535.6</v>
      </c>
      <c r="M40">
        <v>573.04</v>
      </c>
      <c r="N40">
        <v>582.4</v>
      </c>
      <c r="O40">
        <v>599.04</v>
      </c>
      <c r="P40">
        <v>646.88</v>
      </c>
      <c r="Q40">
        <v>673.92000000000007</v>
      </c>
      <c r="R40">
        <v>702</v>
      </c>
      <c r="S40">
        <v>726.96</v>
      </c>
      <c r="T40">
        <v>745.68000000000006</v>
      </c>
      <c r="U40">
        <v>756.08</v>
      </c>
      <c r="V40">
        <v>793.52</v>
      </c>
      <c r="W40">
        <v>811.2</v>
      </c>
      <c r="X40">
        <v>846.56000000000006</v>
      </c>
      <c r="Y40">
        <v>885.04000000000008</v>
      </c>
      <c r="Z40">
        <v>916.24</v>
      </c>
      <c r="AA40">
        <v>958.88</v>
      </c>
      <c r="AB40">
        <v>995.28000000000009</v>
      </c>
      <c r="AC40">
        <v>1037.92</v>
      </c>
      <c r="AD40">
        <v>1068.08</v>
      </c>
      <c r="AE40">
        <v>1118</v>
      </c>
      <c r="AF40">
        <v>1163.76</v>
      </c>
      <c r="AG40">
        <v>1163.76</v>
      </c>
      <c r="AH40">
        <v>1163.76</v>
      </c>
    </row>
    <row r="41" spans="1:34" x14ac:dyDescent="0.35">
      <c r="A41" t="s">
        <v>529</v>
      </c>
      <c r="B41">
        <v>158.55000000000001</v>
      </c>
      <c r="C41">
        <v>191.1</v>
      </c>
      <c r="D41">
        <v>207.9</v>
      </c>
      <c r="E41">
        <v>231</v>
      </c>
      <c r="F41">
        <v>260.40000000000003</v>
      </c>
      <c r="G41">
        <v>275.10000000000002</v>
      </c>
      <c r="H41">
        <v>300.56</v>
      </c>
      <c r="I41">
        <v>320.32</v>
      </c>
      <c r="J41">
        <v>339.04</v>
      </c>
      <c r="K41">
        <v>351.52000000000004</v>
      </c>
      <c r="L41">
        <v>366.08000000000004</v>
      </c>
      <c r="M41">
        <v>381.68</v>
      </c>
      <c r="N41">
        <v>393.12</v>
      </c>
      <c r="O41">
        <v>403.52000000000004</v>
      </c>
      <c r="P41">
        <v>418.08000000000004</v>
      </c>
      <c r="Q41">
        <v>430.56</v>
      </c>
      <c r="R41">
        <v>449.28000000000003</v>
      </c>
      <c r="S41">
        <v>465.92</v>
      </c>
      <c r="T41">
        <v>484.64000000000004</v>
      </c>
      <c r="U41">
        <v>494</v>
      </c>
      <c r="V41">
        <v>516.88</v>
      </c>
      <c r="W41">
        <v>536.64</v>
      </c>
      <c r="X41">
        <v>558.48</v>
      </c>
      <c r="Y41">
        <v>572</v>
      </c>
      <c r="Z41">
        <v>598</v>
      </c>
      <c r="AA41">
        <v>609.44000000000005</v>
      </c>
      <c r="AB41">
        <v>624</v>
      </c>
      <c r="AC41">
        <v>654.16</v>
      </c>
      <c r="AD41">
        <v>677.04000000000008</v>
      </c>
      <c r="AE41">
        <v>710.32</v>
      </c>
      <c r="AF41">
        <v>720.72</v>
      </c>
      <c r="AG41">
        <v>720.72</v>
      </c>
      <c r="AH41">
        <v>720.72</v>
      </c>
    </row>
    <row r="42" spans="1:34" x14ac:dyDescent="0.35">
      <c r="A42" t="s">
        <v>530</v>
      </c>
      <c r="B42">
        <v>68.25</v>
      </c>
      <c r="C42">
        <v>89.25</v>
      </c>
      <c r="D42">
        <v>100.80000000000001</v>
      </c>
      <c r="E42">
        <v>117.60000000000001</v>
      </c>
      <c r="F42">
        <v>142.80000000000001</v>
      </c>
      <c r="G42">
        <v>152.25</v>
      </c>
      <c r="H42">
        <v>166.4</v>
      </c>
      <c r="I42">
        <v>170.56</v>
      </c>
      <c r="J42">
        <v>179.92000000000002</v>
      </c>
      <c r="K42">
        <v>190.32</v>
      </c>
      <c r="L42">
        <v>192.4</v>
      </c>
      <c r="M42">
        <v>198.64000000000001</v>
      </c>
      <c r="N42">
        <v>206.96</v>
      </c>
      <c r="O42">
        <v>215.28</v>
      </c>
      <c r="P42">
        <v>223.6</v>
      </c>
      <c r="Q42">
        <v>225.68</v>
      </c>
      <c r="R42">
        <v>225.68</v>
      </c>
      <c r="S42">
        <v>238.16</v>
      </c>
      <c r="T42">
        <v>239.20000000000002</v>
      </c>
      <c r="U42">
        <v>247.52</v>
      </c>
      <c r="V42">
        <v>249.60000000000002</v>
      </c>
      <c r="W42">
        <v>251.68</v>
      </c>
      <c r="X42">
        <v>262.08</v>
      </c>
      <c r="Y42">
        <v>264.16000000000003</v>
      </c>
      <c r="Z42">
        <v>266.24</v>
      </c>
      <c r="AA42">
        <v>275.60000000000002</v>
      </c>
      <c r="AB42">
        <v>277.68</v>
      </c>
      <c r="AC42">
        <v>292.24</v>
      </c>
      <c r="AD42">
        <v>297.44</v>
      </c>
      <c r="AE42">
        <v>315.12</v>
      </c>
      <c r="AF42">
        <v>326.56</v>
      </c>
      <c r="AG42">
        <v>326.56</v>
      </c>
      <c r="AH42">
        <v>326.56</v>
      </c>
    </row>
    <row r="43" spans="1:34" x14ac:dyDescent="0.35">
      <c r="A43" t="s">
        <v>531</v>
      </c>
      <c r="B43">
        <v>107.10000000000001</v>
      </c>
      <c r="C43">
        <v>136.5</v>
      </c>
      <c r="D43">
        <v>151.20000000000002</v>
      </c>
      <c r="E43">
        <v>168</v>
      </c>
      <c r="F43">
        <v>177.45000000000002</v>
      </c>
      <c r="G43">
        <v>184.8</v>
      </c>
      <c r="H43">
        <v>196.56</v>
      </c>
      <c r="I43">
        <v>206.96</v>
      </c>
      <c r="J43">
        <v>214.24</v>
      </c>
      <c r="K43">
        <v>226.72</v>
      </c>
      <c r="L43">
        <v>230.88</v>
      </c>
      <c r="M43">
        <v>242.32000000000002</v>
      </c>
      <c r="N43">
        <v>252.72</v>
      </c>
      <c r="O43">
        <v>264.16000000000003</v>
      </c>
      <c r="P43">
        <v>278.72000000000003</v>
      </c>
      <c r="Q43">
        <v>282.88</v>
      </c>
      <c r="R43">
        <v>294.32</v>
      </c>
      <c r="S43">
        <v>303.68</v>
      </c>
      <c r="T43">
        <v>316.16000000000003</v>
      </c>
      <c r="U43">
        <v>320.32</v>
      </c>
      <c r="V43">
        <v>330.72</v>
      </c>
      <c r="W43">
        <v>340.08</v>
      </c>
      <c r="X43">
        <v>344.24</v>
      </c>
      <c r="Y43">
        <v>358.8</v>
      </c>
      <c r="Z43">
        <v>368.16</v>
      </c>
      <c r="AA43">
        <v>380.64</v>
      </c>
      <c r="AB43">
        <v>390</v>
      </c>
      <c r="AC43">
        <v>403.52000000000004</v>
      </c>
      <c r="AD43">
        <v>414.96000000000004</v>
      </c>
      <c r="AE43">
        <v>426.40000000000003</v>
      </c>
      <c r="AF43">
        <v>443.04</v>
      </c>
      <c r="AG43">
        <v>443.04</v>
      </c>
      <c r="AH43">
        <v>443.04</v>
      </c>
    </row>
    <row r="44" spans="1:34" x14ac:dyDescent="0.35">
      <c r="A44" t="s">
        <v>532</v>
      </c>
      <c r="B44">
        <v>156.45000000000002</v>
      </c>
      <c r="C44">
        <v>187.95000000000002</v>
      </c>
      <c r="D44">
        <v>218.4</v>
      </c>
      <c r="E44">
        <v>243.60000000000002</v>
      </c>
      <c r="F44">
        <v>266.7</v>
      </c>
      <c r="G44">
        <v>291.90000000000003</v>
      </c>
      <c r="H44">
        <v>320.32</v>
      </c>
      <c r="I44">
        <v>344.24</v>
      </c>
      <c r="J44">
        <v>370.24</v>
      </c>
      <c r="K44">
        <v>395.2</v>
      </c>
      <c r="L44">
        <v>421.2</v>
      </c>
      <c r="M44">
        <v>444.08000000000004</v>
      </c>
      <c r="N44">
        <v>458.64000000000004</v>
      </c>
      <c r="O44">
        <v>475.28000000000003</v>
      </c>
      <c r="P44">
        <v>494</v>
      </c>
      <c r="Q44">
        <v>515.84</v>
      </c>
      <c r="R44">
        <v>535.6</v>
      </c>
      <c r="S44">
        <v>549.12</v>
      </c>
      <c r="T44">
        <v>578.24</v>
      </c>
      <c r="U44">
        <v>593.84</v>
      </c>
      <c r="V44">
        <v>619.84</v>
      </c>
      <c r="W44">
        <v>642.72</v>
      </c>
      <c r="X44">
        <v>660.4</v>
      </c>
      <c r="Y44">
        <v>678.08</v>
      </c>
      <c r="Z44">
        <v>706.16</v>
      </c>
      <c r="AA44">
        <v>726.96</v>
      </c>
      <c r="AB44">
        <v>745.68000000000006</v>
      </c>
      <c r="AC44">
        <v>782.08</v>
      </c>
      <c r="AD44">
        <v>798.72</v>
      </c>
      <c r="AE44">
        <v>837.2</v>
      </c>
      <c r="AF44">
        <v>870.48</v>
      </c>
      <c r="AG44">
        <v>876.72</v>
      </c>
      <c r="AH44">
        <v>876.72</v>
      </c>
    </row>
    <row r="45" spans="1:34" x14ac:dyDescent="0.35">
      <c r="A45" t="s">
        <v>533</v>
      </c>
      <c r="B45">
        <v>145.95000000000002</v>
      </c>
      <c r="C45">
        <v>193.20000000000002</v>
      </c>
      <c r="D45">
        <v>220.5</v>
      </c>
      <c r="E45">
        <v>239.4</v>
      </c>
      <c r="F45">
        <v>243.60000000000002</v>
      </c>
      <c r="G45">
        <v>254.10000000000002</v>
      </c>
      <c r="H45">
        <v>272.48</v>
      </c>
      <c r="I45">
        <v>284.96000000000004</v>
      </c>
      <c r="J45">
        <v>298.48</v>
      </c>
      <c r="K45">
        <v>306.8</v>
      </c>
      <c r="L45">
        <v>316.16000000000003</v>
      </c>
      <c r="M45">
        <v>330.72</v>
      </c>
      <c r="N45">
        <v>341.12</v>
      </c>
      <c r="O45">
        <v>347.36</v>
      </c>
      <c r="P45">
        <v>364</v>
      </c>
      <c r="Q45">
        <v>381.68</v>
      </c>
      <c r="R45">
        <v>402.48</v>
      </c>
      <c r="S45">
        <v>418.08000000000004</v>
      </c>
      <c r="T45">
        <v>433.68</v>
      </c>
      <c r="U45">
        <v>442</v>
      </c>
      <c r="V45">
        <v>458.64000000000004</v>
      </c>
      <c r="W45">
        <v>477.36</v>
      </c>
      <c r="X45">
        <v>489.84000000000003</v>
      </c>
      <c r="Y45">
        <v>513.76</v>
      </c>
      <c r="Z45">
        <v>539.76</v>
      </c>
      <c r="AA45">
        <v>559.52</v>
      </c>
      <c r="AB45">
        <v>574.08000000000004</v>
      </c>
      <c r="AC45">
        <v>596.96</v>
      </c>
      <c r="AD45">
        <v>606.32000000000005</v>
      </c>
      <c r="AE45">
        <v>619.84</v>
      </c>
      <c r="AF45">
        <v>629.20000000000005</v>
      </c>
      <c r="AG45">
        <v>629.20000000000005</v>
      </c>
      <c r="AH45">
        <v>629.20000000000005</v>
      </c>
    </row>
    <row r="46" spans="1:34" x14ac:dyDescent="0.35">
      <c r="A46" t="s">
        <v>534</v>
      </c>
      <c r="B46">
        <v>164.85</v>
      </c>
      <c r="C46">
        <v>194.25</v>
      </c>
      <c r="D46">
        <v>214.20000000000002</v>
      </c>
      <c r="E46">
        <v>241.5</v>
      </c>
      <c r="F46">
        <v>275.10000000000002</v>
      </c>
      <c r="G46">
        <v>298.2</v>
      </c>
      <c r="H46">
        <v>334.88</v>
      </c>
      <c r="I46">
        <v>360.88</v>
      </c>
      <c r="J46">
        <v>386.88</v>
      </c>
      <c r="K46">
        <v>402.48</v>
      </c>
      <c r="L46">
        <v>424.32</v>
      </c>
      <c r="M46">
        <v>438.88</v>
      </c>
      <c r="N46">
        <v>454.48</v>
      </c>
      <c r="O46">
        <v>489.84000000000003</v>
      </c>
      <c r="P46">
        <v>514.80000000000007</v>
      </c>
      <c r="Q46">
        <v>534.56000000000006</v>
      </c>
      <c r="R46">
        <v>570.96</v>
      </c>
      <c r="S46">
        <v>592.80000000000007</v>
      </c>
      <c r="T46">
        <v>616.72</v>
      </c>
      <c r="U46">
        <v>633.36</v>
      </c>
      <c r="V46">
        <v>651.04000000000008</v>
      </c>
      <c r="W46">
        <v>671.84</v>
      </c>
      <c r="X46">
        <v>685.36</v>
      </c>
      <c r="Y46">
        <v>715.52</v>
      </c>
      <c r="Z46">
        <v>752.96</v>
      </c>
      <c r="AA46">
        <v>781.04000000000008</v>
      </c>
      <c r="AB46">
        <v>815.36</v>
      </c>
      <c r="AC46">
        <v>853.84</v>
      </c>
      <c r="AD46">
        <v>900.64</v>
      </c>
      <c r="AE46">
        <v>951.6</v>
      </c>
      <c r="AF46">
        <v>985.92000000000007</v>
      </c>
      <c r="AG46">
        <v>985.92000000000007</v>
      </c>
      <c r="AH46">
        <v>985.92000000000007</v>
      </c>
    </row>
    <row r="47" spans="1:34" x14ac:dyDescent="0.35">
      <c r="A47" t="s">
        <v>535</v>
      </c>
      <c r="B47">
        <v>165.9</v>
      </c>
      <c r="C47">
        <v>187.95000000000002</v>
      </c>
      <c r="D47">
        <v>226.8</v>
      </c>
      <c r="E47">
        <v>275.10000000000002</v>
      </c>
      <c r="F47">
        <v>312.90000000000003</v>
      </c>
      <c r="G47">
        <v>322.35000000000002</v>
      </c>
      <c r="H47">
        <v>355.68</v>
      </c>
      <c r="I47">
        <v>377.52000000000004</v>
      </c>
      <c r="J47">
        <v>398.32</v>
      </c>
      <c r="K47">
        <v>418.08000000000004</v>
      </c>
      <c r="L47">
        <v>432.64</v>
      </c>
      <c r="M47">
        <v>450.32</v>
      </c>
      <c r="N47">
        <v>470.08000000000004</v>
      </c>
      <c r="O47">
        <v>503.36</v>
      </c>
      <c r="P47">
        <v>537.68000000000006</v>
      </c>
      <c r="Q47">
        <v>563.68000000000006</v>
      </c>
      <c r="R47">
        <v>593.84</v>
      </c>
      <c r="S47">
        <v>609.44000000000005</v>
      </c>
      <c r="T47">
        <v>636.48</v>
      </c>
      <c r="U47">
        <v>648.96</v>
      </c>
      <c r="V47">
        <v>666.64</v>
      </c>
      <c r="W47">
        <v>684.32</v>
      </c>
      <c r="X47">
        <v>707.2</v>
      </c>
      <c r="Y47">
        <v>726.96</v>
      </c>
      <c r="Z47">
        <v>764.4</v>
      </c>
      <c r="AA47">
        <v>792.48</v>
      </c>
      <c r="AB47">
        <v>825.76</v>
      </c>
      <c r="AC47">
        <v>876.72</v>
      </c>
      <c r="AD47">
        <v>914.16000000000008</v>
      </c>
      <c r="AE47">
        <v>953.68000000000006</v>
      </c>
      <c r="AF47">
        <v>985.92000000000007</v>
      </c>
      <c r="AG47">
        <v>985.92000000000007</v>
      </c>
      <c r="AH47">
        <v>985.92000000000007</v>
      </c>
    </row>
    <row r="48" spans="1:34" x14ac:dyDescent="0.35">
      <c r="A48" t="s">
        <v>536</v>
      </c>
      <c r="B48">
        <v>128.1</v>
      </c>
      <c r="C48">
        <v>152.25</v>
      </c>
      <c r="D48">
        <v>163.80000000000001</v>
      </c>
      <c r="E48">
        <v>177.45000000000002</v>
      </c>
      <c r="F48">
        <v>198.45000000000002</v>
      </c>
      <c r="G48">
        <v>211.05</v>
      </c>
      <c r="H48">
        <v>228.8</v>
      </c>
      <c r="I48">
        <v>246.48000000000002</v>
      </c>
      <c r="J48">
        <v>264.16000000000003</v>
      </c>
      <c r="K48">
        <v>276.64</v>
      </c>
      <c r="L48">
        <v>287.04000000000002</v>
      </c>
      <c r="M48">
        <v>296.40000000000003</v>
      </c>
      <c r="N48">
        <v>301.60000000000002</v>
      </c>
      <c r="O48">
        <v>312</v>
      </c>
      <c r="P48">
        <v>318.24</v>
      </c>
      <c r="Q48">
        <v>332.8</v>
      </c>
      <c r="R48">
        <v>345.28000000000003</v>
      </c>
      <c r="S48">
        <v>352.56</v>
      </c>
      <c r="T48">
        <v>367.12</v>
      </c>
      <c r="U48">
        <v>375.44</v>
      </c>
      <c r="V48">
        <v>385.84000000000003</v>
      </c>
      <c r="W48">
        <v>398.32</v>
      </c>
      <c r="X48">
        <v>410.8</v>
      </c>
      <c r="Y48">
        <v>422.24</v>
      </c>
      <c r="Z48">
        <v>440.96000000000004</v>
      </c>
      <c r="AA48">
        <v>456.56</v>
      </c>
      <c r="AB48">
        <v>466.96000000000004</v>
      </c>
      <c r="AC48">
        <v>480.48</v>
      </c>
      <c r="AD48">
        <v>492.96000000000004</v>
      </c>
      <c r="AE48">
        <v>516.88</v>
      </c>
      <c r="AF48">
        <v>524.16</v>
      </c>
      <c r="AG48">
        <v>524.16</v>
      </c>
      <c r="AH48">
        <v>524.16</v>
      </c>
    </row>
    <row r="49" spans="1:34" x14ac:dyDescent="0.35">
      <c r="A49" t="s">
        <v>537</v>
      </c>
      <c r="B49">
        <v>154.35</v>
      </c>
      <c r="C49">
        <v>186.9</v>
      </c>
      <c r="D49">
        <v>217.35000000000002</v>
      </c>
      <c r="E49">
        <v>242.55</v>
      </c>
      <c r="F49">
        <v>264.60000000000002</v>
      </c>
      <c r="G49">
        <v>289.8</v>
      </c>
      <c r="H49">
        <v>318.24</v>
      </c>
      <c r="I49">
        <v>342.16</v>
      </c>
      <c r="J49">
        <v>368.16</v>
      </c>
      <c r="K49">
        <v>392.08000000000004</v>
      </c>
      <c r="L49">
        <v>419.12</v>
      </c>
      <c r="M49">
        <v>440.96000000000004</v>
      </c>
      <c r="N49">
        <v>455.52000000000004</v>
      </c>
      <c r="O49">
        <v>471.12</v>
      </c>
      <c r="P49">
        <v>490.88</v>
      </c>
      <c r="Q49">
        <v>512.72</v>
      </c>
      <c r="R49">
        <v>533.52</v>
      </c>
      <c r="S49">
        <v>546</v>
      </c>
      <c r="T49">
        <v>575.12</v>
      </c>
      <c r="U49">
        <v>590.72</v>
      </c>
      <c r="V49">
        <v>615.68000000000006</v>
      </c>
      <c r="W49">
        <v>639.6</v>
      </c>
      <c r="X49">
        <v>655.20000000000005</v>
      </c>
      <c r="Y49">
        <v>673.92000000000007</v>
      </c>
      <c r="Z49">
        <v>700.96</v>
      </c>
      <c r="AA49">
        <v>721.76</v>
      </c>
      <c r="AB49">
        <v>741.52</v>
      </c>
      <c r="AC49">
        <v>776.88</v>
      </c>
      <c r="AD49">
        <v>793.52</v>
      </c>
      <c r="AE49">
        <v>832</v>
      </c>
      <c r="AF49">
        <v>865.28</v>
      </c>
      <c r="AG49">
        <v>870.48</v>
      </c>
      <c r="AH49">
        <v>870.48</v>
      </c>
    </row>
    <row r="50" spans="1:34" x14ac:dyDescent="0.35">
      <c r="A50" t="s">
        <v>538</v>
      </c>
      <c r="B50">
        <v>171.15</v>
      </c>
      <c r="C50">
        <v>203.70000000000002</v>
      </c>
      <c r="D50">
        <v>218.4</v>
      </c>
      <c r="E50">
        <v>260.40000000000003</v>
      </c>
      <c r="F50">
        <v>297.15000000000003</v>
      </c>
      <c r="G50">
        <v>320.25</v>
      </c>
      <c r="H50">
        <v>351.52000000000004</v>
      </c>
      <c r="I50">
        <v>380.64</v>
      </c>
      <c r="J50">
        <v>402.48</v>
      </c>
      <c r="K50">
        <v>424.32</v>
      </c>
      <c r="L50">
        <v>446.16</v>
      </c>
      <c r="M50">
        <v>471.12</v>
      </c>
      <c r="N50">
        <v>499.20000000000005</v>
      </c>
      <c r="O50">
        <v>533.52</v>
      </c>
      <c r="P50">
        <v>556.4</v>
      </c>
      <c r="Q50">
        <v>578.24</v>
      </c>
      <c r="R50">
        <v>608.4</v>
      </c>
      <c r="S50">
        <v>635.44000000000005</v>
      </c>
      <c r="T50">
        <v>659.36</v>
      </c>
      <c r="U50">
        <v>686.4</v>
      </c>
      <c r="V50">
        <v>720.72</v>
      </c>
      <c r="W50">
        <v>756.08</v>
      </c>
      <c r="X50">
        <v>789.36</v>
      </c>
      <c r="Y50">
        <v>830.96</v>
      </c>
      <c r="Z50">
        <v>884</v>
      </c>
      <c r="AA50">
        <v>938.08</v>
      </c>
      <c r="AB50">
        <v>985.92000000000007</v>
      </c>
      <c r="AC50">
        <v>1044.1600000000001</v>
      </c>
      <c r="AD50">
        <v>1076.4000000000001</v>
      </c>
      <c r="AE50">
        <v>1098.24</v>
      </c>
      <c r="AF50">
        <v>1108.6400000000001</v>
      </c>
      <c r="AG50">
        <v>1108.6400000000001</v>
      </c>
      <c r="AH50">
        <v>1108.6400000000001</v>
      </c>
    </row>
    <row r="51" spans="1:34" x14ac:dyDescent="0.35">
      <c r="A51" t="s">
        <v>539</v>
      </c>
      <c r="B51">
        <v>139.65</v>
      </c>
      <c r="C51">
        <v>185.85</v>
      </c>
      <c r="D51">
        <v>217.35000000000002</v>
      </c>
      <c r="E51">
        <v>242.55</v>
      </c>
      <c r="F51">
        <v>253.05</v>
      </c>
      <c r="G51">
        <v>268.8</v>
      </c>
      <c r="H51">
        <v>289.12</v>
      </c>
      <c r="I51">
        <v>310.96000000000004</v>
      </c>
      <c r="J51">
        <v>328.64</v>
      </c>
      <c r="K51">
        <v>341.12</v>
      </c>
      <c r="L51">
        <v>356.72</v>
      </c>
      <c r="M51">
        <v>372.32</v>
      </c>
      <c r="N51">
        <v>381.68</v>
      </c>
      <c r="O51">
        <v>396.24</v>
      </c>
      <c r="P51">
        <v>408.72</v>
      </c>
      <c r="Q51">
        <v>420.16</v>
      </c>
      <c r="R51">
        <v>443.04</v>
      </c>
      <c r="S51">
        <v>465.92</v>
      </c>
      <c r="T51">
        <v>488.8</v>
      </c>
      <c r="U51">
        <v>505.44</v>
      </c>
      <c r="V51">
        <v>521.04</v>
      </c>
      <c r="W51">
        <v>540.80000000000007</v>
      </c>
      <c r="X51">
        <v>551.20000000000005</v>
      </c>
      <c r="Y51">
        <v>562.64</v>
      </c>
      <c r="Z51">
        <v>572</v>
      </c>
      <c r="AA51">
        <v>590.72</v>
      </c>
      <c r="AB51">
        <v>602.16</v>
      </c>
      <c r="AC51">
        <v>630.24</v>
      </c>
      <c r="AD51">
        <v>641.68000000000006</v>
      </c>
      <c r="AE51">
        <v>660.4</v>
      </c>
      <c r="AF51">
        <v>669.76</v>
      </c>
      <c r="AG51">
        <v>669.76</v>
      </c>
      <c r="AH51">
        <v>669.76</v>
      </c>
    </row>
    <row r="52" spans="1:34" x14ac:dyDescent="0.35">
      <c r="A52" t="s">
        <v>540</v>
      </c>
      <c r="B52">
        <v>137.55000000000001</v>
      </c>
      <c r="C52">
        <v>176.4</v>
      </c>
      <c r="D52">
        <v>202.65</v>
      </c>
      <c r="E52">
        <v>226.8</v>
      </c>
      <c r="F52">
        <v>254.10000000000002</v>
      </c>
      <c r="G52">
        <v>257.25</v>
      </c>
      <c r="H52">
        <v>278.72000000000003</v>
      </c>
      <c r="I52">
        <v>294.32</v>
      </c>
      <c r="J52">
        <v>310.96000000000004</v>
      </c>
      <c r="K52">
        <v>320.32</v>
      </c>
      <c r="L52">
        <v>338</v>
      </c>
      <c r="M52">
        <v>352.56</v>
      </c>
      <c r="N52">
        <v>365.04</v>
      </c>
      <c r="O52">
        <v>372.32</v>
      </c>
      <c r="P52">
        <v>379.6</v>
      </c>
      <c r="Q52">
        <v>392.08000000000004</v>
      </c>
      <c r="R52">
        <v>407.68</v>
      </c>
      <c r="S52">
        <v>430.56</v>
      </c>
      <c r="T52">
        <v>448.24</v>
      </c>
      <c r="U52">
        <v>465.92</v>
      </c>
      <c r="V52">
        <v>479.44</v>
      </c>
      <c r="W52">
        <v>503.36</v>
      </c>
      <c r="X52">
        <v>512.72</v>
      </c>
      <c r="Y52">
        <v>533.52</v>
      </c>
      <c r="Z52">
        <v>541.84</v>
      </c>
      <c r="AA52">
        <v>556.4</v>
      </c>
      <c r="AB52">
        <v>572</v>
      </c>
      <c r="AC52">
        <v>590.72</v>
      </c>
      <c r="AD52">
        <v>606.32000000000005</v>
      </c>
      <c r="AE52">
        <v>621.92000000000007</v>
      </c>
      <c r="AF52">
        <v>631.28</v>
      </c>
      <c r="AG52">
        <v>631.28</v>
      </c>
      <c r="AH52">
        <v>631.28</v>
      </c>
    </row>
    <row r="53" spans="1:34" x14ac:dyDescent="0.35">
      <c r="A53" t="s">
        <v>541</v>
      </c>
      <c r="B53">
        <v>149.1</v>
      </c>
      <c r="C53">
        <v>180.6</v>
      </c>
      <c r="D53">
        <v>208.95000000000002</v>
      </c>
      <c r="E53">
        <v>232.05</v>
      </c>
      <c r="F53">
        <v>254.10000000000002</v>
      </c>
      <c r="G53">
        <v>278.25</v>
      </c>
      <c r="H53">
        <v>305.76</v>
      </c>
      <c r="I53">
        <v>329.68</v>
      </c>
      <c r="J53">
        <v>354.64</v>
      </c>
      <c r="K53">
        <v>377.52000000000004</v>
      </c>
      <c r="L53">
        <v>402.48</v>
      </c>
      <c r="M53">
        <v>423.28000000000003</v>
      </c>
      <c r="N53">
        <v>436.8</v>
      </c>
      <c r="O53">
        <v>453.44</v>
      </c>
      <c r="P53">
        <v>471.12</v>
      </c>
      <c r="Q53">
        <v>491.92</v>
      </c>
      <c r="R53">
        <v>511.68</v>
      </c>
      <c r="S53">
        <v>524.16</v>
      </c>
      <c r="T53">
        <v>552.24</v>
      </c>
      <c r="U53">
        <v>567.84</v>
      </c>
      <c r="V53">
        <v>591.76</v>
      </c>
      <c r="W53">
        <v>614.64</v>
      </c>
      <c r="X53">
        <v>629.20000000000005</v>
      </c>
      <c r="Y53">
        <v>647.92000000000007</v>
      </c>
      <c r="Z53">
        <v>673.92000000000007</v>
      </c>
      <c r="AA53">
        <v>693.68000000000006</v>
      </c>
      <c r="AB53">
        <v>711.36</v>
      </c>
      <c r="AC53">
        <v>745.68000000000006</v>
      </c>
      <c r="AD53">
        <v>762.32</v>
      </c>
      <c r="AE53">
        <v>799.76</v>
      </c>
      <c r="AF53">
        <v>830.96</v>
      </c>
      <c r="AG53">
        <v>836.16000000000008</v>
      </c>
      <c r="AH53">
        <v>836.16000000000008</v>
      </c>
    </row>
    <row r="54" spans="1:34" x14ac:dyDescent="0.35">
      <c r="A54" t="s">
        <v>542</v>
      </c>
      <c r="B54">
        <v>141.75</v>
      </c>
      <c r="C54">
        <v>185.85</v>
      </c>
      <c r="D54">
        <v>210</v>
      </c>
      <c r="E54">
        <v>245.70000000000002</v>
      </c>
      <c r="F54">
        <v>266.7</v>
      </c>
      <c r="G54">
        <v>276.15000000000003</v>
      </c>
      <c r="H54">
        <v>298.48</v>
      </c>
      <c r="I54">
        <v>313.04000000000002</v>
      </c>
      <c r="J54">
        <v>321.36</v>
      </c>
      <c r="K54">
        <v>331.76</v>
      </c>
      <c r="L54">
        <v>342.16</v>
      </c>
      <c r="M54">
        <v>354.64</v>
      </c>
      <c r="N54">
        <v>366.08000000000004</v>
      </c>
      <c r="O54">
        <v>372.32</v>
      </c>
      <c r="P54">
        <v>380.64</v>
      </c>
      <c r="Q54">
        <v>391.04</v>
      </c>
      <c r="R54">
        <v>407.68</v>
      </c>
      <c r="S54">
        <v>427.44</v>
      </c>
      <c r="T54">
        <v>436.8</v>
      </c>
      <c r="U54">
        <v>446.16</v>
      </c>
      <c r="V54">
        <v>466.96000000000004</v>
      </c>
      <c r="W54">
        <v>487.76</v>
      </c>
      <c r="X54">
        <v>503.36</v>
      </c>
      <c r="Y54">
        <v>523.12</v>
      </c>
      <c r="Z54">
        <v>541.84</v>
      </c>
      <c r="AA54">
        <v>562.64</v>
      </c>
      <c r="AB54">
        <v>570.96</v>
      </c>
      <c r="AC54">
        <v>585.52</v>
      </c>
      <c r="AD54">
        <v>606.32000000000005</v>
      </c>
      <c r="AE54">
        <v>637.52</v>
      </c>
      <c r="AF54">
        <v>654.16</v>
      </c>
      <c r="AG54">
        <v>654.16</v>
      </c>
      <c r="AH54">
        <v>654.16</v>
      </c>
    </row>
    <row r="55" spans="1:34" x14ac:dyDescent="0.35">
      <c r="A55" t="s">
        <v>543</v>
      </c>
      <c r="B55">
        <v>141.75</v>
      </c>
      <c r="C55">
        <v>186.9</v>
      </c>
      <c r="D55">
        <v>218.4</v>
      </c>
      <c r="E55">
        <v>240.45000000000002</v>
      </c>
      <c r="F55">
        <v>265.65000000000003</v>
      </c>
      <c r="G55">
        <v>279.3</v>
      </c>
      <c r="H55">
        <v>300.56</v>
      </c>
      <c r="I55">
        <v>317.2</v>
      </c>
      <c r="J55">
        <v>329.68</v>
      </c>
      <c r="K55">
        <v>339.04</v>
      </c>
      <c r="L55">
        <v>345.28000000000003</v>
      </c>
      <c r="M55">
        <v>355.68</v>
      </c>
      <c r="N55">
        <v>368.16</v>
      </c>
      <c r="O55">
        <v>380.64</v>
      </c>
      <c r="P55">
        <v>391.04</v>
      </c>
      <c r="Q55">
        <v>402.48</v>
      </c>
      <c r="R55">
        <v>421.2</v>
      </c>
      <c r="S55">
        <v>436.8</v>
      </c>
      <c r="T55">
        <v>454.48</v>
      </c>
      <c r="U55">
        <v>465.92</v>
      </c>
      <c r="V55">
        <v>486.72</v>
      </c>
      <c r="W55">
        <v>509.6</v>
      </c>
      <c r="X55">
        <v>525.20000000000005</v>
      </c>
      <c r="Y55">
        <v>541.84</v>
      </c>
      <c r="Z55">
        <v>561.6</v>
      </c>
      <c r="AA55">
        <v>581.36</v>
      </c>
      <c r="AB55">
        <v>589.68000000000006</v>
      </c>
      <c r="AC55">
        <v>607.36</v>
      </c>
      <c r="AD55">
        <v>621.92000000000007</v>
      </c>
      <c r="AE55">
        <v>643.76</v>
      </c>
      <c r="AF55">
        <v>654.16</v>
      </c>
      <c r="AG55">
        <v>654.16</v>
      </c>
      <c r="AH55">
        <v>654.16</v>
      </c>
    </row>
    <row r="56" spans="1:34" x14ac:dyDescent="0.35">
      <c r="A56" t="s">
        <v>544</v>
      </c>
      <c r="B56">
        <v>165.9</v>
      </c>
      <c r="C56">
        <v>203.70000000000002</v>
      </c>
      <c r="D56">
        <v>219.45000000000002</v>
      </c>
      <c r="E56">
        <v>243.60000000000002</v>
      </c>
      <c r="F56">
        <v>263.55</v>
      </c>
      <c r="G56">
        <v>279.3</v>
      </c>
      <c r="H56">
        <v>303.68</v>
      </c>
      <c r="I56">
        <v>322.40000000000003</v>
      </c>
      <c r="J56">
        <v>341.12</v>
      </c>
      <c r="K56">
        <v>357.76</v>
      </c>
      <c r="L56">
        <v>376.48</v>
      </c>
      <c r="M56">
        <v>400.40000000000003</v>
      </c>
      <c r="N56">
        <v>423.28000000000003</v>
      </c>
      <c r="O56">
        <v>454.48</v>
      </c>
      <c r="P56">
        <v>480.48</v>
      </c>
      <c r="Q56">
        <v>509.6</v>
      </c>
      <c r="R56">
        <v>544.96</v>
      </c>
      <c r="S56">
        <v>578.24</v>
      </c>
      <c r="T56">
        <v>609.44000000000005</v>
      </c>
      <c r="U56">
        <v>640.64</v>
      </c>
      <c r="V56">
        <v>678.08</v>
      </c>
      <c r="W56">
        <v>713.44</v>
      </c>
      <c r="X56">
        <v>750.88</v>
      </c>
      <c r="Y56">
        <v>787.28</v>
      </c>
      <c r="Z56">
        <v>823.68000000000006</v>
      </c>
      <c r="AA56">
        <v>856.96</v>
      </c>
      <c r="AB56">
        <v>890.24</v>
      </c>
      <c r="AC56">
        <v>918.32</v>
      </c>
      <c r="AD56">
        <v>924.56000000000006</v>
      </c>
      <c r="AE56">
        <v>952.64</v>
      </c>
      <c r="AF56">
        <v>985.92000000000007</v>
      </c>
      <c r="AG56">
        <v>985.92000000000007</v>
      </c>
      <c r="AH56">
        <v>985.92000000000007</v>
      </c>
    </row>
    <row r="57" spans="1:34" x14ac:dyDescent="0.35">
      <c r="A57" t="s">
        <v>545</v>
      </c>
      <c r="B57">
        <v>145.95000000000002</v>
      </c>
      <c r="C57">
        <v>183.75</v>
      </c>
      <c r="D57">
        <v>208.95000000000002</v>
      </c>
      <c r="E57">
        <v>238.35000000000002</v>
      </c>
      <c r="F57">
        <v>263.55</v>
      </c>
      <c r="G57">
        <v>278.25</v>
      </c>
      <c r="H57">
        <v>299.52</v>
      </c>
      <c r="I57">
        <v>315.12</v>
      </c>
      <c r="J57">
        <v>322.40000000000003</v>
      </c>
      <c r="K57">
        <v>331.76</v>
      </c>
      <c r="L57">
        <v>343.2</v>
      </c>
      <c r="M57">
        <v>353.6</v>
      </c>
      <c r="N57">
        <v>365.04</v>
      </c>
      <c r="O57">
        <v>376.48</v>
      </c>
      <c r="P57">
        <v>384.8</v>
      </c>
      <c r="Q57">
        <v>411.84000000000003</v>
      </c>
      <c r="R57">
        <v>424.32</v>
      </c>
      <c r="S57">
        <v>437.84000000000003</v>
      </c>
      <c r="T57">
        <v>455.52000000000004</v>
      </c>
      <c r="U57">
        <v>464.88</v>
      </c>
      <c r="V57">
        <v>484.64000000000004</v>
      </c>
      <c r="W57">
        <v>512.72</v>
      </c>
      <c r="X57">
        <v>524.16</v>
      </c>
      <c r="Y57">
        <v>540.80000000000007</v>
      </c>
      <c r="Z57">
        <v>560.56000000000006</v>
      </c>
      <c r="AA57">
        <v>576.16</v>
      </c>
      <c r="AB57">
        <v>590.72</v>
      </c>
      <c r="AC57">
        <v>608.4</v>
      </c>
      <c r="AD57">
        <v>620.88</v>
      </c>
      <c r="AE57">
        <v>643.76</v>
      </c>
      <c r="AF57">
        <v>654.16</v>
      </c>
      <c r="AG57">
        <v>654.16</v>
      </c>
      <c r="AH57">
        <v>654.16</v>
      </c>
    </row>
    <row r="58" spans="1:34" x14ac:dyDescent="0.35">
      <c r="A58" t="s">
        <v>546</v>
      </c>
      <c r="B58">
        <v>124.95</v>
      </c>
      <c r="C58">
        <v>170.1</v>
      </c>
      <c r="D58">
        <v>192.15</v>
      </c>
      <c r="E58">
        <v>223.65</v>
      </c>
      <c r="F58">
        <v>234.15</v>
      </c>
      <c r="G58">
        <v>243.60000000000002</v>
      </c>
      <c r="H58">
        <v>251.68</v>
      </c>
      <c r="I58">
        <v>260</v>
      </c>
      <c r="J58">
        <v>272.48</v>
      </c>
      <c r="K58">
        <v>281.84000000000003</v>
      </c>
      <c r="L58">
        <v>294.32</v>
      </c>
      <c r="M58">
        <v>306.8</v>
      </c>
      <c r="N58">
        <v>317.2</v>
      </c>
      <c r="O58">
        <v>334.88</v>
      </c>
      <c r="P58">
        <v>353.6</v>
      </c>
      <c r="Q58">
        <v>360.88</v>
      </c>
      <c r="R58">
        <v>368.16</v>
      </c>
      <c r="S58">
        <v>375.44</v>
      </c>
      <c r="T58">
        <v>385.84000000000003</v>
      </c>
      <c r="U58">
        <v>393.12</v>
      </c>
      <c r="V58">
        <v>406.64</v>
      </c>
      <c r="W58">
        <v>411.84000000000003</v>
      </c>
      <c r="X58">
        <v>424.32</v>
      </c>
      <c r="Y58">
        <v>434.72</v>
      </c>
      <c r="Z58">
        <v>445.12</v>
      </c>
      <c r="AA58">
        <v>450.32</v>
      </c>
      <c r="AB58">
        <v>469.04</v>
      </c>
      <c r="AC58">
        <v>488.8</v>
      </c>
      <c r="AD58">
        <v>506.48</v>
      </c>
      <c r="AE58">
        <v>527.28</v>
      </c>
      <c r="AF58">
        <v>538.72</v>
      </c>
      <c r="AG58">
        <v>538.72</v>
      </c>
      <c r="AH58">
        <v>538.72</v>
      </c>
    </row>
    <row r="59" spans="1:34" x14ac:dyDescent="0.35">
      <c r="A59" t="s">
        <v>547</v>
      </c>
      <c r="B59">
        <v>154.35</v>
      </c>
      <c r="C59">
        <v>203.70000000000002</v>
      </c>
      <c r="D59">
        <v>231</v>
      </c>
      <c r="E59">
        <v>275.10000000000002</v>
      </c>
      <c r="F59">
        <v>287.7</v>
      </c>
      <c r="G59">
        <v>298.2</v>
      </c>
      <c r="H59">
        <v>324.48</v>
      </c>
      <c r="I59">
        <v>340.08</v>
      </c>
      <c r="J59">
        <v>362.96000000000004</v>
      </c>
      <c r="K59">
        <v>377.52000000000004</v>
      </c>
      <c r="L59">
        <v>395.2</v>
      </c>
      <c r="M59">
        <v>410.8</v>
      </c>
      <c r="N59">
        <v>427.44</v>
      </c>
      <c r="O59">
        <v>443.04</v>
      </c>
      <c r="P59">
        <v>458.64000000000004</v>
      </c>
      <c r="Q59">
        <v>478.40000000000003</v>
      </c>
      <c r="R59">
        <v>501.28000000000003</v>
      </c>
      <c r="S59">
        <v>526.24</v>
      </c>
      <c r="T59">
        <v>555.36</v>
      </c>
      <c r="U59">
        <v>579.28</v>
      </c>
      <c r="V59">
        <v>605.28</v>
      </c>
      <c r="W59">
        <v>633.36</v>
      </c>
      <c r="X59">
        <v>661.44</v>
      </c>
      <c r="Y59">
        <v>685.36</v>
      </c>
      <c r="Z59">
        <v>712.4</v>
      </c>
      <c r="AA59">
        <v>741.52</v>
      </c>
      <c r="AB59">
        <v>763.36</v>
      </c>
      <c r="AC59">
        <v>796.64</v>
      </c>
      <c r="AD59">
        <v>823.68000000000006</v>
      </c>
      <c r="AE59">
        <v>844.48</v>
      </c>
      <c r="AF59">
        <v>856.96</v>
      </c>
      <c r="AG59">
        <v>856.96</v>
      </c>
      <c r="AH59">
        <v>856.96</v>
      </c>
    </row>
    <row r="60" spans="1:34" x14ac:dyDescent="0.35">
      <c r="A60" t="s">
        <v>548</v>
      </c>
      <c r="B60">
        <v>137.55000000000001</v>
      </c>
      <c r="C60">
        <v>186.9</v>
      </c>
      <c r="D60">
        <v>214.20000000000002</v>
      </c>
      <c r="E60">
        <v>240.45000000000002</v>
      </c>
      <c r="F60">
        <v>253.05</v>
      </c>
      <c r="G60">
        <v>267.75</v>
      </c>
      <c r="H60">
        <v>289.12</v>
      </c>
      <c r="I60">
        <v>308.88</v>
      </c>
      <c r="J60">
        <v>322.40000000000003</v>
      </c>
      <c r="K60">
        <v>338</v>
      </c>
      <c r="L60">
        <v>351.52000000000004</v>
      </c>
      <c r="M60">
        <v>364</v>
      </c>
      <c r="N60">
        <v>378.56</v>
      </c>
      <c r="O60">
        <v>391.04</v>
      </c>
      <c r="P60">
        <v>404.56</v>
      </c>
      <c r="Q60">
        <v>423.28000000000003</v>
      </c>
      <c r="R60">
        <v>445.12</v>
      </c>
      <c r="S60">
        <v>456.56</v>
      </c>
      <c r="T60">
        <v>475.28000000000003</v>
      </c>
      <c r="U60">
        <v>491.92</v>
      </c>
      <c r="V60">
        <v>505.44</v>
      </c>
      <c r="W60">
        <v>526.24</v>
      </c>
      <c r="X60">
        <v>538.72</v>
      </c>
      <c r="Y60">
        <v>561.6</v>
      </c>
      <c r="Z60">
        <v>589.68000000000006</v>
      </c>
      <c r="AA60">
        <v>612.56000000000006</v>
      </c>
      <c r="AB60">
        <v>638.56000000000006</v>
      </c>
      <c r="AC60">
        <v>670.80000000000007</v>
      </c>
      <c r="AD60">
        <v>692.64</v>
      </c>
      <c r="AE60">
        <v>722.80000000000007</v>
      </c>
      <c r="AF60">
        <v>742.56000000000006</v>
      </c>
      <c r="AG60">
        <v>742.56000000000006</v>
      </c>
      <c r="AH60">
        <v>742.56000000000006</v>
      </c>
    </row>
    <row r="61" spans="1:34" x14ac:dyDescent="0.35">
      <c r="A61" t="s">
        <v>549</v>
      </c>
      <c r="B61">
        <v>175.35</v>
      </c>
      <c r="C61">
        <v>218.4</v>
      </c>
      <c r="D61">
        <v>249.9</v>
      </c>
      <c r="E61">
        <v>283.5</v>
      </c>
      <c r="F61">
        <v>297.15000000000003</v>
      </c>
      <c r="G61">
        <v>311.85000000000002</v>
      </c>
      <c r="H61">
        <v>338</v>
      </c>
      <c r="I61">
        <v>360.88</v>
      </c>
      <c r="J61">
        <v>370.24</v>
      </c>
      <c r="K61">
        <v>388.96000000000004</v>
      </c>
      <c r="L61">
        <v>409.76</v>
      </c>
      <c r="M61">
        <v>425.36</v>
      </c>
      <c r="N61">
        <v>443.04</v>
      </c>
      <c r="O61">
        <v>457.6</v>
      </c>
      <c r="P61">
        <v>479.44</v>
      </c>
      <c r="Q61">
        <v>511.68</v>
      </c>
      <c r="R61">
        <v>532.48</v>
      </c>
      <c r="S61">
        <v>555.36</v>
      </c>
      <c r="T61">
        <v>582.4</v>
      </c>
      <c r="U61">
        <v>609.44000000000005</v>
      </c>
      <c r="V61">
        <v>642.72</v>
      </c>
      <c r="W61">
        <v>678.08</v>
      </c>
      <c r="X61">
        <v>709.28</v>
      </c>
      <c r="Y61">
        <v>740.48</v>
      </c>
      <c r="Z61">
        <v>785.2</v>
      </c>
      <c r="AA61">
        <v>816.4</v>
      </c>
      <c r="AB61">
        <v>845.52</v>
      </c>
      <c r="AC61">
        <v>882.96</v>
      </c>
      <c r="AD61">
        <v>903.76</v>
      </c>
      <c r="AE61">
        <v>928.72</v>
      </c>
      <c r="AF61">
        <v>942.24</v>
      </c>
      <c r="AG61">
        <v>942.24</v>
      </c>
      <c r="AH61">
        <v>942.24</v>
      </c>
    </row>
    <row r="62" spans="1:34" x14ac:dyDescent="0.35">
      <c r="A62" t="s">
        <v>550</v>
      </c>
      <c r="B62">
        <v>161.70000000000002</v>
      </c>
      <c r="C62">
        <v>210</v>
      </c>
      <c r="D62">
        <v>240.45000000000002</v>
      </c>
      <c r="E62">
        <v>285.60000000000002</v>
      </c>
      <c r="F62">
        <v>299.25</v>
      </c>
      <c r="G62">
        <v>309.75</v>
      </c>
      <c r="H62">
        <v>338</v>
      </c>
      <c r="I62">
        <v>353.6</v>
      </c>
      <c r="J62">
        <v>376.48</v>
      </c>
      <c r="K62">
        <v>391.04</v>
      </c>
      <c r="L62">
        <v>408.72</v>
      </c>
      <c r="M62">
        <v>425.36</v>
      </c>
      <c r="N62">
        <v>444.08000000000004</v>
      </c>
      <c r="O62">
        <v>458.64000000000004</v>
      </c>
      <c r="P62">
        <v>475.28000000000003</v>
      </c>
      <c r="Q62">
        <v>496.08000000000004</v>
      </c>
      <c r="R62">
        <v>518.96</v>
      </c>
      <c r="S62">
        <v>547.04</v>
      </c>
      <c r="T62">
        <v>576.16</v>
      </c>
      <c r="U62">
        <v>601.12</v>
      </c>
      <c r="V62">
        <v>627.12</v>
      </c>
      <c r="W62">
        <v>658.32</v>
      </c>
      <c r="X62">
        <v>685.36</v>
      </c>
      <c r="Y62">
        <v>709.28</v>
      </c>
      <c r="Z62">
        <v>739.44</v>
      </c>
      <c r="AA62">
        <v>769.6</v>
      </c>
      <c r="AB62">
        <v>791.44</v>
      </c>
      <c r="AC62">
        <v>825.76</v>
      </c>
      <c r="AD62">
        <v>854.88</v>
      </c>
      <c r="AE62">
        <v>876.72</v>
      </c>
      <c r="AF62">
        <v>889.2</v>
      </c>
      <c r="AG62">
        <v>889.2</v>
      </c>
      <c r="AH62">
        <v>889.2</v>
      </c>
    </row>
    <row r="63" spans="1:34" x14ac:dyDescent="0.35">
      <c r="A63" t="s">
        <v>551</v>
      </c>
      <c r="B63">
        <v>101.85000000000001</v>
      </c>
      <c r="C63">
        <v>131.25</v>
      </c>
      <c r="D63">
        <v>153.30000000000001</v>
      </c>
      <c r="E63">
        <v>175.35</v>
      </c>
      <c r="F63">
        <v>180.6</v>
      </c>
      <c r="G63">
        <v>194.25</v>
      </c>
      <c r="H63">
        <v>210.08</v>
      </c>
      <c r="I63">
        <v>220.48000000000002</v>
      </c>
      <c r="J63">
        <v>229.84</v>
      </c>
      <c r="K63">
        <v>240.24</v>
      </c>
      <c r="L63">
        <v>242.32000000000002</v>
      </c>
      <c r="M63">
        <v>251.68</v>
      </c>
      <c r="N63">
        <v>257.92</v>
      </c>
      <c r="O63">
        <v>266.24</v>
      </c>
      <c r="P63">
        <v>273.52</v>
      </c>
      <c r="Q63">
        <v>276.64</v>
      </c>
      <c r="R63">
        <v>286</v>
      </c>
      <c r="S63">
        <v>295.36</v>
      </c>
      <c r="T63">
        <v>303.68</v>
      </c>
      <c r="U63">
        <v>305.76</v>
      </c>
      <c r="V63">
        <v>315.12</v>
      </c>
      <c r="W63">
        <v>327.60000000000002</v>
      </c>
      <c r="X63">
        <v>334.88</v>
      </c>
      <c r="Y63">
        <v>339.04</v>
      </c>
      <c r="Z63">
        <v>349.44</v>
      </c>
      <c r="AA63">
        <v>358.8</v>
      </c>
      <c r="AB63">
        <v>368.16</v>
      </c>
      <c r="AC63">
        <v>384.8</v>
      </c>
      <c r="AD63">
        <v>391.04</v>
      </c>
      <c r="AE63">
        <v>406.64</v>
      </c>
      <c r="AF63">
        <v>424.32</v>
      </c>
      <c r="AG63">
        <v>424.32</v>
      </c>
      <c r="AH63">
        <v>424.32</v>
      </c>
    </row>
    <row r="64" spans="1:34" x14ac:dyDescent="0.35">
      <c r="A64" t="s">
        <v>552</v>
      </c>
      <c r="B64">
        <v>208.95000000000002</v>
      </c>
      <c r="C64">
        <v>258.3</v>
      </c>
      <c r="D64">
        <v>310.8</v>
      </c>
      <c r="E64">
        <v>341.25</v>
      </c>
      <c r="F64">
        <v>365.40000000000003</v>
      </c>
      <c r="G64">
        <v>384.3</v>
      </c>
      <c r="H64">
        <v>416</v>
      </c>
      <c r="I64">
        <v>447.2</v>
      </c>
      <c r="J64">
        <v>476.32</v>
      </c>
      <c r="K64">
        <v>518.96</v>
      </c>
      <c r="L64">
        <v>540.80000000000007</v>
      </c>
      <c r="M64">
        <v>578.24</v>
      </c>
      <c r="N64">
        <v>587.6</v>
      </c>
      <c r="O64">
        <v>605.28</v>
      </c>
      <c r="P64">
        <v>653.12</v>
      </c>
      <c r="Q64">
        <v>681.2</v>
      </c>
      <c r="R64">
        <v>708.24</v>
      </c>
      <c r="S64">
        <v>732.16000000000008</v>
      </c>
      <c r="T64">
        <v>752.96</v>
      </c>
      <c r="U64">
        <v>764.4</v>
      </c>
      <c r="V64">
        <v>800.80000000000007</v>
      </c>
      <c r="W64">
        <v>818.48</v>
      </c>
      <c r="X64">
        <v>854.88</v>
      </c>
      <c r="Y64">
        <v>893.36</v>
      </c>
      <c r="Z64">
        <v>924.56000000000006</v>
      </c>
      <c r="AA64">
        <v>968.24</v>
      </c>
      <c r="AB64">
        <v>1004.64</v>
      </c>
      <c r="AC64">
        <v>1047.28</v>
      </c>
      <c r="AD64">
        <v>1078.48</v>
      </c>
      <c r="AE64">
        <v>1128.4000000000001</v>
      </c>
      <c r="AF64">
        <v>1175.2</v>
      </c>
      <c r="AG64">
        <v>1175.2</v>
      </c>
      <c r="AH64">
        <v>1175.2</v>
      </c>
    </row>
    <row r="65" spans="1:34" x14ac:dyDescent="0.35">
      <c r="A65" t="s">
        <v>553</v>
      </c>
      <c r="B65">
        <v>189</v>
      </c>
      <c r="C65">
        <v>216.3</v>
      </c>
      <c r="D65">
        <v>254.10000000000002</v>
      </c>
      <c r="E65">
        <v>275.10000000000002</v>
      </c>
      <c r="F65">
        <v>326.55</v>
      </c>
      <c r="G65">
        <v>353.85</v>
      </c>
      <c r="H65">
        <v>385.84000000000003</v>
      </c>
      <c r="I65">
        <v>419.12</v>
      </c>
      <c r="J65">
        <v>442</v>
      </c>
      <c r="K65">
        <v>468</v>
      </c>
      <c r="L65">
        <v>482.56</v>
      </c>
      <c r="M65">
        <v>502.32</v>
      </c>
      <c r="N65">
        <v>536.64</v>
      </c>
      <c r="O65">
        <v>574.08000000000004</v>
      </c>
      <c r="P65">
        <v>608.4</v>
      </c>
      <c r="Q65">
        <v>651.04000000000008</v>
      </c>
      <c r="R65">
        <v>684.32</v>
      </c>
      <c r="S65">
        <v>710.32</v>
      </c>
      <c r="T65">
        <v>744.64</v>
      </c>
      <c r="U65">
        <v>773.76</v>
      </c>
      <c r="V65">
        <v>808.08</v>
      </c>
      <c r="W65">
        <v>839.28</v>
      </c>
      <c r="X65">
        <v>860.08</v>
      </c>
      <c r="Y65">
        <v>880.88</v>
      </c>
      <c r="Z65">
        <v>910</v>
      </c>
      <c r="AA65">
        <v>939.12</v>
      </c>
      <c r="AB65">
        <v>979.68000000000006</v>
      </c>
      <c r="AC65">
        <v>1022.32</v>
      </c>
      <c r="AD65">
        <v>1060.8</v>
      </c>
      <c r="AE65">
        <v>1111.76</v>
      </c>
      <c r="AF65">
        <v>1163.76</v>
      </c>
      <c r="AG65">
        <v>1163.76</v>
      </c>
      <c r="AH65">
        <v>1163.76</v>
      </c>
    </row>
    <row r="66" spans="1:34" x14ac:dyDescent="0.35">
      <c r="A66" t="s">
        <v>554</v>
      </c>
      <c r="B66">
        <v>149.1</v>
      </c>
      <c r="C66">
        <v>169.05</v>
      </c>
      <c r="D66">
        <v>200.55</v>
      </c>
      <c r="E66">
        <v>227.85000000000002</v>
      </c>
      <c r="F66">
        <v>246.75</v>
      </c>
      <c r="G66">
        <v>260.40000000000003</v>
      </c>
      <c r="H66">
        <v>278.72000000000003</v>
      </c>
      <c r="I66">
        <v>299.52</v>
      </c>
      <c r="J66">
        <v>317.2</v>
      </c>
      <c r="K66">
        <v>331.76</v>
      </c>
      <c r="L66">
        <v>341.12</v>
      </c>
      <c r="M66">
        <v>350.48</v>
      </c>
      <c r="N66">
        <v>358.8</v>
      </c>
      <c r="O66">
        <v>391.04</v>
      </c>
      <c r="P66">
        <v>411.84000000000003</v>
      </c>
      <c r="Q66">
        <v>431.6</v>
      </c>
      <c r="R66">
        <v>456.56</v>
      </c>
      <c r="S66">
        <v>478.40000000000003</v>
      </c>
      <c r="T66">
        <v>501.28000000000003</v>
      </c>
      <c r="U66">
        <v>524.16</v>
      </c>
      <c r="V66">
        <v>549.12</v>
      </c>
      <c r="W66">
        <v>570.96</v>
      </c>
      <c r="X66">
        <v>593.84</v>
      </c>
      <c r="Y66">
        <v>619.84</v>
      </c>
      <c r="Z66">
        <v>658.32</v>
      </c>
      <c r="AA66">
        <v>690.56000000000006</v>
      </c>
      <c r="AB66">
        <v>715.52</v>
      </c>
      <c r="AC66">
        <v>757.12</v>
      </c>
      <c r="AD66">
        <v>774.80000000000007</v>
      </c>
      <c r="AE66">
        <v>799.76</v>
      </c>
      <c r="AF66">
        <v>829.92000000000007</v>
      </c>
      <c r="AG66">
        <v>829.92000000000007</v>
      </c>
      <c r="AH66">
        <v>829.92000000000007</v>
      </c>
    </row>
    <row r="67" spans="1:34" x14ac:dyDescent="0.35">
      <c r="A67" t="s">
        <v>555</v>
      </c>
      <c r="B67">
        <v>138.6</v>
      </c>
      <c r="C67">
        <v>179.55</v>
      </c>
      <c r="D67">
        <v>225.75</v>
      </c>
      <c r="E67">
        <v>255.15</v>
      </c>
      <c r="F67">
        <v>284.55</v>
      </c>
      <c r="G67">
        <v>303.45</v>
      </c>
      <c r="H67">
        <v>326.56</v>
      </c>
      <c r="I67">
        <v>342.16</v>
      </c>
      <c r="J67">
        <v>352.56</v>
      </c>
      <c r="K67">
        <v>362.96000000000004</v>
      </c>
      <c r="L67">
        <v>375.44</v>
      </c>
      <c r="M67">
        <v>385.84000000000003</v>
      </c>
      <c r="N67">
        <v>397.28000000000003</v>
      </c>
      <c r="O67">
        <v>408.72</v>
      </c>
      <c r="P67">
        <v>419.12</v>
      </c>
      <c r="Q67">
        <v>432.64</v>
      </c>
      <c r="R67">
        <v>449.28000000000003</v>
      </c>
      <c r="S67">
        <v>465.92</v>
      </c>
      <c r="T67">
        <v>484.64000000000004</v>
      </c>
      <c r="U67">
        <v>492.96000000000004</v>
      </c>
      <c r="V67">
        <v>515.84</v>
      </c>
      <c r="W67">
        <v>538.72</v>
      </c>
      <c r="X67">
        <v>556.4</v>
      </c>
      <c r="Y67">
        <v>573.04</v>
      </c>
      <c r="Z67">
        <v>594.88</v>
      </c>
      <c r="AA67">
        <v>613.6</v>
      </c>
      <c r="AB67">
        <v>621.92000000000007</v>
      </c>
      <c r="AC67">
        <v>643.76</v>
      </c>
      <c r="AD67">
        <v>659.36</v>
      </c>
      <c r="AE67">
        <v>671.84</v>
      </c>
      <c r="AF67">
        <v>682.24</v>
      </c>
      <c r="AG67">
        <v>682.24</v>
      </c>
      <c r="AH67">
        <v>682.24</v>
      </c>
    </row>
    <row r="68" spans="1:34" x14ac:dyDescent="0.35">
      <c r="A68" t="s">
        <v>556</v>
      </c>
      <c r="B68">
        <v>133.35</v>
      </c>
      <c r="C68">
        <v>169.05</v>
      </c>
      <c r="D68">
        <v>196.35</v>
      </c>
      <c r="E68">
        <v>231</v>
      </c>
      <c r="F68">
        <v>249.9</v>
      </c>
      <c r="G68">
        <v>262.5</v>
      </c>
      <c r="H68">
        <v>287.04000000000002</v>
      </c>
      <c r="I68">
        <v>300.56</v>
      </c>
      <c r="J68">
        <v>309.92</v>
      </c>
      <c r="K68">
        <v>328.64</v>
      </c>
      <c r="L68">
        <v>341.12</v>
      </c>
      <c r="M68">
        <v>353.6</v>
      </c>
      <c r="N68">
        <v>365.04</v>
      </c>
      <c r="O68">
        <v>380.64</v>
      </c>
      <c r="P68">
        <v>388.96000000000004</v>
      </c>
      <c r="Q68">
        <v>402.48</v>
      </c>
      <c r="R68">
        <v>419.12</v>
      </c>
      <c r="S68">
        <v>432.64</v>
      </c>
      <c r="T68">
        <v>445.12</v>
      </c>
      <c r="U68">
        <v>463.84000000000003</v>
      </c>
      <c r="V68">
        <v>476.32</v>
      </c>
      <c r="W68">
        <v>491.92</v>
      </c>
      <c r="X68">
        <v>504.40000000000003</v>
      </c>
      <c r="Y68">
        <v>529.36</v>
      </c>
      <c r="Z68">
        <v>543.92000000000007</v>
      </c>
      <c r="AA68">
        <v>556.4</v>
      </c>
      <c r="AB68">
        <v>581.36</v>
      </c>
      <c r="AC68">
        <v>604.24</v>
      </c>
      <c r="AD68">
        <v>612.56000000000006</v>
      </c>
      <c r="AE68">
        <v>631.28</v>
      </c>
      <c r="AF68">
        <v>640.64</v>
      </c>
      <c r="AG68">
        <v>640.64</v>
      </c>
      <c r="AH68">
        <v>640.64</v>
      </c>
    </row>
    <row r="69" spans="1:34" x14ac:dyDescent="0.35">
      <c r="A69" t="s">
        <v>557</v>
      </c>
      <c r="B69">
        <v>64.05</v>
      </c>
      <c r="C69">
        <v>82.95</v>
      </c>
      <c r="D69">
        <v>98.7</v>
      </c>
      <c r="E69">
        <v>111.30000000000001</v>
      </c>
      <c r="F69">
        <v>118.65</v>
      </c>
      <c r="G69">
        <v>123.9</v>
      </c>
      <c r="H69">
        <v>132.08000000000001</v>
      </c>
      <c r="I69">
        <v>137.28</v>
      </c>
      <c r="J69">
        <v>141.44</v>
      </c>
      <c r="K69">
        <v>149.76</v>
      </c>
      <c r="L69">
        <v>157.04</v>
      </c>
      <c r="M69">
        <v>163.28</v>
      </c>
      <c r="N69">
        <v>171.6</v>
      </c>
      <c r="O69">
        <v>178.88</v>
      </c>
      <c r="P69">
        <v>185.12</v>
      </c>
      <c r="Q69">
        <v>193.44</v>
      </c>
      <c r="R69">
        <v>202.8</v>
      </c>
      <c r="S69">
        <v>210.08</v>
      </c>
      <c r="T69">
        <v>217.36</v>
      </c>
      <c r="U69">
        <v>221.52</v>
      </c>
      <c r="V69">
        <v>228.8</v>
      </c>
      <c r="W69">
        <v>236.08</v>
      </c>
      <c r="X69">
        <v>241.28</v>
      </c>
      <c r="Y69">
        <v>248.56</v>
      </c>
      <c r="Z69">
        <v>255.84</v>
      </c>
      <c r="AA69">
        <v>258.96000000000004</v>
      </c>
      <c r="AB69">
        <v>262.08</v>
      </c>
      <c r="AC69">
        <v>265.2</v>
      </c>
      <c r="AD69">
        <v>266.24</v>
      </c>
      <c r="AE69">
        <v>271.44</v>
      </c>
      <c r="AF69">
        <v>274.56</v>
      </c>
      <c r="AG69">
        <v>274.56</v>
      </c>
      <c r="AH69">
        <v>274.56</v>
      </c>
    </row>
    <row r="70" spans="1:34" x14ac:dyDescent="0.35">
      <c r="A70" t="s">
        <v>558</v>
      </c>
      <c r="B70">
        <v>118.65</v>
      </c>
      <c r="C70">
        <v>147</v>
      </c>
      <c r="D70">
        <v>169.05</v>
      </c>
      <c r="E70">
        <v>197.4</v>
      </c>
      <c r="F70">
        <v>221.55</v>
      </c>
      <c r="G70">
        <v>226.8</v>
      </c>
      <c r="H70">
        <v>247.52</v>
      </c>
      <c r="I70">
        <v>258.96000000000004</v>
      </c>
      <c r="J70">
        <v>270.40000000000003</v>
      </c>
      <c r="K70">
        <v>281.84000000000003</v>
      </c>
      <c r="L70">
        <v>294.32</v>
      </c>
      <c r="M70">
        <v>308.88</v>
      </c>
      <c r="N70">
        <v>318.24</v>
      </c>
      <c r="O70">
        <v>324.48</v>
      </c>
      <c r="P70">
        <v>340.08</v>
      </c>
      <c r="Q70">
        <v>349.44</v>
      </c>
      <c r="R70">
        <v>358.8</v>
      </c>
      <c r="S70">
        <v>375.44</v>
      </c>
      <c r="T70">
        <v>384.8</v>
      </c>
      <c r="U70">
        <v>398.32</v>
      </c>
      <c r="V70">
        <v>409.76</v>
      </c>
      <c r="W70">
        <v>422.24</v>
      </c>
      <c r="X70">
        <v>432.64</v>
      </c>
      <c r="Y70">
        <v>444.08000000000004</v>
      </c>
      <c r="Z70">
        <v>457.6</v>
      </c>
      <c r="AA70">
        <v>470.08000000000004</v>
      </c>
      <c r="AB70">
        <v>486.72</v>
      </c>
      <c r="AC70">
        <v>511.68</v>
      </c>
      <c r="AD70">
        <v>533.52</v>
      </c>
      <c r="AE70">
        <v>548.08000000000004</v>
      </c>
      <c r="AF70">
        <v>556.4</v>
      </c>
      <c r="AG70">
        <v>556.4</v>
      </c>
      <c r="AH70">
        <v>556.4</v>
      </c>
    </row>
    <row r="71" spans="1:34" x14ac:dyDescent="0.35">
      <c r="A71" t="s">
        <v>559</v>
      </c>
      <c r="B71">
        <v>90.3</v>
      </c>
      <c r="C71">
        <v>106.05000000000001</v>
      </c>
      <c r="D71">
        <v>128.1</v>
      </c>
      <c r="E71">
        <v>148.05000000000001</v>
      </c>
      <c r="F71">
        <v>164.85</v>
      </c>
      <c r="G71">
        <v>172.20000000000002</v>
      </c>
      <c r="H71">
        <v>175.76000000000002</v>
      </c>
      <c r="I71">
        <v>187.20000000000002</v>
      </c>
      <c r="J71">
        <v>192.4</v>
      </c>
      <c r="K71">
        <v>196.56</v>
      </c>
      <c r="L71">
        <v>202.8</v>
      </c>
      <c r="M71">
        <v>209.04000000000002</v>
      </c>
      <c r="N71">
        <v>218.4</v>
      </c>
      <c r="O71">
        <v>228.8</v>
      </c>
      <c r="P71">
        <v>236.08</v>
      </c>
      <c r="Q71">
        <v>244.4</v>
      </c>
      <c r="R71">
        <v>253.76000000000002</v>
      </c>
      <c r="S71">
        <v>261.04000000000002</v>
      </c>
      <c r="T71">
        <v>270.40000000000003</v>
      </c>
      <c r="U71">
        <v>273.52</v>
      </c>
      <c r="V71">
        <v>281.84000000000003</v>
      </c>
      <c r="W71">
        <v>288.08</v>
      </c>
      <c r="X71">
        <v>290.16000000000003</v>
      </c>
      <c r="Y71">
        <v>301.60000000000002</v>
      </c>
      <c r="Z71">
        <v>306.8</v>
      </c>
      <c r="AA71">
        <v>316.16000000000003</v>
      </c>
      <c r="AB71">
        <v>326.56</v>
      </c>
      <c r="AC71">
        <v>335.92</v>
      </c>
      <c r="AD71">
        <v>341.12</v>
      </c>
      <c r="AE71">
        <v>349.44</v>
      </c>
      <c r="AF71">
        <v>358.8</v>
      </c>
      <c r="AG71">
        <v>358.8</v>
      </c>
      <c r="AH71">
        <v>358.8</v>
      </c>
    </row>
    <row r="72" spans="1:34" x14ac:dyDescent="0.35">
      <c r="A72" t="s">
        <v>560</v>
      </c>
      <c r="B72">
        <v>161.70000000000002</v>
      </c>
      <c r="C72">
        <v>196.35</v>
      </c>
      <c r="D72">
        <v>226.8</v>
      </c>
      <c r="E72">
        <v>253.05</v>
      </c>
      <c r="F72">
        <v>277.2</v>
      </c>
      <c r="G72">
        <v>303.45</v>
      </c>
      <c r="H72">
        <v>332.8</v>
      </c>
      <c r="I72">
        <v>357.76</v>
      </c>
      <c r="J72">
        <v>384.8</v>
      </c>
      <c r="K72">
        <v>409.76</v>
      </c>
      <c r="L72">
        <v>436.8</v>
      </c>
      <c r="M72">
        <v>459.68</v>
      </c>
      <c r="N72">
        <v>476.32</v>
      </c>
      <c r="O72">
        <v>491.92</v>
      </c>
      <c r="P72">
        <v>512.72</v>
      </c>
      <c r="Q72">
        <v>535.6</v>
      </c>
      <c r="R72">
        <v>556.4</v>
      </c>
      <c r="S72">
        <v>569.92000000000007</v>
      </c>
      <c r="T72">
        <v>601.12</v>
      </c>
      <c r="U72">
        <v>616.72</v>
      </c>
      <c r="V72">
        <v>641.68000000000006</v>
      </c>
      <c r="W72">
        <v>666.64</v>
      </c>
      <c r="X72">
        <v>685.36</v>
      </c>
      <c r="Y72">
        <v>705.12</v>
      </c>
      <c r="Z72">
        <v>732.16000000000008</v>
      </c>
      <c r="AA72">
        <v>754</v>
      </c>
      <c r="AB72">
        <v>773.76</v>
      </c>
      <c r="AC72">
        <v>812.24</v>
      </c>
      <c r="AD72">
        <v>829.92000000000007</v>
      </c>
      <c r="AE72">
        <v>869.44</v>
      </c>
      <c r="AF72">
        <v>903.76</v>
      </c>
      <c r="AG72">
        <v>910</v>
      </c>
      <c r="AH72">
        <v>910</v>
      </c>
    </row>
    <row r="73" spans="1:34" x14ac:dyDescent="0.35">
      <c r="A73" t="s">
        <v>561</v>
      </c>
      <c r="B73">
        <v>118.65</v>
      </c>
      <c r="C73">
        <v>138.6</v>
      </c>
      <c r="D73">
        <v>162.75</v>
      </c>
      <c r="E73">
        <v>177.45000000000002</v>
      </c>
      <c r="F73">
        <v>182.70000000000002</v>
      </c>
      <c r="G73">
        <v>196.35</v>
      </c>
      <c r="H73">
        <v>201.76000000000002</v>
      </c>
      <c r="I73">
        <v>215.28</v>
      </c>
      <c r="J73">
        <v>217.36</v>
      </c>
      <c r="K73">
        <v>229.84</v>
      </c>
      <c r="L73">
        <v>232.96</v>
      </c>
      <c r="M73">
        <v>243.36</v>
      </c>
      <c r="N73">
        <v>253.76000000000002</v>
      </c>
      <c r="O73">
        <v>264.16000000000003</v>
      </c>
      <c r="P73">
        <v>276.64</v>
      </c>
      <c r="Q73">
        <v>287.04000000000002</v>
      </c>
      <c r="R73">
        <v>299.52</v>
      </c>
      <c r="S73">
        <v>306.8</v>
      </c>
      <c r="T73">
        <v>310.96000000000004</v>
      </c>
      <c r="U73">
        <v>317.2</v>
      </c>
      <c r="V73">
        <v>320.32</v>
      </c>
      <c r="W73">
        <v>330.72</v>
      </c>
      <c r="X73">
        <v>335.92</v>
      </c>
      <c r="Y73">
        <v>345.28000000000003</v>
      </c>
      <c r="Z73">
        <v>354.64</v>
      </c>
      <c r="AA73">
        <v>361.92</v>
      </c>
      <c r="AB73">
        <v>375.44</v>
      </c>
      <c r="AC73">
        <v>386.88</v>
      </c>
      <c r="AD73">
        <v>391.04</v>
      </c>
      <c r="AE73">
        <v>407.68</v>
      </c>
      <c r="AF73">
        <v>425.36</v>
      </c>
      <c r="AG73">
        <v>425.36</v>
      </c>
      <c r="AH73">
        <v>425.36</v>
      </c>
    </row>
    <row r="74" spans="1:34" x14ac:dyDescent="0.35">
      <c r="A74" t="s">
        <v>562</v>
      </c>
      <c r="B74">
        <v>112.35000000000001</v>
      </c>
      <c r="C74">
        <v>131.25</v>
      </c>
      <c r="D74">
        <v>152.25</v>
      </c>
      <c r="E74">
        <v>171.15</v>
      </c>
      <c r="F74">
        <v>186.9</v>
      </c>
      <c r="G74">
        <v>196.35</v>
      </c>
      <c r="H74">
        <v>210.08</v>
      </c>
      <c r="I74">
        <v>214.24</v>
      </c>
      <c r="J74">
        <v>224.64000000000001</v>
      </c>
      <c r="K74">
        <v>238.16</v>
      </c>
      <c r="L74">
        <v>239.20000000000002</v>
      </c>
      <c r="M74">
        <v>250.64000000000001</v>
      </c>
      <c r="N74">
        <v>257.92</v>
      </c>
      <c r="O74">
        <v>270.40000000000003</v>
      </c>
      <c r="P74">
        <v>280.8</v>
      </c>
      <c r="Q74">
        <v>288.08</v>
      </c>
      <c r="R74">
        <v>303.68</v>
      </c>
      <c r="S74">
        <v>316.16000000000003</v>
      </c>
      <c r="T74">
        <v>319.28000000000003</v>
      </c>
      <c r="U74">
        <v>322.40000000000003</v>
      </c>
      <c r="V74">
        <v>329.68</v>
      </c>
      <c r="W74">
        <v>335.92</v>
      </c>
      <c r="X74">
        <v>346.32</v>
      </c>
      <c r="Y74">
        <v>353.6</v>
      </c>
      <c r="Z74">
        <v>361.92</v>
      </c>
      <c r="AA74">
        <v>370.24</v>
      </c>
      <c r="AB74">
        <v>381.68</v>
      </c>
      <c r="AC74">
        <v>397.28000000000003</v>
      </c>
      <c r="AD74">
        <v>403.52000000000004</v>
      </c>
      <c r="AE74">
        <v>420.16</v>
      </c>
      <c r="AF74">
        <v>440.96000000000004</v>
      </c>
      <c r="AG74">
        <v>440.96000000000004</v>
      </c>
      <c r="AH74">
        <v>440.96000000000004</v>
      </c>
    </row>
    <row r="75" spans="1:34" x14ac:dyDescent="0.35">
      <c r="A75" t="s">
        <v>563</v>
      </c>
      <c r="B75">
        <v>135.45000000000002</v>
      </c>
      <c r="C75">
        <v>156.45000000000002</v>
      </c>
      <c r="D75">
        <v>171.15</v>
      </c>
      <c r="E75">
        <v>197.4</v>
      </c>
      <c r="F75">
        <v>217.35000000000002</v>
      </c>
      <c r="G75">
        <v>234.15</v>
      </c>
      <c r="H75">
        <v>251.68</v>
      </c>
      <c r="I75">
        <v>263.12</v>
      </c>
      <c r="J75">
        <v>274.56</v>
      </c>
      <c r="K75">
        <v>287.04000000000002</v>
      </c>
      <c r="L75">
        <v>300.56</v>
      </c>
      <c r="M75">
        <v>320.32</v>
      </c>
      <c r="N75">
        <v>333.84000000000003</v>
      </c>
      <c r="O75">
        <v>347.36</v>
      </c>
      <c r="P75">
        <v>361.92</v>
      </c>
      <c r="Q75">
        <v>385.84000000000003</v>
      </c>
      <c r="R75">
        <v>400.40000000000003</v>
      </c>
      <c r="S75">
        <v>420.16</v>
      </c>
      <c r="T75">
        <v>435.76</v>
      </c>
      <c r="U75">
        <v>455.52000000000004</v>
      </c>
      <c r="V75">
        <v>473.2</v>
      </c>
      <c r="W75">
        <v>498.16</v>
      </c>
      <c r="X75">
        <v>515.84</v>
      </c>
      <c r="Y75">
        <v>536.64</v>
      </c>
      <c r="Z75">
        <v>551.20000000000005</v>
      </c>
      <c r="AA75">
        <v>575.12</v>
      </c>
      <c r="AB75">
        <v>603.20000000000005</v>
      </c>
      <c r="AC75">
        <v>632.32000000000005</v>
      </c>
      <c r="AD75">
        <v>654.16</v>
      </c>
      <c r="AE75">
        <v>686.4</v>
      </c>
      <c r="AF75">
        <v>715.52</v>
      </c>
      <c r="AG75">
        <v>715.52</v>
      </c>
      <c r="AH75">
        <v>715.52</v>
      </c>
    </row>
    <row r="76" spans="1:34" x14ac:dyDescent="0.35">
      <c r="A76" t="s">
        <v>564</v>
      </c>
      <c r="B76">
        <v>173.25</v>
      </c>
      <c r="C76">
        <v>210</v>
      </c>
      <c r="D76">
        <v>227.85000000000002</v>
      </c>
      <c r="E76">
        <v>254.10000000000002</v>
      </c>
      <c r="F76">
        <v>280.35000000000002</v>
      </c>
      <c r="G76">
        <v>302.40000000000003</v>
      </c>
      <c r="H76">
        <v>326.56</v>
      </c>
      <c r="I76">
        <v>349.44</v>
      </c>
      <c r="J76">
        <v>362.96000000000004</v>
      </c>
      <c r="K76">
        <v>384.8</v>
      </c>
      <c r="L76">
        <v>402.48</v>
      </c>
      <c r="M76">
        <v>424.32</v>
      </c>
      <c r="N76">
        <v>454.48</v>
      </c>
      <c r="O76">
        <v>473.2</v>
      </c>
      <c r="P76">
        <v>501.28000000000003</v>
      </c>
      <c r="Q76">
        <v>532.48</v>
      </c>
      <c r="R76">
        <v>558.48</v>
      </c>
      <c r="S76">
        <v>585.52</v>
      </c>
      <c r="T76">
        <v>620.88</v>
      </c>
      <c r="U76">
        <v>644.80000000000007</v>
      </c>
      <c r="V76">
        <v>670.80000000000007</v>
      </c>
      <c r="W76">
        <v>695.76</v>
      </c>
      <c r="X76">
        <v>724.88</v>
      </c>
      <c r="Y76">
        <v>751.92000000000007</v>
      </c>
      <c r="Z76">
        <v>797.68000000000006</v>
      </c>
      <c r="AA76">
        <v>835.12</v>
      </c>
      <c r="AB76">
        <v>869.44</v>
      </c>
      <c r="AC76">
        <v>913.12</v>
      </c>
      <c r="AD76">
        <v>945.36</v>
      </c>
      <c r="AE76">
        <v>972.4</v>
      </c>
      <c r="AF76">
        <v>985.92000000000007</v>
      </c>
      <c r="AG76">
        <v>985.92000000000007</v>
      </c>
      <c r="AH76">
        <v>985.92000000000007</v>
      </c>
    </row>
    <row r="77" spans="1:34" x14ac:dyDescent="0.35">
      <c r="A77" t="s">
        <v>565</v>
      </c>
      <c r="B77">
        <v>135.45000000000002</v>
      </c>
      <c r="C77">
        <v>157.5</v>
      </c>
      <c r="D77">
        <v>173.25</v>
      </c>
      <c r="E77">
        <v>198.45000000000002</v>
      </c>
      <c r="F77">
        <v>217.35000000000002</v>
      </c>
      <c r="G77">
        <v>234.15</v>
      </c>
      <c r="H77">
        <v>252.72</v>
      </c>
      <c r="I77">
        <v>265.2</v>
      </c>
      <c r="J77">
        <v>278.72000000000003</v>
      </c>
      <c r="K77">
        <v>293.28000000000003</v>
      </c>
      <c r="L77">
        <v>306.8</v>
      </c>
      <c r="M77">
        <v>320.32</v>
      </c>
      <c r="N77">
        <v>334.88</v>
      </c>
      <c r="O77">
        <v>350.48</v>
      </c>
      <c r="P77">
        <v>362.96000000000004</v>
      </c>
      <c r="Q77">
        <v>390</v>
      </c>
      <c r="R77">
        <v>402.48</v>
      </c>
      <c r="S77">
        <v>424.32</v>
      </c>
      <c r="T77">
        <v>442</v>
      </c>
      <c r="U77">
        <v>460.72</v>
      </c>
      <c r="V77">
        <v>478.40000000000003</v>
      </c>
      <c r="W77">
        <v>504.40000000000003</v>
      </c>
      <c r="X77">
        <v>522.08000000000004</v>
      </c>
      <c r="Y77">
        <v>541.84</v>
      </c>
      <c r="Z77">
        <v>556.4</v>
      </c>
      <c r="AA77">
        <v>582.4</v>
      </c>
      <c r="AB77">
        <v>612.56000000000006</v>
      </c>
      <c r="AC77">
        <v>640.64</v>
      </c>
      <c r="AD77">
        <v>663.52</v>
      </c>
      <c r="AE77">
        <v>685.36</v>
      </c>
      <c r="AF77">
        <v>697.84</v>
      </c>
      <c r="AG77">
        <v>697.84</v>
      </c>
      <c r="AH77">
        <v>697.84</v>
      </c>
    </row>
    <row r="78" spans="1:34" x14ac:dyDescent="0.35">
      <c r="A78" t="s">
        <v>566</v>
      </c>
      <c r="B78">
        <v>137.55000000000001</v>
      </c>
      <c r="C78">
        <v>157.5</v>
      </c>
      <c r="D78">
        <v>173.25</v>
      </c>
      <c r="E78">
        <v>199.5</v>
      </c>
      <c r="F78">
        <v>219.45000000000002</v>
      </c>
      <c r="G78">
        <v>237.3</v>
      </c>
      <c r="H78">
        <v>254.8</v>
      </c>
      <c r="I78">
        <v>267.28000000000003</v>
      </c>
      <c r="J78">
        <v>278.72000000000003</v>
      </c>
      <c r="K78">
        <v>292.24</v>
      </c>
      <c r="L78">
        <v>305.76</v>
      </c>
      <c r="M78">
        <v>323.44</v>
      </c>
      <c r="N78">
        <v>339.04</v>
      </c>
      <c r="O78">
        <v>353.6</v>
      </c>
      <c r="P78">
        <v>367.12</v>
      </c>
      <c r="Q78">
        <v>391.04</v>
      </c>
      <c r="R78">
        <v>403.52000000000004</v>
      </c>
      <c r="S78">
        <v>424.32</v>
      </c>
      <c r="T78">
        <v>443.04</v>
      </c>
      <c r="U78">
        <v>461.76</v>
      </c>
      <c r="V78">
        <v>480.48</v>
      </c>
      <c r="W78">
        <v>505.44</v>
      </c>
      <c r="X78">
        <v>524.16</v>
      </c>
      <c r="Y78">
        <v>543.92000000000007</v>
      </c>
      <c r="Z78">
        <v>558.48</v>
      </c>
      <c r="AA78">
        <v>583.44000000000005</v>
      </c>
      <c r="AB78">
        <v>612.56000000000006</v>
      </c>
      <c r="AC78">
        <v>640.64</v>
      </c>
      <c r="AD78">
        <v>663.52</v>
      </c>
      <c r="AE78">
        <v>686.4</v>
      </c>
      <c r="AF78">
        <v>697.84</v>
      </c>
      <c r="AG78">
        <v>697.84</v>
      </c>
      <c r="AH78">
        <v>697.84</v>
      </c>
    </row>
    <row r="79" spans="1:34" x14ac:dyDescent="0.35">
      <c r="A79" t="s">
        <v>567</v>
      </c>
      <c r="B79">
        <v>154.35</v>
      </c>
      <c r="C79">
        <v>210</v>
      </c>
      <c r="D79">
        <v>241.5</v>
      </c>
      <c r="E79">
        <v>273</v>
      </c>
      <c r="F79">
        <v>284.55</v>
      </c>
      <c r="G79">
        <v>301.35000000000002</v>
      </c>
      <c r="H79">
        <v>331.76</v>
      </c>
      <c r="I79">
        <v>351.52000000000004</v>
      </c>
      <c r="J79">
        <v>365.04</v>
      </c>
      <c r="K79">
        <v>387.92</v>
      </c>
      <c r="L79">
        <v>393.12</v>
      </c>
      <c r="M79">
        <v>414.96000000000004</v>
      </c>
      <c r="N79">
        <v>436.8</v>
      </c>
      <c r="O79">
        <v>450.32</v>
      </c>
      <c r="P79">
        <v>460.72</v>
      </c>
      <c r="Q79">
        <v>484.64000000000004</v>
      </c>
      <c r="R79">
        <v>494</v>
      </c>
      <c r="S79">
        <v>511.68</v>
      </c>
      <c r="T79">
        <v>533.52</v>
      </c>
      <c r="U79">
        <v>567.84</v>
      </c>
      <c r="V79">
        <v>589.68000000000006</v>
      </c>
      <c r="W79">
        <v>618.80000000000007</v>
      </c>
      <c r="X79">
        <v>642.72</v>
      </c>
      <c r="Y79">
        <v>661.44</v>
      </c>
      <c r="Z79">
        <v>682.24</v>
      </c>
      <c r="AA79">
        <v>698.88</v>
      </c>
      <c r="AB79">
        <v>719.68000000000006</v>
      </c>
      <c r="AC79">
        <v>755.04000000000008</v>
      </c>
      <c r="AD79">
        <v>766.48</v>
      </c>
      <c r="AE79">
        <v>788.32</v>
      </c>
      <c r="AF79">
        <v>800.80000000000007</v>
      </c>
      <c r="AG79">
        <v>800.80000000000007</v>
      </c>
      <c r="AH79">
        <v>800.80000000000007</v>
      </c>
    </row>
    <row r="80" spans="1:34" x14ac:dyDescent="0.35">
      <c r="A80" t="s">
        <v>568</v>
      </c>
      <c r="B80">
        <v>150.15</v>
      </c>
      <c r="C80">
        <v>196.35</v>
      </c>
      <c r="D80">
        <v>222.60000000000002</v>
      </c>
      <c r="E80">
        <v>264.60000000000002</v>
      </c>
      <c r="F80">
        <v>277.2</v>
      </c>
      <c r="G80">
        <v>287.7</v>
      </c>
      <c r="H80">
        <v>313.04000000000002</v>
      </c>
      <c r="I80">
        <v>328.64</v>
      </c>
      <c r="J80">
        <v>349.44</v>
      </c>
      <c r="K80">
        <v>362.96000000000004</v>
      </c>
      <c r="L80">
        <v>379.6</v>
      </c>
      <c r="M80">
        <v>396.24</v>
      </c>
      <c r="N80">
        <v>411.84000000000003</v>
      </c>
      <c r="O80">
        <v>425.36</v>
      </c>
      <c r="P80">
        <v>442</v>
      </c>
      <c r="Q80">
        <v>460.72</v>
      </c>
      <c r="R80">
        <v>481.52000000000004</v>
      </c>
      <c r="S80">
        <v>506.48</v>
      </c>
      <c r="T80">
        <v>534.56000000000006</v>
      </c>
      <c r="U80">
        <v>557.44000000000005</v>
      </c>
      <c r="V80">
        <v>582.4</v>
      </c>
      <c r="W80">
        <v>609.44000000000005</v>
      </c>
      <c r="X80">
        <v>636.48</v>
      </c>
      <c r="Y80">
        <v>659.36</v>
      </c>
      <c r="Z80">
        <v>685.36</v>
      </c>
      <c r="AA80">
        <v>713.44</v>
      </c>
      <c r="AB80">
        <v>734.24</v>
      </c>
      <c r="AC80">
        <v>765.44</v>
      </c>
      <c r="AD80">
        <v>792.48</v>
      </c>
      <c r="AE80">
        <v>812.24</v>
      </c>
      <c r="AF80">
        <v>824.72</v>
      </c>
      <c r="AG80">
        <v>824.72</v>
      </c>
      <c r="AH80">
        <v>824.72</v>
      </c>
    </row>
    <row r="81" spans="1:34" x14ac:dyDescent="0.35">
      <c r="A81" t="s">
        <v>569</v>
      </c>
      <c r="B81">
        <v>171.15</v>
      </c>
      <c r="C81">
        <v>212.10000000000002</v>
      </c>
      <c r="D81">
        <v>245.70000000000002</v>
      </c>
      <c r="E81">
        <v>266.7</v>
      </c>
      <c r="F81">
        <v>300.3</v>
      </c>
      <c r="G81">
        <v>306.60000000000002</v>
      </c>
      <c r="H81">
        <v>328.64</v>
      </c>
      <c r="I81">
        <v>345.28000000000003</v>
      </c>
      <c r="J81">
        <v>364</v>
      </c>
      <c r="K81">
        <v>390</v>
      </c>
      <c r="L81">
        <v>408.72</v>
      </c>
      <c r="M81">
        <v>431.6</v>
      </c>
      <c r="N81">
        <v>455.52000000000004</v>
      </c>
      <c r="O81">
        <v>503.36</v>
      </c>
      <c r="P81">
        <v>532.48</v>
      </c>
      <c r="Q81">
        <v>555.36</v>
      </c>
      <c r="R81">
        <v>581.36</v>
      </c>
      <c r="S81">
        <v>596.96</v>
      </c>
      <c r="T81">
        <v>620.88</v>
      </c>
      <c r="U81">
        <v>638.56000000000006</v>
      </c>
      <c r="V81">
        <v>663.52</v>
      </c>
      <c r="W81">
        <v>683.28</v>
      </c>
      <c r="X81">
        <v>702</v>
      </c>
      <c r="Y81">
        <v>726.96</v>
      </c>
      <c r="Z81">
        <v>752.96</v>
      </c>
      <c r="AA81">
        <v>790.4</v>
      </c>
      <c r="AB81">
        <v>825.76</v>
      </c>
      <c r="AC81">
        <v>885.04000000000008</v>
      </c>
      <c r="AD81">
        <v>911.04000000000008</v>
      </c>
      <c r="AE81">
        <v>956.80000000000007</v>
      </c>
      <c r="AF81">
        <v>985.92000000000007</v>
      </c>
      <c r="AG81">
        <v>985.92000000000007</v>
      </c>
      <c r="AH81">
        <v>985.92000000000007</v>
      </c>
    </row>
    <row r="82" spans="1:34" x14ac:dyDescent="0.35">
      <c r="A82" t="s">
        <v>570</v>
      </c>
      <c r="B82">
        <v>173.25</v>
      </c>
      <c r="C82">
        <v>208.95000000000002</v>
      </c>
      <c r="D82">
        <v>245.70000000000002</v>
      </c>
      <c r="E82">
        <v>269.85000000000002</v>
      </c>
      <c r="F82">
        <v>303.45</v>
      </c>
      <c r="G82">
        <v>310.8</v>
      </c>
      <c r="H82">
        <v>334.88</v>
      </c>
      <c r="I82">
        <v>351.52000000000004</v>
      </c>
      <c r="J82">
        <v>366.08000000000004</v>
      </c>
      <c r="K82">
        <v>395.2</v>
      </c>
      <c r="L82">
        <v>413.92</v>
      </c>
      <c r="M82">
        <v>435.76</v>
      </c>
      <c r="N82">
        <v>460.72</v>
      </c>
      <c r="O82">
        <v>506.48</v>
      </c>
      <c r="P82">
        <v>534.56000000000006</v>
      </c>
      <c r="Q82">
        <v>559.52</v>
      </c>
      <c r="R82">
        <v>583.44000000000005</v>
      </c>
      <c r="S82">
        <v>599.04</v>
      </c>
      <c r="T82">
        <v>630.24</v>
      </c>
      <c r="U82">
        <v>641.68000000000006</v>
      </c>
      <c r="V82">
        <v>664.56000000000006</v>
      </c>
      <c r="W82">
        <v>685.36</v>
      </c>
      <c r="X82">
        <v>706.16</v>
      </c>
      <c r="Y82">
        <v>726.96</v>
      </c>
      <c r="Z82">
        <v>754</v>
      </c>
      <c r="AA82">
        <v>793.52</v>
      </c>
      <c r="AB82">
        <v>825.76</v>
      </c>
      <c r="AC82">
        <v>888.16000000000008</v>
      </c>
      <c r="AD82">
        <v>912.08</v>
      </c>
      <c r="AE82">
        <v>956.80000000000007</v>
      </c>
      <c r="AF82">
        <v>985.92000000000007</v>
      </c>
      <c r="AG82">
        <v>985.92000000000007</v>
      </c>
      <c r="AH82">
        <v>985.92000000000007</v>
      </c>
    </row>
    <row r="83" spans="1:34" x14ac:dyDescent="0.35">
      <c r="A83" t="s">
        <v>571</v>
      </c>
      <c r="B83">
        <v>138.6</v>
      </c>
      <c r="C83">
        <v>160.65</v>
      </c>
      <c r="D83">
        <v>195.3</v>
      </c>
      <c r="E83">
        <v>227.85000000000002</v>
      </c>
      <c r="F83">
        <v>257.25</v>
      </c>
      <c r="G83">
        <v>285.60000000000002</v>
      </c>
      <c r="H83">
        <v>306.8</v>
      </c>
      <c r="I83">
        <v>327.60000000000002</v>
      </c>
      <c r="J83">
        <v>351.52000000000004</v>
      </c>
      <c r="K83">
        <v>367.12</v>
      </c>
      <c r="L83">
        <v>380.64</v>
      </c>
      <c r="M83">
        <v>396.24</v>
      </c>
      <c r="N83">
        <v>402.48</v>
      </c>
      <c r="O83">
        <v>414.96000000000004</v>
      </c>
      <c r="P83">
        <v>436.8</v>
      </c>
      <c r="Q83">
        <v>450.32</v>
      </c>
      <c r="R83">
        <v>464.88</v>
      </c>
      <c r="S83">
        <v>480.48</v>
      </c>
      <c r="T83">
        <v>489.84000000000003</v>
      </c>
      <c r="U83">
        <v>506.48</v>
      </c>
      <c r="V83">
        <v>526.24</v>
      </c>
      <c r="W83">
        <v>544.96</v>
      </c>
      <c r="X83">
        <v>566.80000000000007</v>
      </c>
      <c r="Y83">
        <v>584.48</v>
      </c>
      <c r="Z83">
        <v>613.6</v>
      </c>
      <c r="AA83">
        <v>638.56000000000006</v>
      </c>
      <c r="AB83">
        <v>652.08000000000004</v>
      </c>
      <c r="AC83">
        <v>682.24</v>
      </c>
      <c r="AD83">
        <v>696.80000000000007</v>
      </c>
      <c r="AE83">
        <v>738.4</v>
      </c>
      <c r="AF83">
        <v>769.6</v>
      </c>
      <c r="AG83">
        <v>769.6</v>
      </c>
      <c r="AH83">
        <v>769.6</v>
      </c>
    </row>
    <row r="84" spans="1:34" x14ac:dyDescent="0.35">
      <c r="A84" t="s">
        <v>572</v>
      </c>
      <c r="B84">
        <v>126</v>
      </c>
      <c r="C84">
        <v>154.35</v>
      </c>
      <c r="D84">
        <v>179.55</v>
      </c>
      <c r="E84">
        <v>205.8</v>
      </c>
      <c r="F84">
        <v>221.55</v>
      </c>
      <c r="G84">
        <v>232.05</v>
      </c>
      <c r="H84">
        <v>250.64000000000001</v>
      </c>
      <c r="I84">
        <v>261.04000000000002</v>
      </c>
      <c r="J84">
        <v>274.56</v>
      </c>
      <c r="K84">
        <v>288.08</v>
      </c>
      <c r="L84">
        <v>305.76</v>
      </c>
      <c r="M84">
        <v>320.32</v>
      </c>
      <c r="N84">
        <v>330.72</v>
      </c>
      <c r="O84">
        <v>341.12</v>
      </c>
      <c r="P84">
        <v>347.36</v>
      </c>
      <c r="Q84">
        <v>365.04</v>
      </c>
      <c r="R84">
        <v>377.52000000000004</v>
      </c>
      <c r="S84">
        <v>386.88</v>
      </c>
      <c r="T84">
        <v>390</v>
      </c>
      <c r="U84">
        <v>402.48</v>
      </c>
      <c r="V84">
        <v>413.92</v>
      </c>
      <c r="W84">
        <v>424.32</v>
      </c>
      <c r="X84">
        <v>437.84000000000003</v>
      </c>
      <c r="Y84">
        <v>448.24</v>
      </c>
      <c r="Z84">
        <v>464.88</v>
      </c>
      <c r="AA84">
        <v>481.52000000000004</v>
      </c>
      <c r="AB84">
        <v>496.08000000000004</v>
      </c>
      <c r="AC84">
        <v>518.96</v>
      </c>
      <c r="AD84">
        <v>534.56000000000006</v>
      </c>
      <c r="AE84">
        <v>559.52</v>
      </c>
      <c r="AF84">
        <v>586.56000000000006</v>
      </c>
      <c r="AG84">
        <v>586.56000000000006</v>
      </c>
      <c r="AH84">
        <v>586.56000000000006</v>
      </c>
    </row>
    <row r="85" spans="1:34" x14ac:dyDescent="0.35">
      <c r="A85" t="s">
        <v>573</v>
      </c>
      <c r="B85">
        <v>171.15</v>
      </c>
      <c r="C85">
        <v>200.55</v>
      </c>
      <c r="D85">
        <v>222.60000000000002</v>
      </c>
      <c r="E85">
        <v>248.85000000000002</v>
      </c>
      <c r="F85">
        <v>271.95</v>
      </c>
      <c r="G85">
        <v>289.8</v>
      </c>
      <c r="H85">
        <v>316.16000000000003</v>
      </c>
      <c r="I85">
        <v>339.04</v>
      </c>
      <c r="J85">
        <v>361.92</v>
      </c>
      <c r="K85">
        <v>384.8</v>
      </c>
      <c r="L85">
        <v>409.76</v>
      </c>
      <c r="M85">
        <v>433.68</v>
      </c>
      <c r="N85">
        <v>454.48</v>
      </c>
      <c r="O85">
        <v>466.96000000000004</v>
      </c>
      <c r="P85">
        <v>481.52000000000004</v>
      </c>
      <c r="Q85">
        <v>499.20000000000005</v>
      </c>
      <c r="R85">
        <v>515.84</v>
      </c>
      <c r="S85">
        <v>534.56000000000006</v>
      </c>
      <c r="T85">
        <v>561.6</v>
      </c>
      <c r="U85">
        <v>592.80000000000007</v>
      </c>
      <c r="V85">
        <v>628.16</v>
      </c>
      <c r="W85">
        <v>663.52</v>
      </c>
      <c r="X85">
        <v>700.96</v>
      </c>
      <c r="Y85">
        <v>730.08</v>
      </c>
      <c r="Z85">
        <v>755.04000000000008</v>
      </c>
      <c r="AA85">
        <v>782.08</v>
      </c>
      <c r="AB85">
        <v>807.04000000000008</v>
      </c>
      <c r="AC85">
        <v>835.12</v>
      </c>
      <c r="AD85">
        <v>850.72</v>
      </c>
      <c r="AE85">
        <v>895.44</v>
      </c>
      <c r="AF85">
        <v>942.24</v>
      </c>
      <c r="AG85">
        <v>942.24</v>
      </c>
      <c r="AH85">
        <v>942.24</v>
      </c>
    </row>
    <row r="86" spans="1:34" x14ac:dyDescent="0.35">
      <c r="A86" t="s">
        <v>574</v>
      </c>
      <c r="B86">
        <v>150.15</v>
      </c>
      <c r="C86">
        <v>182.70000000000002</v>
      </c>
      <c r="D86">
        <v>233.10000000000002</v>
      </c>
      <c r="E86">
        <v>255.15</v>
      </c>
      <c r="F86">
        <v>266.7</v>
      </c>
      <c r="G86">
        <v>289.8</v>
      </c>
      <c r="H86">
        <v>309.92</v>
      </c>
      <c r="I86">
        <v>333.84000000000003</v>
      </c>
      <c r="J86">
        <v>355.68</v>
      </c>
      <c r="K86">
        <v>369.2</v>
      </c>
      <c r="L86">
        <v>388.96000000000004</v>
      </c>
      <c r="M86">
        <v>402.48</v>
      </c>
      <c r="N86">
        <v>411.84000000000003</v>
      </c>
      <c r="O86">
        <v>424.32</v>
      </c>
      <c r="P86">
        <v>453.44</v>
      </c>
      <c r="Q86">
        <v>468</v>
      </c>
      <c r="R86">
        <v>483.6</v>
      </c>
      <c r="S86">
        <v>502.32</v>
      </c>
      <c r="T86">
        <v>511.68</v>
      </c>
      <c r="U86">
        <v>528.32000000000005</v>
      </c>
      <c r="V86">
        <v>549.12</v>
      </c>
      <c r="W86">
        <v>572</v>
      </c>
      <c r="X86">
        <v>596.96</v>
      </c>
      <c r="Y86">
        <v>620.88</v>
      </c>
      <c r="Z86">
        <v>650</v>
      </c>
      <c r="AA86">
        <v>674.96</v>
      </c>
      <c r="AB86">
        <v>710.32</v>
      </c>
      <c r="AC86">
        <v>745.68000000000006</v>
      </c>
      <c r="AD86">
        <v>769.6</v>
      </c>
      <c r="AE86">
        <v>802.88</v>
      </c>
      <c r="AF86">
        <v>832</v>
      </c>
      <c r="AG86">
        <v>832</v>
      </c>
      <c r="AH86">
        <v>832</v>
      </c>
    </row>
    <row r="87" spans="1:34" x14ac:dyDescent="0.35">
      <c r="A87" t="s">
        <v>575</v>
      </c>
      <c r="B87">
        <v>119.7</v>
      </c>
      <c r="C87">
        <v>149.1</v>
      </c>
      <c r="D87">
        <v>179.55</v>
      </c>
      <c r="E87">
        <v>195.3</v>
      </c>
      <c r="F87">
        <v>210</v>
      </c>
      <c r="G87">
        <v>221.55</v>
      </c>
      <c r="H87">
        <v>240.24</v>
      </c>
      <c r="I87">
        <v>257.92</v>
      </c>
      <c r="J87">
        <v>273.52</v>
      </c>
      <c r="K87">
        <v>298.48</v>
      </c>
      <c r="L87">
        <v>310.96000000000004</v>
      </c>
      <c r="M87">
        <v>332.8</v>
      </c>
      <c r="N87">
        <v>338</v>
      </c>
      <c r="O87">
        <v>349.44</v>
      </c>
      <c r="P87">
        <v>376.48</v>
      </c>
      <c r="Q87">
        <v>391.04</v>
      </c>
      <c r="R87">
        <v>407.68</v>
      </c>
      <c r="S87">
        <v>422.24</v>
      </c>
      <c r="T87">
        <v>433.68</v>
      </c>
      <c r="U87">
        <v>440.96000000000004</v>
      </c>
      <c r="V87">
        <v>460.72</v>
      </c>
      <c r="W87">
        <v>470.08000000000004</v>
      </c>
      <c r="X87">
        <v>490.88</v>
      </c>
      <c r="Y87">
        <v>513.76</v>
      </c>
      <c r="Z87">
        <v>533.52</v>
      </c>
      <c r="AA87">
        <v>557.44000000000005</v>
      </c>
      <c r="AB87">
        <v>578.24</v>
      </c>
      <c r="AC87">
        <v>603.20000000000005</v>
      </c>
      <c r="AD87">
        <v>619.84</v>
      </c>
      <c r="AE87">
        <v>648.96</v>
      </c>
      <c r="AF87">
        <v>676</v>
      </c>
      <c r="AG87">
        <v>676</v>
      </c>
      <c r="AH87">
        <v>676</v>
      </c>
    </row>
    <row r="88" spans="1:34" x14ac:dyDescent="0.35">
      <c r="A88" t="s">
        <v>576</v>
      </c>
      <c r="B88">
        <v>134.4</v>
      </c>
      <c r="C88">
        <v>169.05</v>
      </c>
      <c r="D88">
        <v>204.75</v>
      </c>
      <c r="E88">
        <v>228.9</v>
      </c>
      <c r="F88">
        <v>266.7</v>
      </c>
      <c r="G88">
        <v>281.40000000000003</v>
      </c>
      <c r="H88">
        <v>298.48</v>
      </c>
      <c r="I88">
        <v>310.96000000000004</v>
      </c>
      <c r="J88">
        <v>320.32</v>
      </c>
      <c r="K88">
        <v>329.68</v>
      </c>
      <c r="L88">
        <v>341.12</v>
      </c>
      <c r="M88">
        <v>351.52000000000004</v>
      </c>
      <c r="N88">
        <v>362.96000000000004</v>
      </c>
      <c r="O88">
        <v>374.40000000000003</v>
      </c>
      <c r="P88">
        <v>381.68</v>
      </c>
      <c r="Q88">
        <v>400.40000000000003</v>
      </c>
      <c r="R88">
        <v>411.84000000000003</v>
      </c>
      <c r="S88">
        <v>424.32</v>
      </c>
      <c r="T88">
        <v>443.04</v>
      </c>
      <c r="U88">
        <v>455.52000000000004</v>
      </c>
      <c r="V88">
        <v>466.96000000000004</v>
      </c>
      <c r="W88">
        <v>492.96000000000004</v>
      </c>
      <c r="X88">
        <v>505.44</v>
      </c>
      <c r="Y88">
        <v>524.16</v>
      </c>
      <c r="Z88">
        <v>543.92000000000007</v>
      </c>
      <c r="AA88">
        <v>557.44000000000005</v>
      </c>
      <c r="AB88">
        <v>572</v>
      </c>
      <c r="AC88">
        <v>591.76</v>
      </c>
      <c r="AD88">
        <v>603.20000000000005</v>
      </c>
      <c r="AE88">
        <v>614.64</v>
      </c>
      <c r="AF88">
        <v>625.04000000000008</v>
      </c>
      <c r="AG88">
        <v>625.04000000000008</v>
      </c>
      <c r="AH88">
        <v>625.04000000000008</v>
      </c>
    </row>
    <row r="89" spans="1:34" x14ac:dyDescent="0.35">
      <c r="A89" t="s">
        <v>577</v>
      </c>
      <c r="B89">
        <v>147</v>
      </c>
      <c r="C89">
        <v>185.85</v>
      </c>
      <c r="D89">
        <v>206.85000000000002</v>
      </c>
      <c r="E89">
        <v>233.10000000000002</v>
      </c>
      <c r="F89">
        <v>242.55</v>
      </c>
      <c r="G89">
        <v>257.25</v>
      </c>
      <c r="H89">
        <v>266.24</v>
      </c>
      <c r="I89">
        <v>281.84000000000003</v>
      </c>
      <c r="J89">
        <v>294.32</v>
      </c>
      <c r="K89">
        <v>308.88</v>
      </c>
      <c r="L89">
        <v>317.2</v>
      </c>
      <c r="M89">
        <v>334.88</v>
      </c>
      <c r="N89">
        <v>357.76</v>
      </c>
      <c r="O89">
        <v>370.24</v>
      </c>
      <c r="P89">
        <v>388.96000000000004</v>
      </c>
      <c r="Q89">
        <v>400.40000000000003</v>
      </c>
      <c r="R89">
        <v>412.88</v>
      </c>
      <c r="S89">
        <v>424.32</v>
      </c>
      <c r="T89">
        <v>444.08000000000004</v>
      </c>
      <c r="U89">
        <v>446.16</v>
      </c>
      <c r="V89">
        <v>458.64000000000004</v>
      </c>
      <c r="W89">
        <v>473.2</v>
      </c>
      <c r="X89">
        <v>489.84000000000003</v>
      </c>
      <c r="Y89">
        <v>501.28000000000003</v>
      </c>
      <c r="Z89">
        <v>516.88</v>
      </c>
      <c r="AA89">
        <v>534.56000000000006</v>
      </c>
      <c r="AB89">
        <v>550.16</v>
      </c>
      <c r="AC89">
        <v>575.12</v>
      </c>
      <c r="AD89">
        <v>596.96</v>
      </c>
      <c r="AE89">
        <v>616.72</v>
      </c>
      <c r="AF89">
        <v>626.08000000000004</v>
      </c>
      <c r="AG89">
        <v>626.08000000000004</v>
      </c>
      <c r="AH89">
        <v>626.08000000000004</v>
      </c>
    </row>
    <row r="90" spans="1:34" x14ac:dyDescent="0.35">
      <c r="A90" t="s">
        <v>578</v>
      </c>
      <c r="B90">
        <v>136.5</v>
      </c>
      <c r="C90">
        <v>173.25</v>
      </c>
      <c r="D90">
        <v>193.20000000000002</v>
      </c>
      <c r="E90">
        <v>218.4</v>
      </c>
      <c r="F90">
        <v>226.8</v>
      </c>
      <c r="G90">
        <v>240.45000000000002</v>
      </c>
      <c r="H90">
        <v>248.56</v>
      </c>
      <c r="I90">
        <v>262.08</v>
      </c>
      <c r="J90">
        <v>273.52</v>
      </c>
      <c r="K90">
        <v>288.08</v>
      </c>
      <c r="L90">
        <v>295.36</v>
      </c>
      <c r="M90">
        <v>310.96000000000004</v>
      </c>
      <c r="N90">
        <v>332.8</v>
      </c>
      <c r="O90">
        <v>344.24</v>
      </c>
      <c r="P90">
        <v>361.92</v>
      </c>
      <c r="Q90">
        <v>372.32</v>
      </c>
      <c r="R90">
        <v>384.8</v>
      </c>
      <c r="S90">
        <v>395.2</v>
      </c>
      <c r="T90">
        <v>412.88</v>
      </c>
      <c r="U90">
        <v>413.92</v>
      </c>
      <c r="V90">
        <v>426.40000000000003</v>
      </c>
      <c r="W90">
        <v>442</v>
      </c>
      <c r="X90">
        <v>455.52000000000004</v>
      </c>
      <c r="Y90">
        <v>466.96000000000004</v>
      </c>
      <c r="Z90">
        <v>481.52000000000004</v>
      </c>
      <c r="AA90">
        <v>498.16</v>
      </c>
      <c r="AB90">
        <v>511.68</v>
      </c>
      <c r="AC90">
        <v>534.56000000000006</v>
      </c>
      <c r="AD90">
        <v>555.36</v>
      </c>
      <c r="AE90">
        <v>574.08000000000004</v>
      </c>
      <c r="AF90">
        <v>582.4</v>
      </c>
      <c r="AG90">
        <v>582.4</v>
      </c>
      <c r="AH90">
        <v>582.4</v>
      </c>
    </row>
    <row r="91" spans="1:34" x14ac:dyDescent="0.35">
      <c r="A91" t="s">
        <v>579</v>
      </c>
      <c r="B91">
        <v>135.45000000000002</v>
      </c>
      <c r="C91">
        <v>157.5</v>
      </c>
      <c r="D91">
        <v>173.25</v>
      </c>
      <c r="E91">
        <v>198.45000000000002</v>
      </c>
      <c r="F91">
        <v>217.35000000000002</v>
      </c>
      <c r="G91">
        <v>234.15</v>
      </c>
      <c r="H91">
        <v>252.72</v>
      </c>
      <c r="I91">
        <v>265.2</v>
      </c>
      <c r="J91">
        <v>278.72000000000003</v>
      </c>
      <c r="K91">
        <v>293.28000000000003</v>
      </c>
      <c r="L91">
        <v>306.8</v>
      </c>
      <c r="M91">
        <v>320.32</v>
      </c>
      <c r="N91">
        <v>334.88</v>
      </c>
      <c r="O91">
        <v>350.48</v>
      </c>
      <c r="P91">
        <v>362.96000000000004</v>
      </c>
      <c r="Q91">
        <v>390</v>
      </c>
      <c r="R91">
        <v>402.48</v>
      </c>
      <c r="S91">
        <v>424.32</v>
      </c>
      <c r="T91">
        <v>442</v>
      </c>
      <c r="U91">
        <v>460.72</v>
      </c>
      <c r="V91">
        <v>478.40000000000003</v>
      </c>
      <c r="W91">
        <v>504.40000000000003</v>
      </c>
      <c r="X91">
        <v>522.08000000000004</v>
      </c>
      <c r="Y91">
        <v>541.84</v>
      </c>
      <c r="Z91">
        <v>556.4</v>
      </c>
      <c r="AA91">
        <v>582.4</v>
      </c>
      <c r="AB91">
        <v>612.56000000000006</v>
      </c>
      <c r="AC91">
        <v>640.64</v>
      </c>
      <c r="AD91">
        <v>663.52</v>
      </c>
      <c r="AE91">
        <v>685.36</v>
      </c>
      <c r="AF91">
        <v>697.84</v>
      </c>
      <c r="AG91">
        <v>697.84</v>
      </c>
      <c r="AH91">
        <v>697.84</v>
      </c>
    </row>
    <row r="92" spans="1:34" x14ac:dyDescent="0.35">
      <c r="A92" t="s">
        <v>580</v>
      </c>
      <c r="B92">
        <v>137.55000000000001</v>
      </c>
      <c r="C92">
        <v>157.5</v>
      </c>
      <c r="D92">
        <v>173.25</v>
      </c>
      <c r="E92">
        <v>199.5</v>
      </c>
      <c r="F92">
        <v>219.45000000000002</v>
      </c>
      <c r="G92">
        <v>237.3</v>
      </c>
      <c r="H92">
        <v>254.8</v>
      </c>
      <c r="I92">
        <v>267.28000000000003</v>
      </c>
      <c r="J92">
        <v>278.72000000000003</v>
      </c>
      <c r="K92">
        <v>292.24</v>
      </c>
      <c r="L92">
        <v>305.76</v>
      </c>
      <c r="M92">
        <v>323.44</v>
      </c>
      <c r="N92">
        <v>339.04</v>
      </c>
      <c r="O92">
        <v>353.6</v>
      </c>
      <c r="P92">
        <v>367.12</v>
      </c>
      <c r="Q92">
        <v>391.04</v>
      </c>
      <c r="R92">
        <v>403.52000000000004</v>
      </c>
      <c r="S92">
        <v>424.32</v>
      </c>
      <c r="T92">
        <v>443.04</v>
      </c>
      <c r="U92">
        <v>461.76</v>
      </c>
      <c r="V92">
        <v>480.48</v>
      </c>
      <c r="W92">
        <v>505.44</v>
      </c>
      <c r="X92">
        <v>524.16</v>
      </c>
      <c r="Y92">
        <v>543.92000000000007</v>
      </c>
      <c r="Z92">
        <v>558.48</v>
      </c>
      <c r="AA92">
        <v>583.44000000000005</v>
      </c>
      <c r="AB92">
        <v>612.56000000000006</v>
      </c>
      <c r="AC92">
        <v>640.64</v>
      </c>
      <c r="AD92">
        <v>663.52</v>
      </c>
      <c r="AE92">
        <v>686.4</v>
      </c>
      <c r="AF92">
        <v>697.84</v>
      </c>
      <c r="AG92">
        <v>697.84</v>
      </c>
      <c r="AH92">
        <v>697.84</v>
      </c>
    </row>
    <row r="93" spans="1:34" x14ac:dyDescent="0.35">
      <c r="A93" t="s">
        <v>581</v>
      </c>
      <c r="B93">
        <v>135.45000000000002</v>
      </c>
      <c r="C93">
        <v>157.5</v>
      </c>
      <c r="D93">
        <v>173.25</v>
      </c>
      <c r="E93">
        <v>198.45000000000002</v>
      </c>
      <c r="F93">
        <v>217.35000000000002</v>
      </c>
      <c r="G93">
        <v>234.15</v>
      </c>
      <c r="H93">
        <v>252.72</v>
      </c>
      <c r="I93">
        <v>265.2</v>
      </c>
      <c r="J93">
        <v>278.72000000000003</v>
      </c>
      <c r="K93">
        <v>293.28000000000003</v>
      </c>
      <c r="L93">
        <v>306.8</v>
      </c>
      <c r="M93">
        <v>320.32</v>
      </c>
      <c r="N93">
        <v>334.88</v>
      </c>
      <c r="O93">
        <v>350.48</v>
      </c>
      <c r="P93">
        <v>362.96000000000004</v>
      </c>
      <c r="Q93">
        <v>390</v>
      </c>
      <c r="R93">
        <v>402.48</v>
      </c>
      <c r="S93">
        <v>424.32</v>
      </c>
      <c r="T93">
        <v>442</v>
      </c>
      <c r="U93">
        <v>460.72</v>
      </c>
      <c r="V93">
        <v>478.40000000000003</v>
      </c>
      <c r="W93">
        <v>504.40000000000003</v>
      </c>
      <c r="X93">
        <v>522.08000000000004</v>
      </c>
      <c r="Y93">
        <v>541.84</v>
      </c>
      <c r="Z93">
        <v>556.4</v>
      </c>
      <c r="AA93">
        <v>582.4</v>
      </c>
      <c r="AB93">
        <v>612.56000000000006</v>
      </c>
      <c r="AC93">
        <v>640.64</v>
      </c>
      <c r="AD93">
        <v>663.52</v>
      </c>
      <c r="AE93">
        <v>685.36</v>
      </c>
      <c r="AF93">
        <v>697.84</v>
      </c>
      <c r="AG93">
        <v>697.84</v>
      </c>
      <c r="AH93">
        <v>697.84</v>
      </c>
    </row>
    <row r="94" spans="1:34" x14ac:dyDescent="0.35">
      <c r="A94" t="s">
        <v>582</v>
      </c>
      <c r="B94">
        <v>135.45000000000002</v>
      </c>
      <c r="C94">
        <v>157.5</v>
      </c>
      <c r="D94">
        <v>173.25</v>
      </c>
      <c r="E94">
        <v>198.45000000000002</v>
      </c>
      <c r="F94">
        <v>217.35000000000002</v>
      </c>
      <c r="G94">
        <v>234.15</v>
      </c>
      <c r="H94">
        <v>252.72</v>
      </c>
      <c r="I94">
        <v>265.2</v>
      </c>
      <c r="J94">
        <v>278.72000000000003</v>
      </c>
      <c r="K94">
        <v>293.28000000000003</v>
      </c>
      <c r="L94">
        <v>306.8</v>
      </c>
      <c r="M94">
        <v>320.32</v>
      </c>
      <c r="N94">
        <v>334.88</v>
      </c>
      <c r="O94">
        <v>350.48</v>
      </c>
      <c r="P94">
        <v>362.96000000000004</v>
      </c>
      <c r="Q94">
        <v>390</v>
      </c>
      <c r="R94">
        <v>402.48</v>
      </c>
      <c r="S94">
        <v>424.32</v>
      </c>
      <c r="T94">
        <v>442</v>
      </c>
      <c r="U94">
        <v>460.72</v>
      </c>
      <c r="V94">
        <v>478.40000000000003</v>
      </c>
      <c r="W94">
        <v>504.40000000000003</v>
      </c>
      <c r="X94">
        <v>522.08000000000004</v>
      </c>
      <c r="Y94">
        <v>541.84</v>
      </c>
      <c r="Z94">
        <v>556.4</v>
      </c>
      <c r="AA94">
        <v>582.4</v>
      </c>
      <c r="AB94">
        <v>612.56000000000006</v>
      </c>
      <c r="AC94">
        <v>640.64</v>
      </c>
      <c r="AD94">
        <v>663.52</v>
      </c>
      <c r="AE94">
        <v>685.36</v>
      </c>
      <c r="AF94">
        <v>697.84</v>
      </c>
      <c r="AG94">
        <v>697.84</v>
      </c>
      <c r="AH94">
        <v>697.84</v>
      </c>
    </row>
    <row r="95" spans="1:34" x14ac:dyDescent="0.35">
      <c r="A95" t="s">
        <v>583</v>
      </c>
      <c r="B95">
        <v>137.55000000000001</v>
      </c>
      <c r="C95">
        <v>157.5</v>
      </c>
      <c r="D95">
        <v>173.25</v>
      </c>
      <c r="E95">
        <v>199.5</v>
      </c>
      <c r="F95">
        <v>219.45000000000002</v>
      </c>
      <c r="G95">
        <v>237.3</v>
      </c>
      <c r="H95">
        <v>254.8</v>
      </c>
      <c r="I95">
        <v>267.28000000000003</v>
      </c>
      <c r="J95">
        <v>278.72000000000003</v>
      </c>
      <c r="K95">
        <v>292.24</v>
      </c>
      <c r="L95">
        <v>305.76</v>
      </c>
      <c r="M95">
        <v>323.44</v>
      </c>
      <c r="N95">
        <v>339.04</v>
      </c>
      <c r="O95">
        <v>353.6</v>
      </c>
      <c r="P95">
        <v>367.12</v>
      </c>
      <c r="Q95">
        <v>391.04</v>
      </c>
      <c r="R95">
        <v>403.52000000000004</v>
      </c>
      <c r="S95">
        <v>424.32</v>
      </c>
      <c r="T95">
        <v>443.04</v>
      </c>
      <c r="U95">
        <v>461.76</v>
      </c>
      <c r="V95">
        <v>480.48</v>
      </c>
      <c r="W95">
        <v>505.44</v>
      </c>
      <c r="X95">
        <v>524.16</v>
      </c>
      <c r="Y95">
        <v>543.92000000000007</v>
      </c>
      <c r="Z95">
        <v>558.48</v>
      </c>
      <c r="AA95">
        <v>583.44000000000005</v>
      </c>
      <c r="AB95">
        <v>612.56000000000006</v>
      </c>
      <c r="AC95">
        <v>640.64</v>
      </c>
      <c r="AD95">
        <v>663.52</v>
      </c>
      <c r="AE95">
        <v>686.4</v>
      </c>
      <c r="AF95">
        <v>697.84</v>
      </c>
      <c r="AG95">
        <v>697.84</v>
      </c>
      <c r="AH95">
        <v>697.84</v>
      </c>
    </row>
    <row r="96" spans="1:34" x14ac:dyDescent="0.35">
      <c r="A96" t="s">
        <v>584</v>
      </c>
      <c r="B96">
        <v>131</v>
      </c>
      <c r="C96">
        <v>207</v>
      </c>
      <c r="D96">
        <v>312</v>
      </c>
      <c r="E96">
        <v>409</v>
      </c>
      <c r="F96">
        <v>512</v>
      </c>
      <c r="G96">
        <v>598</v>
      </c>
      <c r="H96">
        <v>639</v>
      </c>
      <c r="I96">
        <v>677</v>
      </c>
      <c r="J96">
        <v>715</v>
      </c>
      <c r="K96">
        <v>753</v>
      </c>
      <c r="L96">
        <v>791</v>
      </c>
      <c r="M96">
        <v>829</v>
      </c>
      <c r="N96">
        <v>867</v>
      </c>
      <c r="O96">
        <v>904</v>
      </c>
      <c r="P96">
        <v>942</v>
      </c>
      <c r="Q96">
        <v>980</v>
      </c>
      <c r="R96">
        <v>1018</v>
      </c>
      <c r="S96">
        <v>1056</v>
      </c>
      <c r="T96">
        <v>1094</v>
      </c>
      <c r="U96">
        <v>1132</v>
      </c>
      <c r="V96">
        <v>1170</v>
      </c>
      <c r="W96">
        <v>1208</v>
      </c>
      <c r="X96">
        <v>1246</v>
      </c>
      <c r="Y96">
        <v>1284</v>
      </c>
      <c r="Z96">
        <v>1321</v>
      </c>
      <c r="AA96">
        <v>1359</v>
      </c>
      <c r="AB96">
        <v>1397</v>
      </c>
      <c r="AC96">
        <v>1435</v>
      </c>
      <c r="AD96">
        <v>1473</v>
      </c>
      <c r="AE96">
        <v>1511</v>
      </c>
      <c r="AF96">
        <v>1549</v>
      </c>
      <c r="AG96">
        <v>1549</v>
      </c>
      <c r="AH96">
        <v>1549</v>
      </c>
    </row>
    <row r="97" spans="1:34" x14ac:dyDescent="0.35">
      <c r="A97" t="s">
        <v>585</v>
      </c>
      <c r="B97">
        <v>131</v>
      </c>
      <c r="C97">
        <v>206</v>
      </c>
      <c r="D97">
        <v>310</v>
      </c>
      <c r="E97">
        <v>407</v>
      </c>
      <c r="F97">
        <v>510</v>
      </c>
      <c r="G97">
        <v>595</v>
      </c>
      <c r="H97">
        <v>757</v>
      </c>
      <c r="I97">
        <v>805</v>
      </c>
      <c r="J97">
        <v>853</v>
      </c>
      <c r="K97">
        <v>901</v>
      </c>
      <c r="L97">
        <v>949</v>
      </c>
      <c r="M97">
        <v>998</v>
      </c>
      <c r="N97">
        <v>1046</v>
      </c>
      <c r="O97">
        <v>1094</v>
      </c>
      <c r="P97">
        <v>1142</v>
      </c>
      <c r="Q97">
        <v>1190</v>
      </c>
      <c r="R97">
        <v>1238</v>
      </c>
      <c r="S97">
        <v>1286</v>
      </c>
      <c r="T97">
        <v>1334</v>
      </c>
      <c r="U97">
        <v>1383</v>
      </c>
      <c r="V97">
        <v>1431</v>
      </c>
      <c r="W97">
        <v>1479</v>
      </c>
      <c r="X97">
        <v>1527</v>
      </c>
      <c r="Y97">
        <v>1575</v>
      </c>
      <c r="Z97">
        <v>1623</v>
      </c>
      <c r="AA97">
        <v>1671</v>
      </c>
      <c r="AB97">
        <v>1720</v>
      </c>
      <c r="AC97">
        <v>1768</v>
      </c>
      <c r="AD97">
        <v>1816</v>
      </c>
      <c r="AE97">
        <v>1864</v>
      </c>
      <c r="AF97">
        <v>1912</v>
      </c>
      <c r="AG97">
        <v>1912</v>
      </c>
      <c r="AH97">
        <v>1912</v>
      </c>
    </row>
    <row r="98" spans="1:34" x14ac:dyDescent="0.35">
      <c r="A98" t="s">
        <v>586</v>
      </c>
      <c r="B98">
        <v>129</v>
      </c>
      <c r="C98">
        <v>203</v>
      </c>
      <c r="D98">
        <v>306</v>
      </c>
      <c r="E98">
        <v>401</v>
      </c>
      <c r="F98">
        <v>502</v>
      </c>
      <c r="G98">
        <v>587</v>
      </c>
      <c r="H98">
        <v>757</v>
      </c>
      <c r="I98">
        <v>805</v>
      </c>
      <c r="J98">
        <v>853</v>
      </c>
      <c r="K98">
        <v>901</v>
      </c>
      <c r="L98">
        <v>949</v>
      </c>
      <c r="M98">
        <v>998</v>
      </c>
      <c r="N98">
        <v>1046</v>
      </c>
      <c r="O98">
        <v>1094</v>
      </c>
      <c r="P98">
        <v>1142</v>
      </c>
      <c r="Q98">
        <v>1190</v>
      </c>
      <c r="R98">
        <v>1238</v>
      </c>
      <c r="S98">
        <v>1286</v>
      </c>
      <c r="T98">
        <v>1334</v>
      </c>
      <c r="U98">
        <v>1383</v>
      </c>
      <c r="V98">
        <v>1431</v>
      </c>
      <c r="W98">
        <v>1479</v>
      </c>
      <c r="X98">
        <v>1527</v>
      </c>
      <c r="Y98">
        <v>1575</v>
      </c>
      <c r="Z98">
        <v>1623</v>
      </c>
      <c r="AA98">
        <v>1671</v>
      </c>
      <c r="AB98">
        <v>1720</v>
      </c>
      <c r="AC98">
        <v>1768</v>
      </c>
      <c r="AD98">
        <v>1816</v>
      </c>
      <c r="AE98">
        <v>1864</v>
      </c>
      <c r="AF98">
        <v>1912</v>
      </c>
      <c r="AG98">
        <v>1912</v>
      </c>
      <c r="AH98">
        <v>1912</v>
      </c>
    </row>
    <row r="99" spans="1:34" x14ac:dyDescent="0.35">
      <c r="A99" t="s">
        <v>587</v>
      </c>
      <c r="B99">
        <v>141</v>
      </c>
      <c r="C99">
        <v>225</v>
      </c>
      <c r="D99">
        <v>340</v>
      </c>
      <c r="E99">
        <v>447</v>
      </c>
      <c r="F99">
        <v>560</v>
      </c>
      <c r="G99">
        <v>654</v>
      </c>
      <c r="H99">
        <v>931</v>
      </c>
      <c r="I99">
        <v>990</v>
      </c>
      <c r="J99">
        <v>1050</v>
      </c>
      <c r="K99">
        <v>1109</v>
      </c>
      <c r="L99">
        <v>1168</v>
      </c>
      <c r="M99">
        <v>1228</v>
      </c>
      <c r="N99">
        <v>1287</v>
      </c>
      <c r="O99">
        <v>1347</v>
      </c>
      <c r="P99">
        <v>1406</v>
      </c>
      <c r="Q99">
        <v>1465</v>
      </c>
      <c r="R99">
        <v>1525</v>
      </c>
      <c r="S99">
        <v>1584</v>
      </c>
      <c r="T99">
        <v>1644</v>
      </c>
      <c r="U99">
        <v>1703</v>
      </c>
      <c r="V99">
        <v>1762</v>
      </c>
      <c r="W99">
        <v>1822</v>
      </c>
      <c r="X99">
        <v>1881</v>
      </c>
      <c r="Y99">
        <v>1941</v>
      </c>
      <c r="Z99">
        <v>2000</v>
      </c>
      <c r="AA99">
        <v>2059</v>
      </c>
      <c r="AB99">
        <v>2119</v>
      </c>
      <c r="AC99">
        <v>2178</v>
      </c>
      <c r="AD99">
        <v>2238</v>
      </c>
      <c r="AE99">
        <v>2297</v>
      </c>
      <c r="AF99">
        <v>2356</v>
      </c>
      <c r="AG99">
        <v>2356</v>
      </c>
      <c r="AH99">
        <v>2356</v>
      </c>
    </row>
    <row r="100" spans="1:34" x14ac:dyDescent="0.35">
      <c r="A100" t="s">
        <v>588</v>
      </c>
      <c r="B100">
        <v>141</v>
      </c>
      <c r="C100">
        <v>225</v>
      </c>
      <c r="D100">
        <v>340</v>
      </c>
      <c r="E100">
        <v>447</v>
      </c>
      <c r="F100">
        <v>561</v>
      </c>
      <c r="G100">
        <v>655</v>
      </c>
      <c r="H100">
        <v>898</v>
      </c>
      <c r="I100">
        <v>955</v>
      </c>
      <c r="J100">
        <v>1013</v>
      </c>
      <c r="K100">
        <v>1070</v>
      </c>
      <c r="L100">
        <v>1127</v>
      </c>
      <c r="M100">
        <v>1184</v>
      </c>
      <c r="N100">
        <v>1241</v>
      </c>
      <c r="O100">
        <v>1299</v>
      </c>
      <c r="P100">
        <v>1356</v>
      </c>
      <c r="Q100">
        <v>1413</v>
      </c>
      <c r="R100">
        <v>1470</v>
      </c>
      <c r="S100">
        <v>1527</v>
      </c>
      <c r="T100">
        <v>1584</v>
      </c>
      <c r="U100">
        <v>1642</v>
      </c>
      <c r="V100">
        <v>1699</v>
      </c>
      <c r="W100">
        <v>1756</v>
      </c>
      <c r="X100">
        <v>1813</v>
      </c>
      <c r="Y100">
        <v>1870</v>
      </c>
      <c r="Z100">
        <v>1928</v>
      </c>
      <c r="AA100">
        <v>1985</v>
      </c>
      <c r="AB100">
        <v>2042</v>
      </c>
      <c r="AC100">
        <v>2099</v>
      </c>
      <c r="AD100">
        <v>2156</v>
      </c>
      <c r="AE100">
        <v>2214</v>
      </c>
      <c r="AF100">
        <v>2271</v>
      </c>
      <c r="AG100">
        <v>2271</v>
      </c>
      <c r="AH100">
        <v>2271</v>
      </c>
    </row>
    <row r="101" spans="1:34" x14ac:dyDescent="0.35">
      <c r="A101" t="s">
        <v>589</v>
      </c>
      <c r="B101">
        <v>149</v>
      </c>
      <c r="C101">
        <v>240</v>
      </c>
      <c r="D101">
        <v>364</v>
      </c>
      <c r="E101">
        <v>479</v>
      </c>
      <c r="F101">
        <v>601</v>
      </c>
      <c r="G101">
        <v>703</v>
      </c>
      <c r="H101">
        <v>931</v>
      </c>
      <c r="I101">
        <v>990</v>
      </c>
      <c r="J101">
        <v>1050</v>
      </c>
      <c r="K101">
        <v>1109</v>
      </c>
      <c r="L101">
        <v>1168</v>
      </c>
      <c r="M101">
        <v>1228</v>
      </c>
      <c r="N101">
        <v>1287</v>
      </c>
      <c r="O101">
        <v>1347</v>
      </c>
      <c r="P101">
        <v>1406</v>
      </c>
      <c r="Q101">
        <v>1465</v>
      </c>
      <c r="R101">
        <v>1525</v>
      </c>
      <c r="S101">
        <v>1584</v>
      </c>
      <c r="T101">
        <v>1644</v>
      </c>
      <c r="U101">
        <v>1703</v>
      </c>
      <c r="V101">
        <v>1762</v>
      </c>
      <c r="W101">
        <v>1822</v>
      </c>
      <c r="X101">
        <v>1881</v>
      </c>
      <c r="Y101">
        <v>1941</v>
      </c>
      <c r="Z101">
        <v>2000</v>
      </c>
      <c r="AA101">
        <v>2059</v>
      </c>
      <c r="AB101">
        <v>2119</v>
      </c>
      <c r="AC101">
        <v>2178</v>
      </c>
      <c r="AD101">
        <v>2238</v>
      </c>
      <c r="AE101">
        <v>2297</v>
      </c>
      <c r="AF101">
        <v>2356</v>
      </c>
      <c r="AG101">
        <v>2356</v>
      </c>
      <c r="AH101">
        <v>2356</v>
      </c>
    </row>
    <row r="102" spans="1:34" x14ac:dyDescent="0.35">
      <c r="A102" t="s">
        <v>590</v>
      </c>
      <c r="B102">
        <v>257</v>
      </c>
      <c r="C102">
        <v>429</v>
      </c>
      <c r="D102">
        <v>661</v>
      </c>
      <c r="E102">
        <v>861</v>
      </c>
      <c r="F102">
        <v>1067</v>
      </c>
      <c r="G102">
        <v>1230</v>
      </c>
      <c r="H102">
        <v>1230</v>
      </c>
      <c r="I102">
        <v>1230</v>
      </c>
      <c r="J102">
        <v>1230</v>
      </c>
      <c r="K102">
        <v>1230</v>
      </c>
      <c r="L102">
        <v>1230</v>
      </c>
      <c r="M102">
        <v>1230</v>
      </c>
      <c r="N102">
        <v>1230</v>
      </c>
      <c r="O102">
        <v>1230</v>
      </c>
      <c r="P102">
        <v>1230</v>
      </c>
      <c r="Q102">
        <v>1230</v>
      </c>
      <c r="R102">
        <v>1230</v>
      </c>
      <c r="S102">
        <v>1230</v>
      </c>
      <c r="T102">
        <v>1230</v>
      </c>
      <c r="U102">
        <v>1230</v>
      </c>
      <c r="V102">
        <v>1230</v>
      </c>
      <c r="W102">
        <v>1230</v>
      </c>
      <c r="X102">
        <v>1230</v>
      </c>
      <c r="Y102">
        <v>1230</v>
      </c>
      <c r="Z102">
        <v>1230</v>
      </c>
      <c r="AA102">
        <v>1230</v>
      </c>
      <c r="AB102">
        <v>1230</v>
      </c>
      <c r="AC102">
        <v>1230</v>
      </c>
      <c r="AD102">
        <v>1230</v>
      </c>
      <c r="AE102">
        <v>1230</v>
      </c>
      <c r="AF102">
        <v>1230</v>
      </c>
      <c r="AG102">
        <v>1230</v>
      </c>
      <c r="AH102">
        <v>1230</v>
      </c>
    </row>
    <row r="103" spans="1:34" x14ac:dyDescent="0.35">
      <c r="A103" t="s">
        <v>591</v>
      </c>
      <c r="B103">
        <v>100</v>
      </c>
      <c r="C103">
        <v>150</v>
      </c>
      <c r="D103">
        <v>220</v>
      </c>
      <c r="E103">
        <v>287</v>
      </c>
      <c r="F103">
        <v>357</v>
      </c>
      <c r="G103">
        <v>415</v>
      </c>
      <c r="H103">
        <v>427</v>
      </c>
      <c r="I103">
        <v>454</v>
      </c>
      <c r="J103">
        <v>481</v>
      </c>
      <c r="K103">
        <v>508</v>
      </c>
      <c r="L103">
        <v>535</v>
      </c>
      <c r="M103">
        <v>561</v>
      </c>
      <c r="N103">
        <v>588</v>
      </c>
      <c r="O103">
        <v>615</v>
      </c>
      <c r="P103">
        <v>642</v>
      </c>
      <c r="Q103">
        <v>669</v>
      </c>
      <c r="R103">
        <v>696</v>
      </c>
      <c r="S103">
        <v>723</v>
      </c>
      <c r="T103">
        <v>750</v>
      </c>
      <c r="U103">
        <v>777</v>
      </c>
      <c r="V103">
        <v>804</v>
      </c>
      <c r="W103">
        <v>831</v>
      </c>
      <c r="X103">
        <v>858</v>
      </c>
      <c r="Y103">
        <v>884</v>
      </c>
      <c r="Z103">
        <v>911</v>
      </c>
      <c r="AA103">
        <v>938</v>
      </c>
      <c r="AB103">
        <v>965</v>
      </c>
      <c r="AC103">
        <v>992</v>
      </c>
      <c r="AD103">
        <v>1019</v>
      </c>
      <c r="AE103">
        <v>1046</v>
      </c>
      <c r="AF103">
        <v>1073</v>
      </c>
      <c r="AG103">
        <v>1073</v>
      </c>
      <c r="AH103">
        <v>1073</v>
      </c>
    </row>
    <row r="104" spans="1:34" x14ac:dyDescent="0.35">
      <c r="A104" t="s">
        <v>592</v>
      </c>
      <c r="B104">
        <v>134</v>
      </c>
      <c r="C104">
        <v>213</v>
      </c>
      <c r="D104">
        <v>320</v>
      </c>
      <c r="E104">
        <v>421</v>
      </c>
      <c r="F104">
        <v>527</v>
      </c>
      <c r="G104">
        <v>616</v>
      </c>
      <c r="H104">
        <v>705</v>
      </c>
      <c r="I104">
        <v>750</v>
      </c>
      <c r="J104">
        <v>795</v>
      </c>
      <c r="K104">
        <v>840</v>
      </c>
      <c r="L104">
        <v>885</v>
      </c>
      <c r="M104">
        <v>930</v>
      </c>
      <c r="N104">
        <v>975</v>
      </c>
      <c r="O104">
        <v>1020</v>
      </c>
      <c r="P104">
        <v>1065</v>
      </c>
      <c r="Q104">
        <v>1109</v>
      </c>
      <c r="R104">
        <v>1154</v>
      </c>
      <c r="S104">
        <v>1199</v>
      </c>
      <c r="T104">
        <v>1244</v>
      </c>
      <c r="U104">
        <v>1289</v>
      </c>
      <c r="V104">
        <v>1334</v>
      </c>
      <c r="W104">
        <v>1379</v>
      </c>
      <c r="X104">
        <v>1424</v>
      </c>
      <c r="Y104">
        <v>1469</v>
      </c>
      <c r="Z104">
        <v>1514</v>
      </c>
      <c r="AA104">
        <v>1558</v>
      </c>
      <c r="AB104">
        <v>1603</v>
      </c>
      <c r="AC104">
        <v>1648</v>
      </c>
      <c r="AD104">
        <v>1693</v>
      </c>
      <c r="AE104">
        <v>1738</v>
      </c>
      <c r="AF104">
        <v>1783</v>
      </c>
      <c r="AG104">
        <v>1783</v>
      </c>
      <c r="AH104">
        <v>1783</v>
      </c>
    </row>
    <row r="105" spans="1:34" x14ac:dyDescent="0.35">
      <c r="A105" t="s">
        <v>593</v>
      </c>
      <c r="B105">
        <v>147</v>
      </c>
      <c r="C105">
        <v>236</v>
      </c>
      <c r="D105">
        <v>358</v>
      </c>
      <c r="E105">
        <v>472</v>
      </c>
      <c r="F105">
        <v>592</v>
      </c>
      <c r="G105">
        <v>692</v>
      </c>
      <c r="H105">
        <v>931</v>
      </c>
      <c r="I105">
        <v>990</v>
      </c>
      <c r="J105">
        <v>1050</v>
      </c>
      <c r="K105">
        <v>1109</v>
      </c>
      <c r="L105">
        <v>1168</v>
      </c>
      <c r="M105">
        <v>1228</v>
      </c>
      <c r="N105">
        <v>1287</v>
      </c>
      <c r="O105">
        <v>1347</v>
      </c>
      <c r="P105">
        <v>1406</v>
      </c>
      <c r="Q105">
        <v>1465</v>
      </c>
      <c r="R105">
        <v>1525</v>
      </c>
      <c r="S105">
        <v>1584</v>
      </c>
      <c r="T105">
        <v>1644</v>
      </c>
      <c r="U105">
        <v>1703</v>
      </c>
      <c r="V105">
        <v>1762</v>
      </c>
      <c r="W105">
        <v>1822</v>
      </c>
      <c r="X105">
        <v>1881</v>
      </c>
      <c r="Y105">
        <v>1941</v>
      </c>
      <c r="Z105">
        <v>2000</v>
      </c>
      <c r="AA105">
        <v>2059</v>
      </c>
      <c r="AB105">
        <v>2119</v>
      </c>
      <c r="AC105">
        <v>2178</v>
      </c>
      <c r="AD105">
        <v>2238</v>
      </c>
      <c r="AE105">
        <v>2297</v>
      </c>
      <c r="AF105">
        <v>2356</v>
      </c>
      <c r="AG105">
        <v>2356</v>
      </c>
      <c r="AH105">
        <v>2356</v>
      </c>
    </row>
    <row r="106" spans="1:34" x14ac:dyDescent="0.35">
      <c r="A106" t="s">
        <v>594</v>
      </c>
      <c r="B106">
        <v>150</v>
      </c>
      <c r="C106">
        <v>241</v>
      </c>
      <c r="D106">
        <v>366</v>
      </c>
      <c r="E106">
        <v>482</v>
      </c>
      <c r="F106">
        <v>605</v>
      </c>
      <c r="G106">
        <v>708</v>
      </c>
      <c r="H106">
        <v>1154</v>
      </c>
      <c r="I106">
        <v>1228</v>
      </c>
      <c r="J106">
        <v>1301</v>
      </c>
      <c r="K106">
        <v>1375</v>
      </c>
      <c r="L106">
        <v>1449</v>
      </c>
      <c r="M106">
        <v>1522</v>
      </c>
      <c r="N106">
        <v>1596</v>
      </c>
      <c r="O106">
        <v>1669</v>
      </c>
      <c r="P106">
        <v>1743</v>
      </c>
      <c r="Q106">
        <v>1816</v>
      </c>
      <c r="R106">
        <v>1890</v>
      </c>
      <c r="S106">
        <v>1963</v>
      </c>
      <c r="T106">
        <v>2037</v>
      </c>
      <c r="U106">
        <v>2110</v>
      </c>
      <c r="V106">
        <v>2184</v>
      </c>
      <c r="W106">
        <v>2257</v>
      </c>
      <c r="X106">
        <v>2331</v>
      </c>
      <c r="Y106">
        <v>2404</v>
      </c>
      <c r="Z106">
        <v>2478</v>
      </c>
      <c r="AA106">
        <v>2551</v>
      </c>
      <c r="AB106">
        <v>2625</v>
      </c>
      <c r="AC106">
        <v>2698</v>
      </c>
      <c r="AD106">
        <v>2772</v>
      </c>
      <c r="AE106">
        <v>2845</v>
      </c>
      <c r="AF106">
        <v>2919</v>
      </c>
      <c r="AG106">
        <v>2919</v>
      </c>
      <c r="AH106">
        <v>2919</v>
      </c>
    </row>
    <row r="107" spans="1:34" x14ac:dyDescent="0.35">
      <c r="A107" t="s">
        <v>595</v>
      </c>
      <c r="B107">
        <v>118</v>
      </c>
      <c r="C107">
        <v>184</v>
      </c>
      <c r="D107">
        <v>275</v>
      </c>
      <c r="E107">
        <v>359</v>
      </c>
      <c r="F107">
        <v>449</v>
      </c>
      <c r="G107">
        <v>523</v>
      </c>
      <c r="H107">
        <v>639</v>
      </c>
      <c r="I107">
        <v>677</v>
      </c>
      <c r="J107">
        <v>715</v>
      </c>
      <c r="K107">
        <v>753</v>
      </c>
      <c r="L107">
        <v>791</v>
      </c>
      <c r="M107">
        <v>829</v>
      </c>
      <c r="N107">
        <v>867</v>
      </c>
      <c r="O107">
        <v>904</v>
      </c>
      <c r="P107">
        <v>942</v>
      </c>
      <c r="Q107">
        <v>980</v>
      </c>
      <c r="R107">
        <v>1018</v>
      </c>
      <c r="S107">
        <v>1056</v>
      </c>
      <c r="T107">
        <v>1094</v>
      </c>
      <c r="U107">
        <v>1132</v>
      </c>
      <c r="V107">
        <v>1170</v>
      </c>
      <c r="W107">
        <v>1208</v>
      </c>
      <c r="X107">
        <v>1246</v>
      </c>
      <c r="Y107">
        <v>1284</v>
      </c>
      <c r="Z107">
        <v>1321</v>
      </c>
      <c r="AA107">
        <v>1343</v>
      </c>
      <c r="AB107">
        <v>1363</v>
      </c>
      <c r="AC107">
        <v>1375</v>
      </c>
      <c r="AD107">
        <v>1388</v>
      </c>
      <c r="AE107">
        <v>1400</v>
      </c>
      <c r="AF107">
        <v>1413</v>
      </c>
      <c r="AG107">
        <v>1413</v>
      </c>
      <c r="AH107">
        <v>1413</v>
      </c>
    </row>
    <row r="108" spans="1:34" x14ac:dyDescent="0.35">
      <c r="A108" t="s">
        <v>596</v>
      </c>
      <c r="B108">
        <v>138</v>
      </c>
      <c r="C108">
        <v>219</v>
      </c>
      <c r="D108">
        <v>331</v>
      </c>
      <c r="E108">
        <v>435</v>
      </c>
      <c r="F108">
        <v>545</v>
      </c>
      <c r="G108">
        <v>636</v>
      </c>
      <c r="H108">
        <v>898</v>
      </c>
      <c r="I108">
        <v>955</v>
      </c>
      <c r="J108">
        <v>1013</v>
      </c>
      <c r="K108">
        <v>1070</v>
      </c>
      <c r="L108">
        <v>1127</v>
      </c>
      <c r="M108">
        <v>1184</v>
      </c>
      <c r="N108">
        <v>1241</v>
      </c>
      <c r="O108">
        <v>1299</v>
      </c>
      <c r="P108">
        <v>1356</v>
      </c>
      <c r="Q108">
        <v>1413</v>
      </c>
      <c r="R108">
        <v>1470</v>
      </c>
      <c r="S108">
        <v>1527</v>
      </c>
      <c r="T108">
        <v>1584</v>
      </c>
      <c r="U108">
        <v>1642</v>
      </c>
      <c r="V108">
        <v>1699</v>
      </c>
      <c r="W108">
        <v>1756</v>
      </c>
      <c r="X108">
        <v>1813</v>
      </c>
      <c r="Y108">
        <v>1870</v>
      </c>
      <c r="Z108">
        <v>1928</v>
      </c>
      <c r="AA108">
        <v>1985</v>
      </c>
      <c r="AB108">
        <v>2042</v>
      </c>
      <c r="AC108">
        <v>2099</v>
      </c>
      <c r="AD108">
        <v>2156</v>
      </c>
      <c r="AE108">
        <v>2188</v>
      </c>
      <c r="AF108">
        <v>2213</v>
      </c>
      <c r="AG108">
        <v>2213</v>
      </c>
      <c r="AH108">
        <v>2213</v>
      </c>
    </row>
    <row r="109" spans="1:34" x14ac:dyDescent="0.35">
      <c r="A109" t="s">
        <v>597</v>
      </c>
      <c r="B109">
        <v>146</v>
      </c>
      <c r="C109">
        <v>235</v>
      </c>
      <c r="D109">
        <v>356</v>
      </c>
      <c r="E109">
        <v>468</v>
      </c>
      <c r="F109">
        <v>587</v>
      </c>
      <c r="G109">
        <v>686</v>
      </c>
      <c r="H109">
        <v>931</v>
      </c>
      <c r="I109">
        <v>990</v>
      </c>
      <c r="J109">
        <v>1050</v>
      </c>
      <c r="K109">
        <v>1109</v>
      </c>
      <c r="L109">
        <v>1168</v>
      </c>
      <c r="M109">
        <v>1228</v>
      </c>
      <c r="N109">
        <v>1287</v>
      </c>
      <c r="O109">
        <v>1347</v>
      </c>
      <c r="P109">
        <v>1406</v>
      </c>
      <c r="Q109">
        <v>1465</v>
      </c>
      <c r="R109">
        <v>1525</v>
      </c>
      <c r="S109">
        <v>1584</v>
      </c>
      <c r="T109">
        <v>1644</v>
      </c>
      <c r="U109">
        <v>1703</v>
      </c>
      <c r="V109">
        <v>1762</v>
      </c>
      <c r="W109">
        <v>1822</v>
      </c>
      <c r="X109">
        <v>1881</v>
      </c>
      <c r="Y109">
        <v>1941</v>
      </c>
      <c r="Z109">
        <v>2000</v>
      </c>
      <c r="AA109">
        <v>2059</v>
      </c>
      <c r="AB109">
        <v>2119</v>
      </c>
      <c r="AC109">
        <v>2178</v>
      </c>
      <c r="AD109">
        <v>2238</v>
      </c>
      <c r="AE109">
        <v>2297</v>
      </c>
      <c r="AF109">
        <v>2356</v>
      </c>
      <c r="AG109">
        <v>2356</v>
      </c>
      <c r="AH109">
        <v>2356</v>
      </c>
    </row>
    <row r="110" spans="1:34" x14ac:dyDescent="0.35">
      <c r="A110" t="s">
        <v>598</v>
      </c>
      <c r="B110">
        <v>150</v>
      </c>
      <c r="C110">
        <v>241</v>
      </c>
      <c r="D110">
        <v>366</v>
      </c>
      <c r="E110">
        <v>482</v>
      </c>
      <c r="F110">
        <v>605</v>
      </c>
      <c r="G110">
        <v>708</v>
      </c>
      <c r="H110">
        <v>1056</v>
      </c>
      <c r="I110">
        <v>1124</v>
      </c>
      <c r="J110">
        <v>1191</v>
      </c>
      <c r="K110">
        <v>1259</v>
      </c>
      <c r="L110">
        <v>1326</v>
      </c>
      <c r="M110">
        <v>1394</v>
      </c>
      <c r="N110">
        <v>1461</v>
      </c>
      <c r="O110">
        <v>1529</v>
      </c>
      <c r="P110">
        <v>1596</v>
      </c>
      <c r="Q110">
        <v>1664</v>
      </c>
      <c r="R110">
        <v>1731</v>
      </c>
      <c r="S110">
        <v>1799</v>
      </c>
      <c r="T110">
        <v>1866</v>
      </c>
      <c r="U110">
        <v>1934</v>
      </c>
      <c r="V110">
        <v>2001</v>
      </c>
      <c r="W110">
        <v>2069</v>
      </c>
      <c r="X110">
        <v>2136</v>
      </c>
      <c r="Y110">
        <v>2204</v>
      </c>
      <c r="Z110">
        <v>2271</v>
      </c>
      <c r="AA110">
        <v>2339</v>
      </c>
      <c r="AB110">
        <v>2406</v>
      </c>
      <c r="AC110">
        <v>2474</v>
      </c>
      <c r="AD110">
        <v>2541</v>
      </c>
      <c r="AE110">
        <v>2609</v>
      </c>
      <c r="AF110">
        <v>2675</v>
      </c>
      <c r="AG110">
        <v>2675</v>
      </c>
      <c r="AH110">
        <v>2675</v>
      </c>
    </row>
    <row r="111" spans="1:34" x14ac:dyDescent="0.35">
      <c r="A111" t="s">
        <v>599</v>
      </c>
      <c r="B111">
        <v>131</v>
      </c>
      <c r="C111">
        <v>207</v>
      </c>
      <c r="D111">
        <v>311</v>
      </c>
      <c r="E111">
        <v>408</v>
      </c>
      <c r="F111">
        <v>511</v>
      </c>
      <c r="G111">
        <v>597</v>
      </c>
      <c r="H111">
        <v>757</v>
      </c>
      <c r="I111">
        <v>805</v>
      </c>
      <c r="J111">
        <v>853</v>
      </c>
      <c r="K111">
        <v>901</v>
      </c>
      <c r="L111">
        <v>949</v>
      </c>
      <c r="M111">
        <v>998</v>
      </c>
      <c r="N111">
        <v>1046</v>
      </c>
      <c r="O111">
        <v>1094</v>
      </c>
      <c r="P111">
        <v>1142</v>
      </c>
      <c r="Q111">
        <v>1190</v>
      </c>
      <c r="R111">
        <v>1238</v>
      </c>
      <c r="S111">
        <v>1286</v>
      </c>
      <c r="T111">
        <v>1334</v>
      </c>
      <c r="U111">
        <v>1383</v>
      </c>
      <c r="V111">
        <v>1431</v>
      </c>
      <c r="W111">
        <v>1479</v>
      </c>
      <c r="X111">
        <v>1527</v>
      </c>
      <c r="Y111">
        <v>1575</v>
      </c>
      <c r="Z111">
        <v>1623</v>
      </c>
      <c r="AA111">
        <v>1671</v>
      </c>
      <c r="AB111">
        <v>1720</v>
      </c>
      <c r="AC111">
        <v>1768</v>
      </c>
      <c r="AD111">
        <v>1816</v>
      </c>
      <c r="AE111">
        <v>1864</v>
      </c>
      <c r="AF111">
        <v>1912</v>
      </c>
      <c r="AG111">
        <v>1912</v>
      </c>
      <c r="AH111">
        <v>1912</v>
      </c>
    </row>
    <row r="112" spans="1:34" x14ac:dyDescent="0.35">
      <c r="A112" t="s">
        <v>600</v>
      </c>
      <c r="B112">
        <v>111</v>
      </c>
      <c r="C112">
        <v>170</v>
      </c>
      <c r="D112">
        <v>254</v>
      </c>
      <c r="E112">
        <v>331</v>
      </c>
      <c r="F112">
        <v>413</v>
      </c>
      <c r="G112">
        <v>481</v>
      </c>
      <c r="H112">
        <v>427</v>
      </c>
      <c r="I112">
        <v>454</v>
      </c>
      <c r="J112">
        <v>481</v>
      </c>
      <c r="K112">
        <v>508</v>
      </c>
      <c r="L112">
        <v>535</v>
      </c>
      <c r="M112">
        <v>561</v>
      </c>
      <c r="N112">
        <v>588</v>
      </c>
      <c r="O112">
        <v>615</v>
      </c>
      <c r="P112">
        <v>642</v>
      </c>
      <c r="Q112">
        <v>669</v>
      </c>
      <c r="R112">
        <v>696</v>
      </c>
      <c r="S112">
        <v>723</v>
      </c>
      <c r="T112">
        <v>750</v>
      </c>
      <c r="U112">
        <v>777</v>
      </c>
      <c r="V112">
        <v>804</v>
      </c>
      <c r="W112">
        <v>831</v>
      </c>
      <c r="X112">
        <v>858</v>
      </c>
      <c r="Y112">
        <v>884</v>
      </c>
      <c r="Z112">
        <v>911</v>
      </c>
      <c r="AA112">
        <v>938</v>
      </c>
      <c r="AB112">
        <v>965</v>
      </c>
      <c r="AC112">
        <v>992</v>
      </c>
      <c r="AD112">
        <v>1019</v>
      </c>
      <c r="AE112">
        <v>1046</v>
      </c>
      <c r="AF112">
        <v>1073</v>
      </c>
      <c r="AG112">
        <v>1073</v>
      </c>
      <c r="AH112">
        <v>1073</v>
      </c>
    </row>
    <row r="113" spans="1:34" x14ac:dyDescent="0.35">
      <c r="A113" t="s">
        <v>601</v>
      </c>
      <c r="B113">
        <v>145</v>
      </c>
      <c r="C113">
        <v>232</v>
      </c>
      <c r="D113">
        <v>352</v>
      </c>
      <c r="E113">
        <v>463</v>
      </c>
      <c r="F113">
        <v>581</v>
      </c>
      <c r="G113">
        <v>679</v>
      </c>
      <c r="H113">
        <v>931</v>
      </c>
      <c r="I113">
        <v>990</v>
      </c>
      <c r="J113">
        <v>1050</v>
      </c>
      <c r="K113">
        <v>1109</v>
      </c>
      <c r="L113">
        <v>1168</v>
      </c>
      <c r="M113">
        <v>1228</v>
      </c>
      <c r="N113">
        <v>1287</v>
      </c>
      <c r="O113">
        <v>1347</v>
      </c>
      <c r="P113">
        <v>1406</v>
      </c>
      <c r="Q113">
        <v>1465</v>
      </c>
      <c r="R113">
        <v>1525</v>
      </c>
      <c r="S113">
        <v>1584</v>
      </c>
      <c r="T113">
        <v>1644</v>
      </c>
      <c r="U113">
        <v>1703</v>
      </c>
      <c r="V113">
        <v>1762</v>
      </c>
      <c r="W113">
        <v>1822</v>
      </c>
      <c r="X113">
        <v>1881</v>
      </c>
      <c r="Y113">
        <v>1941</v>
      </c>
      <c r="Z113">
        <v>2000</v>
      </c>
      <c r="AA113">
        <v>2059</v>
      </c>
      <c r="AB113">
        <v>2119</v>
      </c>
      <c r="AC113">
        <v>2178</v>
      </c>
      <c r="AD113">
        <v>2238</v>
      </c>
      <c r="AE113">
        <v>2297</v>
      </c>
      <c r="AF113">
        <v>2356</v>
      </c>
      <c r="AG113">
        <v>2356</v>
      </c>
      <c r="AH113">
        <v>2356</v>
      </c>
    </row>
    <row r="114" spans="1:34" x14ac:dyDescent="0.35">
      <c r="A114" t="s">
        <v>602</v>
      </c>
      <c r="B114">
        <v>130</v>
      </c>
      <c r="C114">
        <v>205</v>
      </c>
      <c r="D114">
        <v>309</v>
      </c>
      <c r="E114">
        <v>406</v>
      </c>
      <c r="F114">
        <v>508</v>
      </c>
      <c r="G114">
        <v>593</v>
      </c>
      <c r="H114">
        <v>757</v>
      </c>
      <c r="I114">
        <v>805</v>
      </c>
      <c r="J114">
        <v>853</v>
      </c>
      <c r="K114">
        <v>901</v>
      </c>
      <c r="L114">
        <v>949</v>
      </c>
      <c r="M114">
        <v>998</v>
      </c>
      <c r="N114">
        <v>1046</v>
      </c>
      <c r="O114">
        <v>1094</v>
      </c>
      <c r="P114">
        <v>1142</v>
      </c>
      <c r="Q114">
        <v>1190</v>
      </c>
      <c r="R114">
        <v>1238</v>
      </c>
      <c r="S114">
        <v>1286</v>
      </c>
      <c r="T114">
        <v>1334</v>
      </c>
      <c r="U114">
        <v>1383</v>
      </c>
      <c r="V114">
        <v>1431</v>
      </c>
      <c r="W114">
        <v>1479</v>
      </c>
      <c r="X114">
        <v>1527</v>
      </c>
      <c r="Y114">
        <v>1575</v>
      </c>
      <c r="Z114">
        <v>1623</v>
      </c>
      <c r="AA114">
        <v>1671</v>
      </c>
      <c r="AB114">
        <v>1720</v>
      </c>
      <c r="AC114">
        <v>1768</v>
      </c>
      <c r="AD114">
        <v>1816</v>
      </c>
      <c r="AE114">
        <v>1864</v>
      </c>
      <c r="AF114">
        <v>1912</v>
      </c>
      <c r="AG114">
        <v>1912</v>
      </c>
      <c r="AH114">
        <v>1912</v>
      </c>
    </row>
    <row r="115" spans="1:34" x14ac:dyDescent="0.35">
      <c r="A115" t="s">
        <v>603</v>
      </c>
      <c r="B115">
        <v>132</v>
      </c>
      <c r="C115">
        <v>208</v>
      </c>
      <c r="D115">
        <v>313</v>
      </c>
      <c r="E115">
        <v>411</v>
      </c>
      <c r="F115">
        <v>515</v>
      </c>
      <c r="G115">
        <v>601</v>
      </c>
      <c r="H115">
        <v>639</v>
      </c>
      <c r="I115">
        <v>677</v>
      </c>
      <c r="J115">
        <v>715</v>
      </c>
      <c r="K115">
        <v>753</v>
      </c>
      <c r="L115">
        <v>791</v>
      </c>
      <c r="M115">
        <v>829</v>
      </c>
      <c r="N115">
        <v>867</v>
      </c>
      <c r="O115">
        <v>904</v>
      </c>
      <c r="P115">
        <v>942</v>
      </c>
      <c r="Q115">
        <v>980</v>
      </c>
      <c r="R115">
        <v>1018</v>
      </c>
      <c r="S115">
        <v>1056</v>
      </c>
      <c r="T115">
        <v>1094</v>
      </c>
      <c r="U115">
        <v>1132</v>
      </c>
      <c r="V115">
        <v>1170</v>
      </c>
      <c r="W115">
        <v>1208</v>
      </c>
      <c r="X115">
        <v>1246</v>
      </c>
      <c r="Y115">
        <v>1284</v>
      </c>
      <c r="Z115">
        <v>1321</v>
      </c>
      <c r="AA115">
        <v>1359</v>
      </c>
      <c r="AB115">
        <v>1397</v>
      </c>
      <c r="AC115">
        <v>1435</v>
      </c>
      <c r="AD115">
        <v>1473</v>
      </c>
      <c r="AE115">
        <v>1511</v>
      </c>
      <c r="AF115">
        <v>1549</v>
      </c>
      <c r="AG115">
        <v>1549</v>
      </c>
      <c r="AH115">
        <v>1549</v>
      </c>
    </row>
    <row r="116" spans="1:34" x14ac:dyDescent="0.35">
      <c r="A116" t="s">
        <v>604</v>
      </c>
      <c r="B116">
        <v>150</v>
      </c>
      <c r="C116">
        <v>241</v>
      </c>
      <c r="D116">
        <v>366</v>
      </c>
      <c r="E116">
        <v>482</v>
      </c>
      <c r="F116">
        <v>605</v>
      </c>
      <c r="G116">
        <v>708</v>
      </c>
      <c r="H116">
        <v>1155</v>
      </c>
      <c r="I116">
        <v>1228</v>
      </c>
      <c r="J116">
        <v>1302</v>
      </c>
      <c r="K116">
        <v>1376</v>
      </c>
      <c r="L116">
        <v>1450</v>
      </c>
      <c r="M116">
        <v>1523</v>
      </c>
      <c r="N116">
        <v>1597</v>
      </c>
      <c r="O116">
        <v>1671</v>
      </c>
      <c r="P116">
        <v>1745</v>
      </c>
      <c r="Q116">
        <v>1818</v>
      </c>
      <c r="R116">
        <v>1892</v>
      </c>
      <c r="S116">
        <v>1966</v>
      </c>
      <c r="T116">
        <v>2040</v>
      </c>
      <c r="U116">
        <v>2113</v>
      </c>
      <c r="V116">
        <v>2187</v>
      </c>
      <c r="W116">
        <v>2261</v>
      </c>
      <c r="X116">
        <v>2335</v>
      </c>
      <c r="Y116">
        <v>2408</v>
      </c>
      <c r="Z116">
        <v>2482</v>
      </c>
      <c r="AA116">
        <v>2556</v>
      </c>
      <c r="AB116">
        <v>2630</v>
      </c>
      <c r="AC116">
        <v>2703</v>
      </c>
      <c r="AD116">
        <v>2777</v>
      </c>
      <c r="AE116">
        <v>2851</v>
      </c>
      <c r="AF116">
        <v>2925</v>
      </c>
      <c r="AG116">
        <v>2925</v>
      </c>
      <c r="AH116">
        <v>2925</v>
      </c>
    </row>
    <row r="117" spans="1:34" x14ac:dyDescent="0.35">
      <c r="A117" t="s">
        <v>605</v>
      </c>
      <c r="B117">
        <v>118</v>
      </c>
      <c r="C117">
        <v>183</v>
      </c>
      <c r="D117">
        <v>274</v>
      </c>
      <c r="E117">
        <v>358</v>
      </c>
      <c r="F117">
        <v>447</v>
      </c>
      <c r="G117">
        <v>521</v>
      </c>
      <c r="H117">
        <v>688</v>
      </c>
      <c r="I117">
        <v>726</v>
      </c>
      <c r="J117">
        <v>764</v>
      </c>
      <c r="K117">
        <v>802</v>
      </c>
      <c r="L117">
        <v>840</v>
      </c>
      <c r="M117">
        <v>877</v>
      </c>
      <c r="N117">
        <v>915</v>
      </c>
      <c r="O117">
        <v>953</v>
      </c>
      <c r="P117">
        <v>991</v>
      </c>
      <c r="Q117">
        <v>1029</v>
      </c>
      <c r="R117">
        <v>1067</v>
      </c>
      <c r="S117">
        <v>1105</v>
      </c>
      <c r="T117">
        <v>1143</v>
      </c>
      <c r="U117">
        <v>1181</v>
      </c>
      <c r="V117">
        <v>1219</v>
      </c>
      <c r="W117">
        <v>1257</v>
      </c>
      <c r="X117">
        <v>1295</v>
      </c>
      <c r="Y117">
        <v>1332</v>
      </c>
      <c r="Z117">
        <v>1370</v>
      </c>
      <c r="AA117">
        <v>1408</v>
      </c>
      <c r="AB117">
        <v>1446</v>
      </c>
      <c r="AC117">
        <v>1484</v>
      </c>
      <c r="AD117">
        <v>1522</v>
      </c>
      <c r="AE117">
        <v>1560</v>
      </c>
      <c r="AF117">
        <v>1598</v>
      </c>
      <c r="AG117">
        <v>1598</v>
      </c>
      <c r="AH117">
        <v>1598</v>
      </c>
    </row>
    <row r="118" spans="1:34" x14ac:dyDescent="0.35">
      <c r="A118" t="s">
        <v>606</v>
      </c>
      <c r="B118">
        <v>140</v>
      </c>
      <c r="C118">
        <v>224</v>
      </c>
      <c r="D118">
        <v>339</v>
      </c>
      <c r="E118">
        <v>445</v>
      </c>
      <c r="F118">
        <v>558</v>
      </c>
      <c r="G118">
        <v>652</v>
      </c>
      <c r="H118">
        <v>931</v>
      </c>
      <c r="I118">
        <v>990</v>
      </c>
      <c r="J118">
        <v>1050</v>
      </c>
      <c r="K118">
        <v>1109</v>
      </c>
      <c r="L118">
        <v>1168</v>
      </c>
      <c r="M118">
        <v>1228</v>
      </c>
      <c r="N118">
        <v>1287</v>
      </c>
      <c r="O118">
        <v>1347</v>
      </c>
      <c r="P118">
        <v>1406</v>
      </c>
      <c r="Q118">
        <v>1465</v>
      </c>
      <c r="R118">
        <v>1525</v>
      </c>
      <c r="S118">
        <v>1584</v>
      </c>
      <c r="T118">
        <v>1644</v>
      </c>
      <c r="U118">
        <v>1703</v>
      </c>
      <c r="V118">
        <v>1762</v>
      </c>
      <c r="W118">
        <v>1822</v>
      </c>
      <c r="X118">
        <v>1881</v>
      </c>
      <c r="Y118">
        <v>1941</v>
      </c>
      <c r="Z118">
        <v>2000</v>
      </c>
      <c r="AA118">
        <v>2059</v>
      </c>
      <c r="AB118">
        <v>2119</v>
      </c>
      <c r="AC118">
        <v>2178</v>
      </c>
      <c r="AD118">
        <v>2238</v>
      </c>
      <c r="AE118">
        <v>2297</v>
      </c>
      <c r="AF118">
        <v>2356</v>
      </c>
      <c r="AG118">
        <v>2356</v>
      </c>
      <c r="AH118">
        <v>2356</v>
      </c>
    </row>
    <row r="119" spans="1:34" x14ac:dyDescent="0.35">
      <c r="A119" t="s">
        <v>607</v>
      </c>
      <c r="B119">
        <v>146</v>
      </c>
      <c r="C119">
        <v>234</v>
      </c>
      <c r="D119">
        <v>354</v>
      </c>
      <c r="E119">
        <v>466</v>
      </c>
      <c r="F119">
        <v>584</v>
      </c>
      <c r="G119">
        <v>683</v>
      </c>
      <c r="H119">
        <v>898</v>
      </c>
      <c r="I119">
        <v>955</v>
      </c>
      <c r="J119">
        <v>1013</v>
      </c>
      <c r="K119">
        <v>1070</v>
      </c>
      <c r="L119">
        <v>1127</v>
      </c>
      <c r="M119">
        <v>1184</v>
      </c>
      <c r="N119">
        <v>1241</v>
      </c>
      <c r="O119">
        <v>1299</v>
      </c>
      <c r="P119">
        <v>1356</v>
      </c>
      <c r="Q119">
        <v>1413</v>
      </c>
      <c r="R119">
        <v>1470</v>
      </c>
      <c r="S119">
        <v>1527</v>
      </c>
      <c r="T119">
        <v>1584</v>
      </c>
      <c r="U119">
        <v>1642</v>
      </c>
      <c r="V119">
        <v>1699</v>
      </c>
      <c r="W119">
        <v>1756</v>
      </c>
      <c r="X119">
        <v>1813</v>
      </c>
      <c r="Y119">
        <v>1870</v>
      </c>
      <c r="Z119">
        <v>1928</v>
      </c>
      <c r="AA119">
        <v>1985</v>
      </c>
      <c r="AB119">
        <v>2042</v>
      </c>
      <c r="AC119">
        <v>2099</v>
      </c>
      <c r="AD119">
        <v>2156</v>
      </c>
      <c r="AE119">
        <v>2214</v>
      </c>
      <c r="AF119">
        <v>2271</v>
      </c>
      <c r="AG119">
        <v>2271</v>
      </c>
      <c r="AH119">
        <v>2271</v>
      </c>
    </row>
    <row r="120" spans="1:34" x14ac:dyDescent="0.35">
      <c r="A120" t="s">
        <v>608</v>
      </c>
      <c r="B120">
        <v>113</v>
      </c>
      <c r="C120">
        <v>173</v>
      </c>
      <c r="D120">
        <v>259</v>
      </c>
      <c r="E120">
        <v>338</v>
      </c>
      <c r="F120">
        <v>421</v>
      </c>
      <c r="G120">
        <v>491</v>
      </c>
      <c r="H120">
        <v>504</v>
      </c>
      <c r="I120">
        <v>533</v>
      </c>
      <c r="J120">
        <v>561</v>
      </c>
      <c r="K120">
        <v>590</v>
      </c>
      <c r="L120">
        <v>619</v>
      </c>
      <c r="M120">
        <v>648</v>
      </c>
      <c r="N120">
        <v>676</v>
      </c>
      <c r="O120">
        <v>705</v>
      </c>
      <c r="P120">
        <v>734</v>
      </c>
      <c r="Q120">
        <v>763</v>
      </c>
      <c r="R120">
        <v>791</v>
      </c>
      <c r="S120">
        <v>820</v>
      </c>
      <c r="T120">
        <v>849</v>
      </c>
      <c r="U120">
        <v>878</v>
      </c>
      <c r="V120">
        <v>906</v>
      </c>
      <c r="W120">
        <v>935</v>
      </c>
      <c r="X120">
        <v>964</v>
      </c>
      <c r="Y120">
        <v>993</v>
      </c>
      <c r="Z120">
        <v>1021</v>
      </c>
      <c r="AA120">
        <v>1050</v>
      </c>
      <c r="AB120">
        <v>1079</v>
      </c>
      <c r="AC120">
        <v>1108</v>
      </c>
      <c r="AD120">
        <v>1136</v>
      </c>
      <c r="AE120">
        <v>1165</v>
      </c>
      <c r="AF120">
        <v>1193</v>
      </c>
      <c r="AG120">
        <v>1193</v>
      </c>
      <c r="AH120">
        <v>1193</v>
      </c>
    </row>
    <row r="121" spans="1:34" x14ac:dyDescent="0.35">
      <c r="A121" t="s">
        <v>609</v>
      </c>
      <c r="B121">
        <v>129</v>
      </c>
      <c r="C121">
        <v>203</v>
      </c>
      <c r="D121">
        <v>306</v>
      </c>
      <c r="E121">
        <v>402</v>
      </c>
      <c r="F121">
        <v>502</v>
      </c>
      <c r="G121">
        <v>587</v>
      </c>
      <c r="H121">
        <v>639</v>
      </c>
      <c r="I121">
        <v>677</v>
      </c>
      <c r="J121">
        <v>715</v>
      </c>
      <c r="K121">
        <v>753</v>
      </c>
      <c r="L121">
        <v>791</v>
      </c>
      <c r="M121">
        <v>829</v>
      </c>
      <c r="N121">
        <v>867</v>
      </c>
      <c r="O121">
        <v>904</v>
      </c>
      <c r="P121">
        <v>942</v>
      </c>
      <c r="Q121">
        <v>980</v>
      </c>
      <c r="R121">
        <v>1018</v>
      </c>
      <c r="S121">
        <v>1056</v>
      </c>
      <c r="T121">
        <v>1094</v>
      </c>
      <c r="U121">
        <v>1132</v>
      </c>
      <c r="V121">
        <v>1170</v>
      </c>
      <c r="W121">
        <v>1208</v>
      </c>
      <c r="X121">
        <v>1246</v>
      </c>
      <c r="Y121">
        <v>1284</v>
      </c>
      <c r="Z121">
        <v>1321</v>
      </c>
      <c r="AA121">
        <v>1359</v>
      </c>
      <c r="AB121">
        <v>1397</v>
      </c>
      <c r="AC121">
        <v>1435</v>
      </c>
      <c r="AD121">
        <v>1473</v>
      </c>
      <c r="AE121">
        <v>1511</v>
      </c>
      <c r="AF121">
        <v>1549</v>
      </c>
      <c r="AG121">
        <v>1549</v>
      </c>
      <c r="AH121">
        <v>1549</v>
      </c>
    </row>
    <row r="122" spans="1:34" x14ac:dyDescent="0.35">
      <c r="A122" t="s">
        <v>610</v>
      </c>
      <c r="B122">
        <v>150</v>
      </c>
      <c r="C122">
        <v>241</v>
      </c>
      <c r="D122">
        <v>366</v>
      </c>
      <c r="E122">
        <v>482</v>
      </c>
      <c r="F122">
        <v>605</v>
      </c>
      <c r="G122">
        <v>708</v>
      </c>
      <c r="H122">
        <v>983</v>
      </c>
      <c r="I122">
        <v>1047</v>
      </c>
      <c r="J122">
        <v>1111</v>
      </c>
      <c r="K122">
        <v>1175</v>
      </c>
      <c r="L122">
        <v>1238</v>
      </c>
      <c r="M122">
        <v>1302</v>
      </c>
      <c r="N122">
        <v>1366</v>
      </c>
      <c r="O122">
        <v>1430</v>
      </c>
      <c r="P122">
        <v>1493</v>
      </c>
      <c r="Q122">
        <v>1557</v>
      </c>
      <c r="R122">
        <v>1621</v>
      </c>
      <c r="S122">
        <v>1685</v>
      </c>
      <c r="T122">
        <v>1748</v>
      </c>
      <c r="U122">
        <v>1812</v>
      </c>
      <c r="V122">
        <v>1876</v>
      </c>
      <c r="W122">
        <v>1940</v>
      </c>
      <c r="X122">
        <v>2003</v>
      </c>
      <c r="Y122">
        <v>2067</v>
      </c>
      <c r="Z122">
        <v>2131</v>
      </c>
      <c r="AA122">
        <v>2195</v>
      </c>
      <c r="AB122">
        <v>2258</v>
      </c>
      <c r="AC122">
        <v>2322</v>
      </c>
      <c r="AD122">
        <v>2386</v>
      </c>
      <c r="AE122">
        <v>2450</v>
      </c>
      <c r="AF122">
        <v>2487</v>
      </c>
      <c r="AG122">
        <v>2487</v>
      </c>
      <c r="AH122">
        <v>2487</v>
      </c>
    </row>
    <row r="123" spans="1:34" x14ac:dyDescent="0.35">
      <c r="A123" t="s">
        <v>611</v>
      </c>
      <c r="B123">
        <v>136</v>
      </c>
      <c r="C123">
        <v>215</v>
      </c>
      <c r="D123">
        <v>325</v>
      </c>
      <c r="E123">
        <v>427</v>
      </c>
      <c r="F123">
        <v>534</v>
      </c>
      <c r="G123">
        <v>624</v>
      </c>
      <c r="H123">
        <v>733</v>
      </c>
      <c r="I123">
        <v>779</v>
      </c>
      <c r="J123">
        <v>825</v>
      </c>
      <c r="K123">
        <v>872</v>
      </c>
      <c r="L123">
        <v>918</v>
      </c>
      <c r="M123">
        <v>964</v>
      </c>
      <c r="N123">
        <v>1010</v>
      </c>
      <c r="O123">
        <v>1057</v>
      </c>
      <c r="P123">
        <v>1103</v>
      </c>
      <c r="Q123">
        <v>1149</v>
      </c>
      <c r="R123">
        <v>1195</v>
      </c>
      <c r="S123">
        <v>1242</v>
      </c>
      <c r="T123">
        <v>1288</v>
      </c>
      <c r="U123">
        <v>1334</v>
      </c>
      <c r="V123">
        <v>1380</v>
      </c>
      <c r="W123">
        <v>1427</v>
      </c>
      <c r="X123">
        <v>1473</v>
      </c>
      <c r="Y123">
        <v>1519</v>
      </c>
      <c r="Z123">
        <v>1565</v>
      </c>
      <c r="AA123">
        <v>1612</v>
      </c>
      <c r="AB123">
        <v>1658</v>
      </c>
      <c r="AC123">
        <v>1704</v>
      </c>
      <c r="AD123">
        <v>1750</v>
      </c>
      <c r="AE123">
        <v>1797</v>
      </c>
      <c r="AF123">
        <v>1813</v>
      </c>
      <c r="AG123">
        <v>1813</v>
      </c>
      <c r="AH123">
        <v>1813</v>
      </c>
    </row>
    <row r="124" spans="1:34" x14ac:dyDescent="0.35">
      <c r="A124" t="s">
        <v>612</v>
      </c>
      <c r="B124">
        <v>150</v>
      </c>
      <c r="C124">
        <v>241</v>
      </c>
      <c r="D124">
        <v>366</v>
      </c>
      <c r="E124">
        <v>482</v>
      </c>
      <c r="F124">
        <v>605</v>
      </c>
      <c r="G124">
        <v>708</v>
      </c>
      <c r="H124">
        <v>1030</v>
      </c>
      <c r="I124">
        <v>1096</v>
      </c>
      <c r="J124">
        <v>1162</v>
      </c>
      <c r="K124">
        <v>1229</v>
      </c>
      <c r="L124">
        <v>1295</v>
      </c>
      <c r="M124">
        <v>1361</v>
      </c>
      <c r="N124">
        <v>1427</v>
      </c>
      <c r="O124">
        <v>1494</v>
      </c>
      <c r="P124">
        <v>1560</v>
      </c>
      <c r="Q124">
        <v>1626</v>
      </c>
      <c r="R124">
        <v>1692</v>
      </c>
      <c r="S124">
        <v>1759</v>
      </c>
      <c r="T124">
        <v>1825</v>
      </c>
      <c r="U124">
        <v>1891</v>
      </c>
      <c r="V124">
        <v>1957</v>
      </c>
      <c r="W124">
        <v>2024</v>
      </c>
      <c r="X124">
        <v>2090</v>
      </c>
      <c r="Y124">
        <v>2156</v>
      </c>
      <c r="Z124">
        <v>2222</v>
      </c>
      <c r="AA124">
        <v>2289</v>
      </c>
      <c r="AB124">
        <v>2355</v>
      </c>
      <c r="AC124">
        <v>2421</v>
      </c>
      <c r="AD124">
        <v>2487</v>
      </c>
      <c r="AE124">
        <v>2554</v>
      </c>
      <c r="AF124">
        <v>2620</v>
      </c>
      <c r="AG124">
        <v>2620</v>
      </c>
      <c r="AH124">
        <v>2620</v>
      </c>
    </row>
    <row r="125" spans="1:34" x14ac:dyDescent="0.35">
      <c r="A125" t="s">
        <v>613</v>
      </c>
      <c r="B125">
        <v>133</v>
      </c>
      <c r="C125">
        <v>211</v>
      </c>
      <c r="D125">
        <v>319</v>
      </c>
      <c r="E125">
        <v>418</v>
      </c>
      <c r="F125">
        <v>524</v>
      </c>
      <c r="G125">
        <v>612</v>
      </c>
      <c r="H125">
        <v>892</v>
      </c>
      <c r="I125">
        <v>944</v>
      </c>
      <c r="J125">
        <v>995</v>
      </c>
      <c r="K125">
        <v>1046</v>
      </c>
      <c r="L125">
        <v>1097</v>
      </c>
      <c r="M125">
        <v>1149</v>
      </c>
      <c r="N125">
        <v>1200</v>
      </c>
      <c r="O125">
        <v>1251</v>
      </c>
      <c r="P125">
        <v>1302</v>
      </c>
      <c r="Q125">
        <v>1354</v>
      </c>
      <c r="R125">
        <v>1405</v>
      </c>
      <c r="S125">
        <v>1456</v>
      </c>
      <c r="T125">
        <v>1507</v>
      </c>
      <c r="U125">
        <v>1559</v>
      </c>
      <c r="V125">
        <v>1610</v>
      </c>
      <c r="W125">
        <v>1661</v>
      </c>
      <c r="X125">
        <v>1712</v>
      </c>
      <c r="Y125">
        <v>1764</v>
      </c>
      <c r="Z125">
        <v>1815</v>
      </c>
      <c r="AA125">
        <v>1866</v>
      </c>
      <c r="AB125">
        <v>1917</v>
      </c>
      <c r="AC125">
        <v>1969</v>
      </c>
      <c r="AD125">
        <v>2020</v>
      </c>
      <c r="AE125">
        <v>2071</v>
      </c>
      <c r="AF125">
        <v>2122</v>
      </c>
      <c r="AG125">
        <v>2122</v>
      </c>
      <c r="AH125">
        <v>2122</v>
      </c>
    </row>
    <row r="126" spans="1:34" x14ac:dyDescent="0.35">
      <c r="A126" t="s">
        <v>614</v>
      </c>
      <c r="B126">
        <v>128</v>
      </c>
      <c r="C126">
        <v>201</v>
      </c>
      <c r="D126">
        <v>302</v>
      </c>
      <c r="E126">
        <v>396</v>
      </c>
      <c r="F126">
        <v>495</v>
      </c>
      <c r="G126">
        <v>578</v>
      </c>
      <c r="H126">
        <v>639</v>
      </c>
      <c r="I126">
        <v>677</v>
      </c>
      <c r="J126">
        <v>715</v>
      </c>
      <c r="K126">
        <v>753</v>
      </c>
      <c r="L126">
        <v>791</v>
      </c>
      <c r="M126">
        <v>829</v>
      </c>
      <c r="N126">
        <v>867</v>
      </c>
      <c r="O126">
        <v>904</v>
      </c>
      <c r="P126">
        <v>942</v>
      </c>
      <c r="Q126">
        <v>980</v>
      </c>
      <c r="R126">
        <v>1018</v>
      </c>
      <c r="S126">
        <v>1056</v>
      </c>
      <c r="T126">
        <v>1094</v>
      </c>
      <c r="U126">
        <v>1132</v>
      </c>
      <c r="V126">
        <v>1170</v>
      </c>
      <c r="W126">
        <v>1208</v>
      </c>
      <c r="X126">
        <v>1246</v>
      </c>
      <c r="Y126">
        <v>1284</v>
      </c>
      <c r="Z126">
        <v>1321</v>
      </c>
      <c r="AA126">
        <v>1359</v>
      </c>
      <c r="AB126">
        <v>1397</v>
      </c>
      <c r="AC126">
        <v>1435</v>
      </c>
      <c r="AD126">
        <v>1473</v>
      </c>
      <c r="AE126">
        <v>1511</v>
      </c>
      <c r="AF126">
        <v>1549</v>
      </c>
      <c r="AG126">
        <v>1549</v>
      </c>
      <c r="AH126">
        <v>1549</v>
      </c>
    </row>
    <row r="127" spans="1:34" x14ac:dyDescent="0.35">
      <c r="A127" t="s">
        <v>615</v>
      </c>
      <c r="B127">
        <v>150</v>
      </c>
      <c r="C127">
        <v>241</v>
      </c>
      <c r="D127">
        <v>366</v>
      </c>
      <c r="E127">
        <v>482</v>
      </c>
      <c r="F127">
        <v>605</v>
      </c>
      <c r="G127">
        <v>708</v>
      </c>
      <c r="H127">
        <v>983</v>
      </c>
      <c r="I127">
        <v>1047</v>
      </c>
      <c r="J127">
        <v>1111</v>
      </c>
      <c r="K127">
        <v>1175</v>
      </c>
      <c r="L127">
        <v>1238</v>
      </c>
      <c r="M127">
        <v>1302</v>
      </c>
      <c r="N127">
        <v>1366</v>
      </c>
      <c r="O127">
        <v>1430</v>
      </c>
      <c r="P127">
        <v>1493</v>
      </c>
      <c r="Q127">
        <v>1557</v>
      </c>
      <c r="R127">
        <v>1621</v>
      </c>
      <c r="S127">
        <v>1685</v>
      </c>
      <c r="T127">
        <v>1748</v>
      </c>
      <c r="U127">
        <v>1812</v>
      </c>
      <c r="V127">
        <v>1876</v>
      </c>
      <c r="W127">
        <v>1940</v>
      </c>
      <c r="X127">
        <v>2003</v>
      </c>
      <c r="Y127">
        <v>2067</v>
      </c>
      <c r="Z127">
        <v>2131</v>
      </c>
      <c r="AA127">
        <v>2195</v>
      </c>
      <c r="AB127">
        <v>2258</v>
      </c>
      <c r="AC127">
        <v>2322</v>
      </c>
      <c r="AD127">
        <v>2386</v>
      </c>
      <c r="AE127">
        <v>2450</v>
      </c>
      <c r="AF127">
        <v>2487</v>
      </c>
      <c r="AG127">
        <v>2487</v>
      </c>
      <c r="AH127">
        <v>2487</v>
      </c>
    </row>
    <row r="128" spans="1:34" x14ac:dyDescent="0.35">
      <c r="A128" t="s">
        <v>616</v>
      </c>
      <c r="B128">
        <v>147</v>
      </c>
      <c r="C128">
        <v>236</v>
      </c>
      <c r="D128">
        <v>357</v>
      </c>
      <c r="E128">
        <v>470</v>
      </c>
      <c r="F128">
        <v>590</v>
      </c>
      <c r="G128">
        <v>690</v>
      </c>
      <c r="H128">
        <v>892</v>
      </c>
      <c r="I128">
        <v>944</v>
      </c>
      <c r="J128">
        <v>995</v>
      </c>
      <c r="K128">
        <v>1046</v>
      </c>
      <c r="L128">
        <v>1097</v>
      </c>
      <c r="M128">
        <v>1149</v>
      </c>
      <c r="N128">
        <v>1200</v>
      </c>
      <c r="O128">
        <v>1251</v>
      </c>
      <c r="P128">
        <v>1302</v>
      </c>
      <c r="Q128">
        <v>1354</v>
      </c>
      <c r="R128">
        <v>1405</v>
      </c>
      <c r="S128">
        <v>1456</v>
      </c>
      <c r="T128">
        <v>1507</v>
      </c>
      <c r="U128">
        <v>1559</v>
      </c>
      <c r="V128">
        <v>1610</v>
      </c>
      <c r="W128">
        <v>1661</v>
      </c>
      <c r="X128">
        <v>1712</v>
      </c>
      <c r="Y128">
        <v>1764</v>
      </c>
      <c r="Z128">
        <v>1815</v>
      </c>
      <c r="AA128">
        <v>1866</v>
      </c>
      <c r="AB128">
        <v>1917</v>
      </c>
      <c r="AC128">
        <v>1969</v>
      </c>
      <c r="AD128">
        <v>2020</v>
      </c>
      <c r="AE128">
        <v>2071</v>
      </c>
      <c r="AF128">
        <v>2122</v>
      </c>
      <c r="AG128">
        <v>2122</v>
      </c>
      <c r="AH128">
        <v>2122</v>
      </c>
    </row>
    <row r="129" spans="1:34" x14ac:dyDescent="0.35">
      <c r="A129" t="s">
        <v>617</v>
      </c>
      <c r="B129">
        <v>139</v>
      </c>
      <c r="C129">
        <v>221</v>
      </c>
      <c r="D129">
        <v>334</v>
      </c>
      <c r="E129">
        <v>439</v>
      </c>
      <c r="F129">
        <v>550</v>
      </c>
      <c r="G129">
        <v>643</v>
      </c>
      <c r="H129">
        <v>898</v>
      </c>
      <c r="I129">
        <v>955</v>
      </c>
      <c r="J129">
        <v>1013</v>
      </c>
      <c r="K129">
        <v>1070</v>
      </c>
      <c r="L129">
        <v>1127</v>
      </c>
      <c r="M129">
        <v>1184</v>
      </c>
      <c r="N129">
        <v>1241</v>
      </c>
      <c r="O129">
        <v>1299</v>
      </c>
      <c r="P129">
        <v>1356</v>
      </c>
      <c r="Q129">
        <v>1413</v>
      </c>
      <c r="R129">
        <v>1470</v>
      </c>
      <c r="S129">
        <v>1527</v>
      </c>
      <c r="T129">
        <v>1584</v>
      </c>
      <c r="U129">
        <v>1642</v>
      </c>
      <c r="V129">
        <v>1699</v>
      </c>
      <c r="W129">
        <v>1756</v>
      </c>
      <c r="X129">
        <v>1813</v>
      </c>
      <c r="Y129">
        <v>1870</v>
      </c>
      <c r="Z129">
        <v>1928</v>
      </c>
      <c r="AA129">
        <v>1985</v>
      </c>
      <c r="AB129">
        <v>2042</v>
      </c>
      <c r="AC129">
        <v>2099</v>
      </c>
      <c r="AD129">
        <v>2156</v>
      </c>
      <c r="AE129">
        <v>2214</v>
      </c>
      <c r="AF129">
        <v>2271</v>
      </c>
      <c r="AG129">
        <v>2271</v>
      </c>
      <c r="AH129">
        <v>2271</v>
      </c>
    </row>
    <row r="130" spans="1:34" x14ac:dyDescent="0.35">
      <c r="A130" t="s">
        <v>618</v>
      </c>
      <c r="B130">
        <v>329</v>
      </c>
      <c r="C130">
        <v>532</v>
      </c>
      <c r="D130">
        <v>840</v>
      </c>
      <c r="E130">
        <v>1123</v>
      </c>
      <c r="F130">
        <v>1413</v>
      </c>
      <c r="G130">
        <v>1647</v>
      </c>
      <c r="H130">
        <v>1647</v>
      </c>
      <c r="I130">
        <v>1647</v>
      </c>
      <c r="J130">
        <v>1647</v>
      </c>
      <c r="K130">
        <v>1647</v>
      </c>
      <c r="L130">
        <v>1647</v>
      </c>
      <c r="M130">
        <v>1647</v>
      </c>
      <c r="N130">
        <v>1647</v>
      </c>
      <c r="O130">
        <v>1647</v>
      </c>
      <c r="P130">
        <v>1647</v>
      </c>
      <c r="Q130">
        <v>1647</v>
      </c>
      <c r="R130">
        <v>1647</v>
      </c>
      <c r="S130">
        <v>1647</v>
      </c>
      <c r="T130">
        <v>1647</v>
      </c>
      <c r="U130">
        <v>1647</v>
      </c>
      <c r="V130">
        <v>1647</v>
      </c>
      <c r="W130">
        <v>1647</v>
      </c>
      <c r="X130">
        <v>1647</v>
      </c>
      <c r="Y130">
        <v>1647</v>
      </c>
      <c r="Z130">
        <v>1647</v>
      </c>
      <c r="AA130">
        <v>1647</v>
      </c>
      <c r="AB130">
        <v>1647</v>
      </c>
      <c r="AC130">
        <v>1647</v>
      </c>
      <c r="AD130">
        <v>1647</v>
      </c>
      <c r="AE130">
        <v>1647</v>
      </c>
      <c r="AF130">
        <v>1647</v>
      </c>
      <c r="AG130">
        <v>1647</v>
      </c>
      <c r="AH130">
        <v>1647</v>
      </c>
    </row>
    <row r="131" spans="1:34" x14ac:dyDescent="0.35">
      <c r="A131" t="s">
        <v>619</v>
      </c>
      <c r="B131">
        <v>150</v>
      </c>
      <c r="C131">
        <v>241</v>
      </c>
      <c r="D131">
        <v>366</v>
      </c>
      <c r="E131">
        <v>482</v>
      </c>
      <c r="F131">
        <v>605</v>
      </c>
      <c r="G131">
        <v>708</v>
      </c>
      <c r="H131">
        <v>1056</v>
      </c>
      <c r="I131">
        <v>1124</v>
      </c>
      <c r="J131">
        <v>1191</v>
      </c>
      <c r="K131">
        <v>1259</v>
      </c>
      <c r="L131">
        <v>1326</v>
      </c>
      <c r="M131">
        <v>1394</v>
      </c>
      <c r="N131">
        <v>1461</v>
      </c>
      <c r="O131">
        <v>1529</v>
      </c>
      <c r="P131">
        <v>1596</v>
      </c>
      <c r="Q131">
        <v>1664</v>
      </c>
      <c r="R131">
        <v>1731</v>
      </c>
      <c r="S131">
        <v>1799</v>
      </c>
      <c r="T131">
        <v>1866</v>
      </c>
      <c r="U131">
        <v>1934</v>
      </c>
      <c r="V131">
        <v>2001</v>
      </c>
      <c r="W131">
        <v>2069</v>
      </c>
      <c r="X131">
        <v>2136</v>
      </c>
      <c r="Y131">
        <v>2204</v>
      </c>
      <c r="Z131">
        <v>2271</v>
      </c>
      <c r="AA131">
        <v>2339</v>
      </c>
      <c r="AB131">
        <v>2406</v>
      </c>
      <c r="AC131">
        <v>2474</v>
      </c>
      <c r="AD131">
        <v>2541</v>
      </c>
      <c r="AE131">
        <v>2609</v>
      </c>
      <c r="AF131">
        <v>2675</v>
      </c>
      <c r="AG131">
        <v>2675</v>
      </c>
      <c r="AH131">
        <v>2675</v>
      </c>
    </row>
    <row r="132" spans="1:34" x14ac:dyDescent="0.35">
      <c r="A132" t="s">
        <v>620</v>
      </c>
      <c r="B132">
        <v>146</v>
      </c>
      <c r="C132">
        <v>235</v>
      </c>
      <c r="D132">
        <v>356</v>
      </c>
      <c r="E132">
        <v>468</v>
      </c>
      <c r="F132">
        <v>588</v>
      </c>
      <c r="G132">
        <v>687</v>
      </c>
      <c r="H132">
        <v>931</v>
      </c>
      <c r="I132">
        <v>990</v>
      </c>
      <c r="J132">
        <v>1050</v>
      </c>
      <c r="K132">
        <v>1109</v>
      </c>
      <c r="L132">
        <v>1168</v>
      </c>
      <c r="M132">
        <v>1228</v>
      </c>
      <c r="N132">
        <v>1287</v>
      </c>
      <c r="O132">
        <v>1347</v>
      </c>
      <c r="P132">
        <v>1406</v>
      </c>
      <c r="Q132">
        <v>1465</v>
      </c>
      <c r="R132">
        <v>1525</v>
      </c>
      <c r="S132">
        <v>1584</v>
      </c>
      <c r="T132">
        <v>1644</v>
      </c>
      <c r="U132">
        <v>1703</v>
      </c>
      <c r="V132">
        <v>1762</v>
      </c>
      <c r="W132">
        <v>1822</v>
      </c>
      <c r="X132">
        <v>1881</v>
      </c>
      <c r="Y132">
        <v>1941</v>
      </c>
      <c r="Z132">
        <v>2000</v>
      </c>
      <c r="AA132">
        <v>2059</v>
      </c>
      <c r="AB132">
        <v>2119</v>
      </c>
      <c r="AC132">
        <v>2178</v>
      </c>
      <c r="AD132">
        <v>2238</v>
      </c>
      <c r="AE132">
        <v>2297</v>
      </c>
      <c r="AF132">
        <v>2356</v>
      </c>
      <c r="AG132">
        <v>2356</v>
      </c>
      <c r="AH132">
        <v>2356</v>
      </c>
    </row>
    <row r="133" spans="1:34" x14ac:dyDescent="0.35">
      <c r="A133" t="s">
        <v>621</v>
      </c>
      <c r="B133">
        <v>327</v>
      </c>
      <c r="C133">
        <v>527</v>
      </c>
      <c r="D133">
        <v>832</v>
      </c>
      <c r="E133">
        <v>1111</v>
      </c>
      <c r="F133">
        <v>1398</v>
      </c>
      <c r="G133">
        <v>1630</v>
      </c>
      <c r="H133">
        <v>1630</v>
      </c>
      <c r="I133">
        <v>1630</v>
      </c>
      <c r="J133">
        <v>1630</v>
      </c>
      <c r="K133">
        <v>1630</v>
      </c>
      <c r="L133">
        <v>1630</v>
      </c>
      <c r="M133">
        <v>1630</v>
      </c>
      <c r="N133">
        <v>1630</v>
      </c>
      <c r="O133">
        <v>1630</v>
      </c>
      <c r="P133">
        <v>1630</v>
      </c>
      <c r="Q133">
        <v>1630</v>
      </c>
      <c r="R133">
        <v>1630</v>
      </c>
      <c r="S133">
        <v>1630</v>
      </c>
      <c r="T133">
        <v>1630</v>
      </c>
      <c r="U133">
        <v>1630</v>
      </c>
      <c r="V133">
        <v>1630</v>
      </c>
      <c r="W133">
        <v>1630</v>
      </c>
      <c r="X133">
        <v>1630</v>
      </c>
      <c r="Y133">
        <v>1630</v>
      </c>
      <c r="Z133">
        <v>1630</v>
      </c>
      <c r="AA133">
        <v>1630</v>
      </c>
      <c r="AB133">
        <v>1630</v>
      </c>
      <c r="AC133">
        <v>1630</v>
      </c>
      <c r="AD133">
        <v>1630</v>
      </c>
      <c r="AE133">
        <v>1630</v>
      </c>
      <c r="AF133">
        <v>1630</v>
      </c>
      <c r="AG133">
        <v>1630</v>
      </c>
      <c r="AH133">
        <v>1630</v>
      </c>
    </row>
    <row r="134" spans="1:34" x14ac:dyDescent="0.35">
      <c r="A134" t="s">
        <v>622</v>
      </c>
      <c r="B134">
        <v>138</v>
      </c>
      <c r="C134">
        <v>220</v>
      </c>
      <c r="D134">
        <v>333</v>
      </c>
      <c r="E134">
        <v>438</v>
      </c>
      <c r="F134">
        <v>548</v>
      </c>
      <c r="G134">
        <v>641</v>
      </c>
      <c r="H134">
        <v>792</v>
      </c>
      <c r="I134">
        <v>840</v>
      </c>
      <c r="J134">
        <v>888</v>
      </c>
      <c r="K134">
        <v>936</v>
      </c>
      <c r="L134">
        <v>984</v>
      </c>
      <c r="M134">
        <v>1033</v>
      </c>
      <c r="N134">
        <v>1081</v>
      </c>
      <c r="O134">
        <v>1129</v>
      </c>
      <c r="P134">
        <v>1177</v>
      </c>
      <c r="Q134">
        <v>1225</v>
      </c>
      <c r="R134">
        <v>1273</v>
      </c>
      <c r="S134">
        <v>1321</v>
      </c>
      <c r="T134">
        <v>1370</v>
      </c>
      <c r="U134">
        <v>1418</v>
      </c>
      <c r="V134">
        <v>1466</v>
      </c>
      <c r="W134">
        <v>1514</v>
      </c>
      <c r="X134">
        <v>1562</v>
      </c>
      <c r="Y134">
        <v>1610</v>
      </c>
      <c r="Z134">
        <v>1658</v>
      </c>
      <c r="AA134">
        <v>1707</v>
      </c>
      <c r="AB134">
        <v>1755</v>
      </c>
      <c r="AC134">
        <v>1803</v>
      </c>
      <c r="AD134">
        <v>1851</v>
      </c>
      <c r="AE134">
        <v>1899</v>
      </c>
      <c r="AF134">
        <v>1947</v>
      </c>
      <c r="AG134">
        <v>1947</v>
      </c>
      <c r="AH134">
        <v>1947</v>
      </c>
    </row>
    <row r="135" spans="1:34" x14ac:dyDescent="0.35">
      <c r="A135" t="s">
        <v>623</v>
      </c>
      <c r="B135">
        <v>138</v>
      </c>
      <c r="C135">
        <v>220</v>
      </c>
      <c r="D135">
        <v>332</v>
      </c>
      <c r="E135">
        <v>436</v>
      </c>
      <c r="F135">
        <v>546</v>
      </c>
      <c r="G135">
        <v>638</v>
      </c>
      <c r="H135">
        <v>757</v>
      </c>
      <c r="I135">
        <v>805</v>
      </c>
      <c r="J135">
        <v>853</v>
      </c>
      <c r="K135">
        <v>901</v>
      </c>
      <c r="L135">
        <v>949</v>
      </c>
      <c r="M135">
        <v>998</v>
      </c>
      <c r="N135">
        <v>1046</v>
      </c>
      <c r="O135">
        <v>1094</v>
      </c>
      <c r="P135">
        <v>1142</v>
      </c>
      <c r="Q135">
        <v>1190</v>
      </c>
      <c r="R135">
        <v>1238</v>
      </c>
      <c r="S135">
        <v>1286</v>
      </c>
      <c r="T135">
        <v>1334</v>
      </c>
      <c r="U135">
        <v>1383</v>
      </c>
      <c r="V135">
        <v>1431</v>
      </c>
      <c r="W135">
        <v>1479</v>
      </c>
      <c r="X135">
        <v>1527</v>
      </c>
      <c r="Y135">
        <v>1575</v>
      </c>
      <c r="Z135">
        <v>1623</v>
      </c>
      <c r="AA135">
        <v>1671</v>
      </c>
      <c r="AB135">
        <v>1720</v>
      </c>
      <c r="AC135">
        <v>1768</v>
      </c>
      <c r="AD135">
        <v>1816</v>
      </c>
      <c r="AE135">
        <v>1864</v>
      </c>
      <c r="AF135">
        <v>1912</v>
      </c>
      <c r="AG135">
        <v>1912</v>
      </c>
      <c r="AH135">
        <v>1912</v>
      </c>
    </row>
    <row r="136" spans="1:34" x14ac:dyDescent="0.35">
      <c r="A136" t="s">
        <v>624</v>
      </c>
      <c r="B136">
        <v>150</v>
      </c>
      <c r="C136">
        <v>241</v>
      </c>
      <c r="D136">
        <v>366</v>
      </c>
      <c r="E136">
        <v>482</v>
      </c>
      <c r="F136">
        <v>605</v>
      </c>
      <c r="G136">
        <v>707</v>
      </c>
      <c r="H136">
        <v>1056</v>
      </c>
      <c r="I136">
        <v>1124</v>
      </c>
      <c r="J136">
        <v>1191</v>
      </c>
      <c r="K136">
        <v>1259</v>
      </c>
      <c r="L136">
        <v>1326</v>
      </c>
      <c r="M136">
        <v>1394</v>
      </c>
      <c r="N136">
        <v>1461</v>
      </c>
      <c r="O136">
        <v>1529</v>
      </c>
      <c r="P136">
        <v>1596</v>
      </c>
      <c r="Q136">
        <v>1664</v>
      </c>
      <c r="R136">
        <v>1731</v>
      </c>
      <c r="S136">
        <v>1799</v>
      </c>
      <c r="T136">
        <v>1866</v>
      </c>
      <c r="U136">
        <v>1934</v>
      </c>
      <c r="V136">
        <v>2001</v>
      </c>
      <c r="W136">
        <v>2069</v>
      </c>
      <c r="X136">
        <v>2136</v>
      </c>
      <c r="Y136">
        <v>2204</v>
      </c>
      <c r="Z136">
        <v>2271</v>
      </c>
      <c r="AA136">
        <v>2339</v>
      </c>
      <c r="AB136">
        <v>2406</v>
      </c>
      <c r="AC136">
        <v>2474</v>
      </c>
      <c r="AD136">
        <v>2541</v>
      </c>
      <c r="AE136">
        <v>2609</v>
      </c>
      <c r="AF136">
        <v>2675</v>
      </c>
      <c r="AG136">
        <v>2675</v>
      </c>
      <c r="AH136">
        <v>2675</v>
      </c>
    </row>
    <row r="137" spans="1:34" x14ac:dyDescent="0.35">
      <c r="A137" t="s">
        <v>625</v>
      </c>
      <c r="B137">
        <v>128</v>
      </c>
      <c r="C137">
        <v>202</v>
      </c>
      <c r="D137">
        <v>304</v>
      </c>
      <c r="E137">
        <v>399</v>
      </c>
      <c r="F137">
        <v>499</v>
      </c>
      <c r="G137">
        <v>583</v>
      </c>
      <c r="H137">
        <v>792</v>
      </c>
      <c r="I137">
        <v>840</v>
      </c>
      <c r="J137">
        <v>888</v>
      </c>
      <c r="K137">
        <v>936</v>
      </c>
      <c r="L137">
        <v>984</v>
      </c>
      <c r="M137">
        <v>1033</v>
      </c>
      <c r="N137">
        <v>1081</v>
      </c>
      <c r="O137">
        <v>1129</v>
      </c>
      <c r="P137">
        <v>1177</v>
      </c>
      <c r="Q137">
        <v>1225</v>
      </c>
      <c r="R137">
        <v>1273</v>
      </c>
      <c r="S137">
        <v>1321</v>
      </c>
      <c r="T137">
        <v>1370</v>
      </c>
      <c r="U137">
        <v>1418</v>
      </c>
      <c r="V137">
        <v>1466</v>
      </c>
      <c r="W137">
        <v>1514</v>
      </c>
      <c r="X137">
        <v>1562</v>
      </c>
      <c r="Y137">
        <v>1610</v>
      </c>
      <c r="Z137">
        <v>1658</v>
      </c>
      <c r="AA137">
        <v>1707</v>
      </c>
      <c r="AB137">
        <v>1755</v>
      </c>
      <c r="AC137">
        <v>1803</v>
      </c>
      <c r="AD137">
        <v>1851</v>
      </c>
      <c r="AE137">
        <v>1899</v>
      </c>
      <c r="AF137">
        <v>1947</v>
      </c>
      <c r="AG137">
        <v>1947</v>
      </c>
      <c r="AH137">
        <v>1947</v>
      </c>
    </row>
    <row r="138" spans="1:34" x14ac:dyDescent="0.35">
      <c r="A138" t="s">
        <v>626</v>
      </c>
      <c r="B138">
        <v>110</v>
      </c>
      <c r="C138">
        <v>169</v>
      </c>
      <c r="D138">
        <v>251</v>
      </c>
      <c r="E138">
        <v>328</v>
      </c>
      <c r="F138">
        <v>409</v>
      </c>
      <c r="G138">
        <v>477</v>
      </c>
      <c r="H138">
        <v>504</v>
      </c>
      <c r="I138">
        <v>533</v>
      </c>
      <c r="J138">
        <v>561</v>
      </c>
      <c r="K138">
        <v>590</v>
      </c>
      <c r="L138">
        <v>619</v>
      </c>
      <c r="M138">
        <v>648</v>
      </c>
      <c r="N138">
        <v>676</v>
      </c>
      <c r="O138">
        <v>705</v>
      </c>
      <c r="P138">
        <v>734</v>
      </c>
      <c r="Q138">
        <v>763</v>
      </c>
      <c r="R138">
        <v>791</v>
      </c>
      <c r="S138">
        <v>820</v>
      </c>
      <c r="T138">
        <v>849</v>
      </c>
      <c r="U138">
        <v>878</v>
      </c>
      <c r="V138">
        <v>906</v>
      </c>
      <c r="W138">
        <v>935</v>
      </c>
      <c r="X138">
        <v>964</v>
      </c>
      <c r="Y138">
        <v>993</v>
      </c>
      <c r="Z138">
        <v>1021</v>
      </c>
      <c r="AA138">
        <v>1050</v>
      </c>
      <c r="AB138">
        <v>1079</v>
      </c>
      <c r="AC138">
        <v>1108</v>
      </c>
      <c r="AD138">
        <v>1136</v>
      </c>
      <c r="AE138">
        <v>1165</v>
      </c>
      <c r="AF138">
        <v>1193</v>
      </c>
      <c r="AG138">
        <v>1193</v>
      </c>
      <c r="AH138">
        <v>1193</v>
      </c>
    </row>
    <row r="139" spans="1:34" x14ac:dyDescent="0.35">
      <c r="A139" t="s">
        <v>627</v>
      </c>
      <c r="B139">
        <v>122</v>
      </c>
      <c r="C139">
        <v>190</v>
      </c>
      <c r="D139">
        <v>285</v>
      </c>
      <c r="E139">
        <v>374</v>
      </c>
      <c r="F139">
        <v>467</v>
      </c>
      <c r="G139">
        <v>545</v>
      </c>
      <c r="H139">
        <v>757</v>
      </c>
      <c r="I139">
        <v>805</v>
      </c>
      <c r="J139">
        <v>853</v>
      </c>
      <c r="K139">
        <v>901</v>
      </c>
      <c r="L139">
        <v>949</v>
      </c>
      <c r="M139">
        <v>998</v>
      </c>
      <c r="N139">
        <v>1046</v>
      </c>
      <c r="O139">
        <v>1094</v>
      </c>
      <c r="P139">
        <v>1142</v>
      </c>
      <c r="Q139">
        <v>1190</v>
      </c>
      <c r="R139">
        <v>1238</v>
      </c>
      <c r="S139">
        <v>1286</v>
      </c>
      <c r="T139">
        <v>1334</v>
      </c>
      <c r="U139">
        <v>1383</v>
      </c>
      <c r="V139">
        <v>1431</v>
      </c>
      <c r="W139">
        <v>1479</v>
      </c>
      <c r="X139">
        <v>1527</v>
      </c>
      <c r="Y139">
        <v>1575</v>
      </c>
      <c r="Z139">
        <v>1623</v>
      </c>
      <c r="AA139">
        <v>1671</v>
      </c>
      <c r="AB139">
        <v>1720</v>
      </c>
      <c r="AC139">
        <v>1768</v>
      </c>
      <c r="AD139">
        <v>1816</v>
      </c>
      <c r="AE139">
        <v>1864</v>
      </c>
      <c r="AF139">
        <v>1912</v>
      </c>
      <c r="AG139">
        <v>1912</v>
      </c>
      <c r="AH139">
        <v>1912</v>
      </c>
    </row>
    <row r="140" spans="1:34" x14ac:dyDescent="0.35">
      <c r="A140" t="s">
        <v>628</v>
      </c>
      <c r="B140">
        <v>139</v>
      </c>
      <c r="C140">
        <v>221</v>
      </c>
      <c r="D140">
        <v>334</v>
      </c>
      <c r="E140">
        <v>438</v>
      </c>
      <c r="F140">
        <v>549</v>
      </c>
      <c r="G140">
        <v>642</v>
      </c>
      <c r="H140">
        <v>757</v>
      </c>
      <c r="I140">
        <v>805</v>
      </c>
      <c r="J140">
        <v>853</v>
      </c>
      <c r="K140">
        <v>901</v>
      </c>
      <c r="L140">
        <v>949</v>
      </c>
      <c r="M140">
        <v>998</v>
      </c>
      <c r="N140">
        <v>1046</v>
      </c>
      <c r="O140">
        <v>1094</v>
      </c>
      <c r="P140">
        <v>1142</v>
      </c>
      <c r="Q140">
        <v>1190</v>
      </c>
      <c r="R140">
        <v>1238</v>
      </c>
      <c r="S140">
        <v>1286</v>
      </c>
      <c r="T140">
        <v>1334</v>
      </c>
      <c r="U140">
        <v>1383</v>
      </c>
      <c r="V140">
        <v>1431</v>
      </c>
      <c r="W140">
        <v>1479</v>
      </c>
      <c r="X140">
        <v>1527</v>
      </c>
      <c r="Y140">
        <v>1575</v>
      </c>
      <c r="Z140">
        <v>1623</v>
      </c>
      <c r="AA140">
        <v>1671</v>
      </c>
      <c r="AB140">
        <v>1720</v>
      </c>
      <c r="AC140">
        <v>1768</v>
      </c>
      <c r="AD140">
        <v>1816</v>
      </c>
      <c r="AE140">
        <v>1864</v>
      </c>
      <c r="AF140">
        <v>1912</v>
      </c>
      <c r="AG140">
        <v>1912</v>
      </c>
      <c r="AH140">
        <v>1912</v>
      </c>
    </row>
    <row r="141" spans="1:34" x14ac:dyDescent="0.35">
      <c r="A141" t="s">
        <v>629</v>
      </c>
      <c r="B141">
        <v>124</v>
      </c>
      <c r="C141">
        <v>194</v>
      </c>
      <c r="D141">
        <v>291</v>
      </c>
      <c r="E141">
        <v>382</v>
      </c>
      <c r="F141">
        <v>477</v>
      </c>
      <c r="G141">
        <v>557</v>
      </c>
      <c r="H141">
        <v>639</v>
      </c>
      <c r="I141">
        <v>677</v>
      </c>
      <c r="J141">
        <v>715</v>
      </c>
      <c r="K141">
        <v>753</v>
      </c>
      <c r="L141">
        <v>791</v>
      </c>
      <c r="M141">
        <v>829</v>
      </c>
      <c r="N141">
        <v>867</v>
      </c>
      <c r="O141">
        <v>904</v>
      </c>
      <c r="P141">
        <v>942</v>
      </c>
      <c r="Q141">
        <v>980</v>
      </c>
      <c r="R141">
        <v>1018</v>
      </c>
      <c r="S141">
        <v>1056</v>
      </c>
      <c r="T141">
        <v>1094</v>
      </c>
      <c r="U141">
        <v>1132</v>
      </c>
      <c r="V141">
        <v>1170</v>
      </c>
      <c r="W141">
        <v>1208</v>
      </c>
      <c r="X141">
        <v>1246</v>
      </c>
      <c r="Y141">
        <v>1284</v>
      </c>
      <c r="Z141">
        <v>1321</v>
      </c>
      <c r="AA141">
        <v>1343</v>
      </c>
      <c r="AB141">
        <v>1363</v>
      </c>
      <c r="AC141">
        <v>1383</v>
      </c>
      <c r="AD141">
        <v>1403</v>
      </c>
      <c r="AE141">
        <v>1424</v>
      </c>
      <c r="AF141">
        <v>1444</v>
      </c>
      <c r="AG141">
        <v>1444</v>
      </c>
      <c r="AH141">
        <v>1444</v>
      </c>
    </row>
    <row r="142" spans="1:34" x14ac:dyDescent="0.35">
      <c r="A142" t="s">
        <v>630</v>
      </c>
      <c r="B142">
        <v>141</v>
      </c>
      <c r="C142">
        <v>224</v>
      </c>
      <c r="D142">
        <v>339</v>
      </c>
      <c r="E142">
        <v>446</v>
      </c>
      <c r="F142">
        <v>559</v>
      </c>
      <c r="G142">
        <v>653</v>
      </c>
      <c r="H142">
        <v>757</v>
      </c>
      <c r="I142">
        <v>805</v>
      </c>
      <c r="J142">
        <v>853</v>
      </c>
      <c r="K142">
        <v>901</v>
      </c>
      <c r="L142">
        <v>949</v>
      </c>
      <c r="M142">
        <v>998</v>
      </c>
      <c r="N142">
        <v>1046</v>
      </c>
      <c r="O142">
        <v>1094</v>
      </c>
      <c r="P142">
        <v>1142</v>
      </c>
      <c r="Q142">
        <v>1190</v>
      </c>
      <c r="R142">
        <v>1238</v>
      </c>
      <c r="S142">
        <v>1286</v>
      </c>
      <c r="T142">
        <v>1334</v>
      </c>
      <c r="U142">
        <v>1383</v>
      </c>
      <c r="V142">
        <v>1431</v>
      </c>
      <c r="W142">
        <v>1479</v>
      </c>
      <c r="X142">
        <v>1527</v>
      </c>
      <c r="Y142">
        <v>1575</v>
      </c>
      <c r="Z142">
        <v>1623</v>
      </c>
      <c r="AA142">
        <v>1671</v>
      </c>
      <c r="AB142">
        <v>1720</v>
      </c>
      <c r="AC142">
        <v>1768</v>
      </c>
      <c r="AD142">
        <v>1816</v>
      </c>
      <c r="AE142">
        <v>1864</v>
      </c>
      <c r="AF142">
        <v>1912</v>
      </c>
      <c r="AG142">
        <v>1912</v>
      </c>
      <c r="AH142">
        <v>1912</v>
      </c>
    </row>
    <row r="143" spans="1:34" x14ac:dyDescent="0.35">
      <c r="A143" t="s">
        <v>631</v>
      </c>
      <c r="B143">
        <v>135</v>
      </c>
      <c r="C143">
        <v>215</v>
      </c>
      <c r="D143">
        <v>324</v>
      </c>
      <c r="E143">
        <v>426</v>
      </c>
      <c r="F143">
        <v>534</v>
      </c>
      <c r="G143">
        <v>623</v>
      </c>
      <c r="H143">
        <v>639</v>
      </c>
      <c r="I143">
        <v>677</v>
      </c>
      <c r="J143">
        <v>715</v>
      </c>
      <c r="K143">
        <v>753</v>
      </c>
      <c r="L143">
        <v>791</v>
      </c>
      <c r="M143">
        <v>829</v>
      </c>
      <c r="N143">
        <v>867</v>
      </c>
      <c r="O143">
        <v>904</v>
      </c>
      <c r="P143">
        <v>942</v>
      </c>
      <c r="Q143">
        <v>980</v>
      </c>
      <c r="R143">
        <v>1018</v>
      </c>
      <c r="S143">
        <v>1056</v>
      </c>
      <c r="T143">
        <v>1094</v>
      </c>
      <c r="U143">
        <v>1132</v>
      </c>
      <c r="V143">
        <v>1170</v>
      </c>
      <c r="W143">
        <v>1208</v>
      </c>
      <c r="X143">
        <v>1246</v>
      </c>
      <c r="Y143">
        <v>1284</v>
      </c>
      <c r="Z143">
        <v>1321</v>
      </c>
      <c r="AA143">
        <v>1359</v>
      </c>
      <c r="AB143">
        <v>1397</v>
      </c>
      <c r="AC143">
        <v>1435</v>
      </c>
      <c r="AD143">
        <v>1473</v>
      </c>
      <c r="AE143">
        <v>1511</v>
      </c>
      <c r="AF143">
        <v>1549</v>
      </c>
      <c r="AG143">
        <v>1549</v>
      </c>
      <c r="AH143">
        <v>1549</v>
      </c>
    </row>
    <row r="144" spans="1:34" x14ac:dyDescent="0.35">
      <c r="A144" t="s">
        <v>632</v>
      </c>
      <c r="B144">
        <v>146</v>
      </c>
      <c r="C144">
        <v>234</v>
      </c>
      <c r="D144">
        <v>355</v>
      </c>
      <c r="E144">
        <v>468</v>
      </c>
      <c r="F144">
        <v>587</v>
      </c>
      <c r="G144">
        <v>686</v>
      </c>
      <c r="H144">
        <v>931</v>
      </c>
      <c r="I144">
        <v>990</v>
      </c>
      <c r="J144">
        <v>1050</v>
      </c>
      <c r="K144">
        <v>1109</v>
      </c>
      <c r="L144">
        <v>1168</v>
      </c>
      <c r="M144">
        <v>1228</v>
      </c>
      <c r="N144">
        <v>1287</v>
      </c>
      <c r="O144">
        <v>1347</v>
      </c>
      <c r="P144">
        <v>1406</v>
      </c>
      <c r="Q144">
        <v>1465</v>
      </c>
      <c r="R144">
        <v>1525</v>
      </c>
      <c r="S144">
        <v>1584</v>
      </c>
      <c r="T144">
        <v>1644</v>
      </c>
      <c r="U144">
        <v>1703</v>
      </c>
      <c r="V144">
        <v>1762</v>
      </c>
      <c r="W144">
        <v>1822</v>
      </c>
      <c r="X144">
        <v>1881</v>
      </c>
      <c r="Y144">
        <v>1941</v>
      </c>
      <c r="Z144">
        <v>2000</v>
      </c>
      <c r="AA144">
        <v>2059</v>
      </c>
      <c r="AB144">
        <v>2119</v>
      </c>
      <c r="AC144">
        <v>2178</v>
      </c>
      <c r="AD144">
        <v>2238</v>
      </c>
      <c r="AE144">
        <v>2297</v>
      </c>
      <c r="AF144">
        <v>2356</v>
      </c>
      <c r="AG144">
        <v>2356</v>
      </c>
      <c r="AH144">
        <v>2356</v>
      </c>
    </row>
    <row r="145" spans="1:34" x14ac:dyDescent="0.35">
      <c r="A145" t="s">
        <v>633</v>
      </c>
      <c r="B145">
        <v>122</v>
      </c>
      <c r="C145">
        <v>191</v>
      </c>
      <c r="D145">
        <v>286</v>
      </c>
      <c r="E145">
        <v>374</v>
      </c>
      <c r="F145">
        <v>468</v>
      </c>
      <c r="G145">
        <v>546</v>
      </c>
      <c r="H145">
        <v>639</v>
      </c>
      <c r="I145">
        <v>677</v>
      </c>
      <c r="J145">
        <v>715</v>
      </c>
      <c r="K145">
        <v>753</v>
      </c>
      <c r="L145">
        <v>791</v>
      </c>
      <c r="M145">
        <v>829</v>
      </c>
      <c r="N145">
        <v>867</v>
      </c>
      <c r="O145">
        <v>904</v>
      </c>
      <c r="P145">
        <v>942</v>
      </c>
      <c r="Q145">
        <v>980</v>
      </c>
      <c r="R145">
        <v>1018</v>
      </c>
      <c r="S145">
        <v>1056</v>
      </c>
      <c r="T145">
        <v>1094</v>
      </c>
      <c r="U145">
        <v>1132</v>
      </c>
      <c r="V145">
        <v>1170</v>
      </c>
      <c r="W145">
        <v>1208</v>
      </c>
      <c r="X145">
        <v>1246</v>
      </c>
      <c r="Y145">
        <v>1284</v>
      </c>
      <c r="Z145">
        <v>1321</v>
      </c>
      <c r="AA145">
        <v>1343</v>
      </c>
      <c r="AB145">
        <v>1363</v>
      </c>
      <c r="AC145">
        <v>1383</v>
      </c>
      <c r="AD145">
        <v>1403</v>
      </c>
      <c r="AE145">
        <v>1424</v>
      </c>
      <c r="AF145">
        <v>1444</v>
      </c>
      <c r="AG145">
        <v>1444</v>
      </c>
      <c r="AH145">
        <v>1444</v>
      </c>
    </row>
    <row r="146" spans="1:34" x14ac:dyDescent="0.35">
      <c r="A146" t="s">
        <v>634</v>
      </c>
      <c r="B146">
        <v>113</v>
      </c>
      <c r="C146">
        <v>170</v>
      </c>
      <c r="D146">
        <v>245</v>
      </c>
      <c r="E146">
        <v>320</v>
      </c>
      <c r="F146">
        <v>369</v>
      </c>
      <c r="G146">
        <v>369</v>
      </c>
      <c r="H146">
        <v>369</v>
      </c>
      <c r="I146">
        <v>369</v>
      </c>
      <c r="J146">
        <v>369</v>
      </c>
      <c r="K146">
        <v>369</v>
      </c>
      <c r="L146">
        <v>369</v>
      </c>
      <c r="M146">
        <v>369</v>
      </c>
      <c r="N146">
        <v>369</v>
      </c>
      <c r="O146">
        <v>369</v>
      </c>
      <c r="P146">
        <v>369</v>
      </c>
      <c r="Q146">
        <v>369</v>
      </c>
      <c r="R146">
        <v>369</v>
      </c>
      <c r="S146">
        <v>369</v>
      </c>
      <c r="T146">
        <v>369</v>
      </c>
      <c r="U146">
        <v>369</v>
      </c>
      <c r="V146">
        <v>369</v>
      </c>
      <c r="W146">
        <v>369</v>
      </c>
      <c r="X146">
        <v>369</v>
      </c>
      <c r="Y146">
        <v>369</v>
      </c>
      <c r="Z146">
        <v>369</v>
      </c>
      <c r="AA146">
        <v>369</v>
      </c>
      <c r="AB146">
        <v>369</v>
      </c>
      <c r="AC146">
        <v>369</v>
      </c>
      <c r="AD146">
        <v>369</v>
      </c>
      <c r="AE146">
        <v>369</v>
      </c>
      <c r="AF146">
        <v>369</v>
      </c>
      <c r="AG146">
        <v>369</v>
      </c>
      <c r="AH146">
        <v>369</v>
      </c>
    </row>
    <row r="147" spans="1:34" x14ac:dyDescent="0.35">
      <c r="A147" t="s">
        <v>635</v>
      </c>
      <c r="B147">
        <v>113</v>
      </c>
      <c r="C147">
        <v>170</v>
      </c>
      <c r="D147">
        <v>245</v>
      </c>
      <c r="E147">
        <v>320</v>
      </c>
      <c r="F147">
        <v>369</v>
      </c>
      <c r="G147">
        <v>369</v>
      </c>
      <c r="H147">
        <v>369</v>
      </c>
      <c r="I147">
        <v>369</v>
      </c>
      <c r="J147">
        <v>369</v>
      </c>
      <c r="K147">
        <v>369</v>
      </c>
      <c r="L147">
        <v>369</v>
      </c>
      <c r="M147">
        <v>369</v>
      </c>
      <c r="N147">
        <v>369</v>
      </c>
      <c r="O147">
        <v>369</v>
      </c>
      <c r="P147">
        <v>369</v>
      </c>
      <c r="Q147">
        <v>369</v>
      </c>
      <c r="R147">
        <v>369</v>
      </c>
      <c r="S147">
        <v>369</v>
      </c>
      <c r="T147">
        <v>369</v>
      </c>
      <c r="U147">
        <v>369</v>
      </c>
      <c r="V147">
        <v>369</v>
      </c>
      <c r="W147">
        <v>369</v>
      </c>
      <c r="X147">
        <v>369</v>
      </c>
      <c r="Y147">
        <v>369</v>
      </c>
      <c r="Z147">
        <v>369</v>
      </c>
      <c r="AA147">
        <v>369</v>
      </c>
      <c r="AB147">
        <v>369</v>
      </c>
      <c r="AC147">
        <v>369</v>
      </c>
      <c r="AD147">
        <v>369</v>
      </c>
      <c r="AE147">
        <v>369</v>
      </c>
      <c r="AF147">
        <v>369</v>
      </c>
      <c r="AG147">
        <v>369</v>
      </c>
      <c r="AH147">
        <v>369</v>
      </c>
    </row>
    <row r="148" spans="1:34" x14ac:dyDescent="0.35">
      <c r="A148" t="s">
        <v>636</v>
      </c>
      <c r="B148">
        <v>113</v>
      </c>
      <c r="C148">
        <v>170</v>
      </c>
      <c r="D148">
        <v>245</v>
      </c>
      <c r="E148">
        <v>320</v>
      </c>
      <c r="F148">
        <v>369</v>
      </c>
      <c r="G148">
        <v>369</v>
      </c>
      <c r="H148">
        <v>369</v>
      </c>
      <c r="I148">
        <v>369</v>
      </c>
      <c r="J148">
        <v>369</v>
      </c>
      <c r="K148">
        <v>369</v>
      </c>
      <c r="L148">
        <v>369</v>
      </c>
      <c r="M148">
        <v>369</v>
      </c>
      <c r="N148">
        <v>369</v>
      </c>
      <c r="O148">
        <v>369</v>
      </c>
      <c r="P148">
        <v>369</v>
      </c>
      <c r="Q148">
        <v>369</v>
      </c>
      <c r="R148">
        <v>369</v>
      </c>
      <c r="S148">
        <v>369</v>
      </c>
      <c r="T148">
        <v>369</v>
      </c>
      <c r="U148">
        <v>369</v>
      </c>
      <c r="V148">
        <v>369</v>
      </c>
      <c r="W148">
        <v>369</v>
      </c>
      <c r="X148">
        <v>369</v>
      </c>
      <c r="Y148">
        <v>369</v>
      </c>
      <c r="Z148">
        <v>369</v>
      </c>
      <c r="AA148">
        <v>369</v>
      </c>
      <c r="AB148">
        <v>369</v>
      </c>
      <c r="AC148">
        <v>369</v>
      </c>
      <c r="AD148">
        <v>369</v>
      </c>
      <c r="AE148">
        <v>369</v>
      </c>
      <c r="AF148">
        <v>369</v>
      </c>
      <c r="AG148">
        <v>369</v>
      </c>
      <c r="AH148">
        <v>369</v>
      </c>
    </row>
    <row r="149" spans="1:34" x14ac:dyDescent="0.35">
      <c r="A149" t="s">
        <v>637</v>
      </c>
      <c r="B149">
        <v>113</v>
      </c>
      <c r="C149">
        <v>170</v>
      </c>
      <c r="D149">
        <v>245</v>
      </c>
      <c r="E149">
        <v>320</v>
      </c>
      <c r="F149">
        <v>369</v>
      </c>
      <c r="G149">
        <v>369</v>
      </c>
      <c r="H149">
        <v>369</v>
      </c>
      <c r="I149">
        <v>369</v>
      </c>
      <c r="J149">
        <v>369</v>
      </c>
      <c r="K149">
        <v>369</v>
      </c>
      <c r="L149">
        <v>369</v>
      </c>
      <c r="M149">
        <v>369</v>
      </c>
      <c r="N149">
        <v>369</v>
      </c>
      <c r="O149">
        <v>369</v>
      </c>
      <c r="P149">
        <v>369</v>
      </c>
      <c r="Q149">
        <v>369</v>
      </c>
      <c r="R149">
        <v>369</v>
      </c>
      <c r="S149">
        <v>369</v>
      </c>
      <c r="T149">
        <v>369</v>
      </c>
      <c r="U149">
        <v>369</v>
      </c>
      <c r="V149">
        <v>369</v>
      </c>
      <c r="W149">
        <v>369</v>
      </c>
      <c r="X149">
        <v>369</v>
      </c>
      <c r="Y149">
        <v>369</v>
      </c>
      <c r="Z149">
        <v>369</v>
      </c>
      <c r="AA149">
        <v>369</v>
      </c>
      <c r="AB149">
        <v>369</v>
      </c>
      <c r="AC149">
        <v>369</v>
      </c>
      <c r="AD149">
        <v>369</v>
      </c>
      <c r="AE149">
        <v>369</v>
      </c>
      <c r="AF149">
        <v>369</v>
      </c>
      <c r="AG149">
        <v>369</v>
      </c>
      <c r="AH149">
        <v>369</v>
      </c>
    </row>
    <row r="150" spans="1:34" x14ac:dyDescent="0.35">
      <c r="A150" t="s">
        <v>638</v>
      </c>
      <c r="B150">
        <v>113</v>
      </c>
      <c r="C150">
        <v>170</v>
      </c>
      <c r="D150">
        <v>245</v>
      </c>
      <c r="E150">
        <v>320</v>
      </c>
      <c r="F150">
        <v>369</v>
      </c>
      <c r="G150">
        <v>369</v>
      </c>
      <c r="H150">
        <v>369</v>
      </c>
      <c r="I150">
        <v>369</v>
      </c>
      <c r="J150">
        <v>369</v>
      </c>
      <c r="K150">
        <v>369</v>
      </c>
      <c r="L150">
        <v>369</v>
      </c>
      <c r="M150">
        <v>369</v>
      </c>
      <c r="N150">
        <v>369</v>
      </c>
      <c r="O150">
        <v>369</v>
      </c>
      <c r="P150">
        <v>369</v>
      </c>
      <c r="Q150">
        <v>369</v>
      </c>
      <c r="R150">
        <v>369</v>
      </c>
      <c r="S150">
        <v>369</v>
      </c>
      <c r="T150">
        <v>369</v>
      </c>
      <c r="U150">
        <v>369</v>
      </c>
      <c r="V150">
        <v>369</v>
      </c>
      <c r="W150">
        <v>369</v>
      </c>
      <c r="X150">
        <v>369</v>
      </c>
      <c r="Y150">
        <v>369</v>
      </c>
      <c r="Z150">
        <v>369</v>
      </c>
      <c r="AA150">
        <v>369</v>
      </c>
      <c r="AB150">
        <v>369</v>
      </c>
      <c r="AC150">
        <v>369</v>
      </c>
      <c r="AD150">
        <v>369</v>
      </c>
      <c r="AE150">
        <v>369</v>
      </c>
      <c r="AF150">
        <v>369</v>
      </c>
      <c r="AG150">
        <v>369</v>
      </c>
      <c r="AH150">
        <v>369</v>
      </c>
    </row>
    <row r="151" spans="1:34" x14ac:dyDescent="0.35">
      <c r="A151" t="s">
        <v>639</v>
      </c>
      <c r="B151">
        <v>113</v>
      </c>
      <c r="C151">
        <v>170</v>
      </c>
      <c r="D151">
        <v>245</v>
      </c>
      <c r="E151">
        <v>320</v>
      </c>
      <c r="F151">
        <v>369</v>
      </c>
      <c r="G151">
        <v>369</v>
      </c>
      <c r="H151">
        <v>369</v>
      </c>
      <c r="I151">
        <v>369</v>
      </c>
      <c r="J151">
        <v>369</v>
      </c>
      <c r="K151">
        <v>369</v>
      </c>
      <c r="L151">
        <v>369</v>
      </c>
      <c r="M151">
        <v>369</v>
      </c>
      <c r="N151">
        <v>369</v>
      </c>
      <c r="O151">
        <v>369</v>
      </c>
      <c r="P151">
        <v>369</v>
      </c>
      <c r="Q151">
        <v>369</v>
      </c>
      <c r="R151">
        <v>369</v>
      </c>
      <c r="S151">
        <v>369</v>
      </c>
      <c r="T151">
        <v>369</v>
      </c>
      <c r="U151">
        <v>369</v>
      </c>
      <c r="V151">
        <v>369</v>
      </c>
      <c r="W151">
        <v>369</v>
      </c>
      <c r="X151">
        <v>369</v>
      </c>
      <c r="Y151">
        <v>369</v>
      </c>
      <c r="Z151">
        <v>369</v>
      </c>
      <c r="AA151">
        <v>369</v>
      </c>
      <c r="AB151">
        <v>369</v>
      </c>
      <c r="AC151">
        <v>369</v>
      </c>
      <c r="AD151">
        <v>369</v>
      </c>
      <c r="AE151">
        <v>369</v>
      </c>
      <c r="AF151">
        <v>369</v>
      </c>
      <c r="AG151">
        <v>369</v>
      </c>
      <c r="AH151">
        <v>369</v>
      </c>
    </row>
    <row r="152" spans="1:34" x14ac:dyDescent="0.35">
      <c r="A152" t="s">
        <v>640</v>
      </c>
      <c r="B152">
        <v>113</v>
      </c>
      <c r="C152">
        <v>170</v>
      </c>
      <c r="D152">
        <v>245</v>
      </c>
      <c r="E152">
        <v>320</v>
      </c>
      <c r="F152">
        <v>369</v>
      </c>
      <c r="G152">
        <v>369</v>
      </c>
      <c r="H152">
        <v>369</v>
      </c>
      <c r="I152">
        <v>369</v>
      </c>
      <c r="J152">
        <v>369</v>
      </c>
      <c r="K152">
        <v>369</v>
      </c>
      <c r="L152">
        <v>369</v>
      </c>
      <c r="M152">
        <v>369</v>
      </c>
      <c r="N152">
        <v>369</v>
      </c>
      <c r="O152">
        <v>369</v>
      </c>
      <c r="P152">
        <v>369</v>
      </c>
      <c r="Q152">
        <v>369</v>
      </c>
      <c r="R152">
        <v>369</v>
      </c>
      <c r="S152">
        <v>369</v>
      </c>
      <c r="T152">
        <v>369</v>
      </c>
      <c r="U152">
        <v>369</v>
      </c>
      <c r="V152">
        <v>369</v>
      </c>
      <c r="W152">
        <v>369</v>
      </c>
      <c r="X152">
        <v>369</v>
      </c>
      <c r="Y152">
        <v>369</v>
      </c>
      <c r="Z152">
        <v>369</v>
      </c>
      <c r="AA152">
        <v>369</v>
      </c>
      <c r="AB152">
        <v>369</v>
      </c>
      <c r="AC152">
        <v>369</v>
      </c>
      <c r="AD152">
        <v>369</v>
      </c>
      <c r="AE152">
        <v>369</v>
      </c>
      <c r="AF152">
        <v>369</v>
      </c>
      <c r="AG152">
        <v>369</v>
      </c>
      <c r="AH152">
        <v>369</v>
      </c>
    </row>
    <row r="153" spans="1:34" x14ac:dyDescent="0.35">
      <c r="A153" t="s">
        <v>641</v>
      </c>
      <c r="B153">
        <v>113</v>
      </c>
      <c r="C153">
        <v>170</v>
      </c>
      <c r="D153">
        <v>245</v>
      </c>
      <c r="E153">
        <v>320</v>
      </c>
      <c r="F153">
        <v>369</v>
      </c>
      <c r="G153">
        <v>369</v>
      </c>
      <c r="H153">
        <v>369</v>
      </c>
      <c r="I153">
        <v>369</v>
      </c>
      <c r="J153">
        <v>369</v>
      </c>
      <c r="K153">
        <v>369</v>
      </c>
      <c r="L153">
        <v>369</v>
      </c>
      <c r="M153">
        <v>369</v>
      </c>
      <c r="N153">
        <v>369</v>
      </c>
      <c r="O153">
        <v>369</v>
      </c>
      <c r="P153">
        <v>369</v>
      </c>
      <c r="Q153">
        <v>369</v>
      </c>
      <c r="R153">
        <v>369</v>
      </c>
      <c r="S153">
        <v>369</v>
      </c>
      <c r="T153">
        <v>369</v>
      </c>
      <c r="U153">
        <v>369</v>
      </c>
      <c r="V153">
        <v>369</v>
      </c>
      <c r="W153">
        <v>369</v>
      </c>
      <c r="X153">
        <v>369</v>
      </c>
      <c r="Y153">
        <v>369</v>
      </c>
      <c r="Z153">
        <v>369</v>
      </c>
      <c r="AA153">
        <v>369</v>
      </c>
      <c r="AB153">
        <v>369</v>
      </c>
      <c r="AC153">
        <v>369</v>
      </c>
      <c r="AD153">
        <v>369</v>
      </c>
      <c r="AE153">
        <v>369</v>
      </c>
      <c r="AF153">
        <v>369</v>
      </c>
      <c r="AG153">
        <v>369</v>
      </c>
      <c r="AH153">
        <v>369</v>
      </c>
    </row>
    <row r="154" spans="1:34" x14ac:dyDescent="0.35">
      <c r="A154" t="s">
        <v>642</v>
      </c>
      <c r="B154">
        <v>113</v>
      </c>
      <c r="C154">
        <v>170</v>
      </c>
      <c r="D154">
        <v>245</v>
      </c>
      <c r="E154">
        <v>320</v>
      </c>
      <c r="F154">
        <v>369</v>
      </c>
      <c r="G154">
        <v>369</v>
      </c>
      <c r="H154">
        <v>369</v>
      </c>
      <c r="I154">
        <v>369</v>
      </c>
      <c r="J154">
        <v>369</v>
      </c>
      <c r="K154">
        <v>369</v>
      </c>
      <c r="L154">
        <v>369</v>
      </c>
      <c r="M154">
        <v>369</v>
      </c>
      <c r="N154">
        <v>369</v>
      </c>
      <c r="O154">
        <v>369</v>
      </c>
      <c r="P154">
        <v>369</v>
      </c>
      <c r="Q154">
        <v>369</v>
      </c>
      <c r="R154">
        <v>369</v>
      </c>
      <c r="S154">
        <v>369</v>
      </c>
      <c r="T154">
        <v>369</v>
      </c>
      <c r="U154">
        <v>369</v>
      </c>
      <c r="V154">
        <v>369</v>
      </c>
      <c r="W154">
        <v>369</v>
      </c>
      <c r="X154">
        <v>369</v>
      </c>
      <c r="Y154">
        <v>369</v>
      </c>
      <c r="Z154">
        <v>369</v>
      </c>
      <c r="AA154">
        <v>369</v>
      </c>
      <c r="AB154">
        <v>369</v>
      </c>
      <c r="AC154">
        <v>369</v>
      </c>
      <c r="AD154">
        <v>369</v>
      </c>
      <c r="AE154">
        <v>369</v>
      </c>
      <c r="AF154">
        <v>369</v>
      </c>
      <c r="AG154">
        <v>369</v>
      </c>
      <c r="AH154">
        <v>369</v>
      </c>
    </row>
    <row r="155" spans="1:34" x14ac:dyDescent="0.35">
      <c r="A155" t="s">
        <v>643</v>
      </c>
      <c r="B155">
        <v>113</v>
      </c>
      <c r="C155">
        <v>170</v>
      </c>
      <c r="D155">
        <v>245</v>
      </c>
      <c r="E155">
        <v>320</v>
      </c>
      <c r="F155">
        <v>369</v>
      </c>
      <c r="G155">
        <v>369</v>
      </c>
      <c r="H155">
        <v>369</v>
      </c>
      <c r="I155">
        <v>369</v>
      </c>
      <c r="J155">
        <v>369</v>
      </c>
      <c r="K155">
        <v>369</v>
      </c>
      <c r="L155">
        <v>369</v>
      </c>
      <c r="M155">
        <v>369</v>
      </c>
      <c r="N155">
        <v>369</v>
      </c>
      <c r="O155">
        <v>369</v>
      </c>
      <c r="P155">
        <v>369</v>
      </c>
      <c r="Q155">
        <v>369</v>
      </c>
      <c r="R155">
        <v>369</v>
      </c>
      <c r="S155">
        <v>369</v>
      </c>
      <c r="T155">
        <v>369</v>
      </c>
      <c r="U155">
        <v>369</v>
      </c>
      <c r="V155">
        <v>369</v>
      </c>
      <c r="W155">
        <v>369</v>
      </c>
      <c r="X155">
        <v>369</v>
      </c>
      <c r="Y155">
        <v>369</v>
      </c>
      <c r="Z155">
        <v>369</v>
      </c>
      <c r="AA155">
        <v>369</v>
      </c>
      <c r="AB155">
        <v>369</v>
      </c>
      <c r="AC155">
        <v>369</v>
      </c>
      <c r="AD155">
        <v>369</v>
      </c>
      <c r="AE155">
        <v>369</v>
      </c>
      <c r="AF155">
        <v>369</v>
      </c>
      <c r="AG155">
        <v>369</v>
      </c>
      <c r="AH155">
        <v>369</v>
      </c>
    </row>
    <row r="156" spans="1:34" x14ac:dyDescent="0.35">
      <c r="A156" t="s">
        <v>644</v>
      </c>
      <c r="B156">
        <v>113</v>
      </c>
      <c r="C156">
        <v>170</v>
      </c>
      <c r="D156">
        <v>245</v>
      </c>
      <c r="E156">
        <v>320</v>
      </c>
      <c r="F156">
        <v>369</v>
      </c>
      <c r="G156">
        <v>369</v>
      </c>
      <c r="H156">
        <v>369</v>
      </c>
      <c r="I156">
        <v>369</v>
      </c>
      <c r="J156">
        <v>369</v>
      </c>
      <c r="K156">
        <v>369</v>
      </c>
      <c r="L156">
        <v>369</v>
      </c>
      <c r="M156">
        <v>369</v>
      </c>
      <c r="N156">
        <v>369</v>
      </c>
      <c r="O156">
        <v>369</v>
      </c>
      <c r="P156">
        <v>369</v>
      </c>
      <c r="Q156">
        <v>369</v>
      </c>
      <c r="R156">
        <v>369</v>
      </c>
      <c r="S156">
        <v>369</v>
      </c>
      <c r="T156">
        <v>369</v>
      </c>
      <c r="U156">
        <v>369</v>
      </c>
      <c r="V156">
        <v>369</v>
      </c>
      <c r="W156">
        <v>369</v>
      </c>
      <c r="X156">
        <v>369</v>
      </c>
      <c r="Y156">
        <v>369</v>
      </c>
      <c r="Z156">
        <v>369</v>
      </c>
      <c r="AA156">
        <v>369</v>
      </c>
      <c r="AB156">
        <v>369</v>
      </c>
      <c r="AC156">
        <v>369</v>
      </c>
      <c r="AD156">
        <v>369</v>
      </c>
      <c r="AE156">
        <v>369</v>
      </c>
      <c r="AF156">
        <v>369</v>
      </c>
      <c r="AG156">
        <v>369</v>
      </c>
      <c r="AH156">
        <v>369</v>
      </c>
    </row>
    <row r="157" spans="1:34" x14ac:dyDescent="0.35">
      <c r="A157" t="s">
        <v>645</v>
      </c>
      <c r="B157">
        <v>113</v>
      </c>
      <c r="C157">
        <v>170</v>
      </c>
      <c r="D157">
        <v>245</v>
      </c>
      <c r="E157">
        <v>320</v>
      </c>
      <c r="F157">
        <v>369</v>
      </c>
      <c r="G157">
        <v>369</v>
      </c>
      <c r="H157">
        <v>369</v>
      </c>
      <c r="I157">
        <v>369</v>
      </c>
      <c r="J157">
        <v>369</v>
      </c>
      <c r="K157">
        <v>369</v>
      </c>
      <c r="L157">
        <v>369</v>
      </c>
      <c r="M157">
        <v>369</v>
      </c>
      <c r="N157">
        <v>369</v>
      </c>
      <c r="O157">
        <v>369</v>
      </c>
      <c r="P157">
        <v>369</v>
      </c>
      <c r="Q157">
        <v>369</v>
      </c>
      <c r="R157">
        <v>369</v>
      </c>
      <c r="S157">
        <v>369</v>
      </c>
      <c r="T157">
        <v>369</v>
      </c>
      <c r="U157">
        <v>369</v>
      </c>
      <c r="V157">
        <v>369</v>
      </c>
      <c r="W157">
        <v>369</v>
      </c>
      <c r="X157">
        <v>369</v>
      </c>
      <c r="Y157">
        <v>369</v>
      </c>
      <c r="Z157">
        <v>369</v>
      </c>
      <c r="AA157">
        <v>369</v>
      </c>
      <c r="AB157">
        <v>369</v>
      </c>
      <c r="AC157">
        <v>369</v>
      </c>
      <c r="AD157">
        <v>369</v>
      </c>
      <c r="AE157">
        <v>369</v>
      </c>
      <c r="AF157">
        <v>369</v>
      </c>
      <c r="AG157">
        <v>369</v>
      </c>
      <c r="AH157">
        <v>369</v>
      </c>
    </row>
    <row r="158" spans="1:34" x14ac:dyDescent="0.35">
      <c r="A158" t="s">
        <v>646</v>
      </c>
      <c r="B158">
        <v>148</v>
      </c>
      <c r="C158">
        <v>216</v>
      </c>
      <c r="D158">
        <v>301</v>
      </c>
      <c r="E158">
        <v>394</v>
      </c>
      <c r="F158">
        <v>455</v>
      </c>
      <c r="G158">
        <v>455</v>
      </c>
      <c r="H158">
        <v>455</v>
      </c>
      <c r="I158">
        <v>455</v>
      </c>
      <c r="J158">
        <v>455</v>
      </c>
      <c r="K158">
        <v>455</v>
      </c>
      <c r="L158">
        <v>455</v>
      </c>
      <c r="M158">
        <v>455</v>
      </c>
      <c r="N158">
        <v>455</v>
      </c>
      <c r="O158">
        <v>455</v>
      </c>
      <c r="P158">
        <v>455</v>
      </c>
      <c r="Q158">
        <v>455</v>
      </c>
      <c r="R158">
        <v>455</v>
      </c>
      <c r="S158">
        <v>455</v>
      </c>
      <c r="T158">
        <v>455</v>
      </c>
      <c r="U158">
        <v>455</v>
      </c>
      <c r="V158">
        <v>455</v>
      </c>
      <c r="W158">
        <v>455</v>
      </c>
      <c r="X158">
        <v>455</v>
      </c>
      <c r="Y158">
        <v>455</v>
      </c>
      <c r="Z158">
        <v>455</v>
      </c>
      <c r="AA158">
        <v>455</v>
      </c>
      <c r="AB158">
        <v>455</v>
      </c>
      <c r="AC158">
        <v>455</v>
      </c>
      <c r="AD158">
        <v>455</v>
      </c>
      <c r="AE158">
        <v>455</v>
      </c>
      <c r="AF158">
        <v>455</v>
      </c>
      <c r="AG158">
        <v>455</v>
      </c>
      <c r="AH158">
        <v>455</v>
      </c>
    </row>
    <row r="159" spans="1:34" x14ac:dyDescent="0.35">
      <c r="A159" t="s">
        <v>647</v>
      </c>
      <c r="B159">
        <v>148</v>
      </c>
      <c r="C159">
        <v>216</v>
      </c>
      <c r="D159">
        <v>301</v>
      </c>
      <c r="E159">
        <v>394</v>
      </c>
      <c r="F159">
        <v>455</v>
      </c>
      <c r="G159">
        <v>455</v>
      </c>
      <c r="H159">
        <v>455</v>
      </c>
      <c r="I159">
        <v>455</v>
      </c>
      <c r="J159">
        <v>455</v>
      </c>
      <c r="K159">
        <v>455</v>
      </c>
      <c r="L159">
        <v>455</v>
      </c>
      <c r="M159">
        <v>455</v>
      </c>
      <c r="N159">
        <v>455</v>
      </c>
      <c r="O159">
        <v>455</v>
      </c>
      <c r="P159">
        <v>455</v>
      </c>
      <c r="Q159">
        <v>455</v>
      </c>
      <c r="R159">
        <v>455</v>
      </c>
      <c r="S159">
        <v>455</v>
      </c>
      <c r="T159">
        <v>455</v>
      </c>
      <c r="U159">
        <v>455</v>
      </c>
      <c r="V159">
        <v>455</v>
      </c>
      <c r="W159">
        <v>455</v>
      </c>
      <c r="X159">
        <v>455</v>
      </c>
      <c r="Y159">
        <v>455</v>
      </c>
      <c r="Z159">
        <v>455</v>
      </c>
      <c r="AA159">
        <v>455</v>
      </c>
      <c r="AB159">
        <v>455</v>
      </c>
      <c r="AC159">
        <v>455</v>
      </c>
      <c r="AD159">
        <v>455</v>
      </c>
      <c r="AE159">
        <v>455</v>
      </c>
      <c r="AF159">
        <v>455</v>
      </c>
      <c r="AG159">
        <v>455</v>
      </c>
      <c r="AH159">
        <v>455</v>
      </c>
    </row>
    <row r="160" spans="1:34" x14ac:dyDescent="0.35">
      <c r="A160" t="s">
        <v>648</v>
      </c>
      <c r="B160">
        <v>148</v>
      </c>
      <c r="C160">
        <v>216</v>
      </c>
      <c r="D160">
        <v>301</v>
      </c>
      <c r="E160">
        <v>394</v>
      </c>
      <c r="F160">
        <v>455</v>
      </c>
      <c r="G160">
        <v>455</v>
      </c>
      <c r="H160">
        <v>455</v>
      </c>
      <c r="I160">
        <v>455</v>
      </c>
      <c r="J160">
        <v>455</v>
      </c>
      <c r="K160">
        <v>455</v>
      </c>
      <c r="L160">
        <v>455</v>
      </c>
      <c r="M160">
        <v>455</v>
      </c>
      <c r="N160">
        <v>455</v>
      </c>
      <c r="O160">
        <v>455</v>
      </c>
      <c r="P160">
        <v>455</v>
      </c>
      <c r="Q160">
        <v>455</v>
      </c>
      <c r="R160">
        <v>455</v>
      </c>
      <c r="S160">
        <v>455</v>
      </c>
      <c r="T160">
        <v>455</v>
      </c>
      <c r="U160">
        <v>455</v>
      </c>
      <c r="V160">
        <v>455</v>
      </c>
      <c r="W160">
        <v>455</v>
      </c>
      <c r="X160">
        <v>455</v>
      </c>
      <c r="Y160">
        <v>455</v>
      </c>
      <c r="Z160">
        <v>455</v>
      </c>
      <c r="AA160">
        <v>455</v>
      </c>
      <c r="AB160">
        <v>455</v>
      </c>
      <c r="AC160">
        <v>455</v>
      </c>
      <c r="AD160">
        <v>455</v>
      </c>
      <c r="AE160">
        <v>455</v>
      </c>
      <c r="AF160">
        <v>455</v>
      </c>
      <c r="AG160">
        <v>455</v>
      </c>
      <c r="AH160">
        <v>455</v>
      </c>
    </row>
    <row r="161" spans="1:34" x14ac:dyDescent="0.35">
      <c r="A161" t="s">
        <v>649</v>
      </c>
      <c r="B161">
        <v>113</v>
      </c>
      <c r="C161">
        <v>170</v>
      </c>
      <c r="D161">
        <v>245</v>
      </c>
      <c r="E161">
        <v>320</v>
      </c>
      <c r="F161">
        <v>369</v>
      </c>
      <c r="G161">
        <v>369</v>
      </c>
      <c r="H161">
        <v>369</v>
      </c>
      <c r="I161">
        <v>369</v>
      </c>
      <c r="J161">
        <v>369</v>
      </c>
      <c r="K161">
        <v>369</v>
      </c>
      <c r="L161">
        <v>369</v>
      </c>
      <c r="M161">
        <v>369</v>
      </c>
      <c r="N161">
        <v>369</v>
      </c>
      <c r="O161">
        <v>369</v>
      </c>
      <c r="P161">
        <v>369</v>
      </c>
      <c r="Q161">
        <v>369</v>
      </c>
      <c r="R161">
        <v>369</v>
      </c>
      <c r="S161">
        <v>369</v>
      </c>
      <c r="T161">
        <v>369</v>
      </c>
      <c r="U161">
        <v>369</v>
      </c>
      <c r="V161">
        <v>369</v>
      </c>
      <c r="W161">
        <v>369</v>
      </c>
      <c r="X161">
        <v>369</v>
      </c>
      <c r="Y161">
        <v>369</v>
      </c>
      <c r="Z161">
        <v>369</v>
      </c>
      <c r="AA161">
        <v>369</v>
      </c>
      <c r="AB161">
        <v>369</v>
      </c>
      <c r="AC161">
        <v>369</v>
      </c>
      <c r="AD161">
        <v>369</v>
      </c>
      <c r="AE161">
        <v>369</v>
      </c>
      <c r="AF161">
        <v>369</v>
      </c>
      <c r="AG161">
        <v>369</v>
      </c>
      <c r="AH161">
        <v>369</v>
      </c>
    </row>
    <row r="162" spans="1:34" x14ac:dyDescent="0.35">
      <c r="A162" t="s">
        <v>650</v>
      </c>
      <c r="B162">
        <v>113</v>
      </c>
      <c r="C162">
        <v>170</v>
      </c>
      <c r="D162">
        <v>245</v>
      </c>
      <c r="E162">
        <v>320</v>
      </c>
      <c r="F162">
        <v>369</v>
      </c>
      <c r="G162">
        <v>369</v>
      </c>
      <c r="H162">
        <v>369</v>
      </c>
      <c r="I162">
        <v>369</v>
      </c>
      <c r="J162">
        <v>369</v>
      </c>
      <c r="K162">
        <v>369</v>
      </c>
      <c r="L162">
        <v>369</v>
      </c>
      <c r="M162">
        <v>369</v>
      </c>
      <c r="N162">
        <v>369</v>
      </c>
      <c r="O162">
        <v>369</v>
      </c>
      <c r="P162">
        <v>369</v>
      </c>
      <c r="Q162">
        <v>369</v>
      </c>
      <c r="R162">
        <v>369</v>
      </c>
      <c r="S162">
        <v>369</v>
      </c>
      <c r="T162">
        <v>369</v>
      </c>
      <c r="U162">
        <v>369</v>
      </c>
      <c r="V162">
        <v>369</v>
      </c>
      <c r="W162">
        <v>369</v>
      </c>
      <c r="X162">
        <v>369</v>
      </c>
      <c r="Y162">
        <v>369</v>
      </c>
      <c r="Z162">
        <v>369</v>
      </c>
      <c r="AA162">
        <v>369</v>
      </c>
      <c r="AB162">
        <v>369</v>
      </c>
      <c r="AC162">
        <v>369</v>
      </c>
      <c r="AD162">
        <v>369</v>
      </c>
      <c r="AE162">
        <v>369</v>
      </c>
      <c r="AF162">
        <v>369</v>
      </c>
      <c r="AG162">
        <v>369</v>
      </c>
      <c r="AH162">
        <v>369</v>
      </c>
    </row>
    <row r="163" spans="1:34" x14ac:dyDescent="0.35">
      <c r="A163" t="s">
        <v>651</v>
      </c>
      <c r="B163">
        <v>113</v>
      </c>
      <c r="C163">
        <v>170</v>
      </c>
      <c r="D163">
        <v>245</v>
      </c>
      <c r="E163">
        <v>320</v>
      </c>
      <c r="F163">
        <v>369</v>
      </c>
      <c r="G163">
        <v>369</v>
      </c>
      <c r="H163">
        <v>369</v>
      </c>
      <c r="I163">
        <v>369</v>
      </c>
      <c r="J163">
        <v>369</v>
      </c>
      <c r="K163">
        <v>369</v>
      </c>
      <c r="L163">
        <v>369</v>
      </c>
      <c r="M163">
        <v>369</v>
      </c>
      <c r="N163">
        <v>369</v>
      </c>
      <c r="O163">
        <v>369</v>
      </c>
      <c r="P163">
        <v>369</v>
      </c>
      <c r="Q163">
        <v>369</v>
      </c>
      <c r="R163">
        <v>369</v>
      </c>
      <c r="S163">
        <v>369</v>
      </c>
      <c r="T163">
        <v>369</v>
      </c>
      <c r="U163">
        <v>369</v>
      </c>
      <c r="V163">
        <v>369</v>
      </c>
      <c r="W163">
        <v>369</v>
      </c>
      <c r="X163">
        <v>369</v>
      </c>
      <c r="Y163">
        <v>369</v>
      </c>
      <c r="Z163">
        <v>369</v>
      </c>
      <c r="AA163">
        <v>369</v>
      </c>
      <c r="AB163">
        <v>369</v>
      </c>
      <c r="AC163">
        <v>369</v>
      </c>
      <c r="AD163">
        <v>369</v>
      </c>
      <c r="AE163">
        <v>369</v>
      </c>
      <c r="AF163">
        <v>369</v>
      </c>
      <c r="AG163">
        <v>369</v>
      </c>
      <c r="AH163">
        <v>369</v>
      </c>
    </row>
    <row r="164" spans="1:34" x14ac:dyDescent="0.35">
      <c r="A164" t="s">
        <v>652</v>
      </c>
      <c r="B164">
        <v>113</v>
      </c>
      <c r="C164">
        <v>170</v>
      </c>
      <c r="D164">
        <v>245</v>
      </c>
      <c r="E164">
        <v>320</v>
      </c>
      <c r="F164">
        <v>369</v>
      </c>
      <c r="G164">
        <v>369</v>
      </c>
      <c r="H164">
        <v>369</v>
      </c>
      <c r="I164">
        <v>369</v>
      </c>
      <c r="J164">
        <v>369</v>
      </c>
      <c r="K164">
        <v>369</v>
      </c>
      <c r="L164">
        <v>369</v>
      </c>
      <c r="M164">
        <v>369</v>
      </c>
      <c r="N164">
        <v>369</v>
      </c>
      <c r="O164">
        <v>369</v>
      </c>
      <c r="P164">
        <v>369</v>
      </c>
      <c r="Q164">
        <v>369</v>
      </c>
      <c r="R164">
        <v>369</v>
      </c>
      <c r="S164">
        <v>369</v>
      </c>
      <c r="T164">
        <v>369</v>
      </c>
      <c r="U164">
        <v>369</v>
      </c>
      <c r="V164">
        <v>369</v>
      </c>
      <c r="W164">
        <v>369</v>
      </c>
      <c r="X164">
        <v>369</v>
      </c>
      <c r="Y164">
        <v>369</v>
      </c>
      <c r="Z164">
        <v>369</v>
      </c>
      <c r="AA164">
        <v>369</v>
      </c>
      <c r="AB164">
        <v>369</v>
      </c>
      <c r="AC164">
        <v>369</v>
      </c>
      <c r="AD164">
        <v>369</v>
      </c>
      <c r="AE164">
        <v>369</v>
      </c>
      <c r="AF164">
        <v>369</v>
      </c>
      <c r="AG164">
        <v>369</v>
      </c>
      <c r="AH164">
        <v>369</v>
      </c>
    </row>
    <row r="165" spans="1:34" x14ac:dyDescent="0.35">
      <c r="A165" t="s">
        <v>653</v>
      </c>
      <c r="B165">
        <v>148</v>
      </c>
      <c r="C165">
        <v>216</v>
      </c>
      <c r="D165">
        <v>301</v>
      </c>
      <c r="E165">
        <v>394</v>
      </c>
      <c r="F165">
        <v>455</v>
      </c>
      <c r="G165">
        <v>455</v>
      </c>
      <c r="H165">
        <v>455</v>
      </c>
      <c r="I165">
        <v>455</v>
      </c>
      <c r="J165">
        <v>455</v>
      </c>
      <c r="K165">
        <v>455</v>
      </c>
      <c r="L165">
        <v>455</v>
      </c>
      <c r="M165">
        <v>455</v>
      </c>
      <c r="N165">
        <v>455</v>
      </c>
      <c r="O165">
        <v>455</v>
      </c>
      <c r="P165">
        <v>455</v>
      </c>
      <c r="Q165">
        <v>455</v>
      </c>
      <c r="R165">
        <v>455</v>
      </c>
      <c r="S165">
        <v>455</v>
      </c>
      <c r="T165">
        <v>455</v>
      </c>
      <c r="U165">
        <v>455</v>
      </c>
      <c r="V165">
        <v>455</v>
      </c>
      <c r="W165">
        <v>455</v>
      </c>
      <c r="X165">
        <v>455</v>
      </c>
      <c r="Y165">
        <v>455</v>
      </c>
      <c r="Z165">
        <v>455</v>
      </c>
      <c r="AA165">
        <v>455</v>
      </c>
      <c r="AB165">
        <v>455</v>
      </c>
      <c r="AC165">
        <v>455</v>
      </c>
      <c r="AD165">
        <v>455</v>
      </c>
      <c r="AE165">
        <v>455</v>
      </c>
      <c r="AF165">
        <v>455</v>
      </c>
      <c r="AG165">
        <v>455</v>
      </c>
      <c r="AH165">
        <v>455</v>
      </c>
    </row>
    <row r="166" spans="1:34" x14ac:dyDescent="0.35">
      <c r="A166" t="s">
        <v>654</v>
      </c>
      <c r="B166">
        <v>113</v>
      </c>
      <c r="C166">
        <v>170</v>
      </c>
      <c r="D166">
        <v>245</v>
      </c>
      <c r="E166">
        <v>320</v>
      </c>
      <c r="F166">
        <v>369</v>
      </c>
      <c r="G166">
        <v>369</v>
      </c>
      <c r="H166">
        <v>369</v>
      </c>
      <c r="I166">
        <v>369</v>
      </c>
      <c r="J166">
        <v>369</v>
      </c>
      <c r="K166">
        <v>369</v>
      </c>
      <c r="L166">
        <v>369</v>
      </c>
      <c r="M166">
        <v>369</v>
      </c>
      <c r="N166">
        <v>369</v>
      </c>
      <c r="O166">
        <v>369</v>
      </c>
      <c r="P166">
        <v>369</v>
      </c>
      <c r="Q166">
        <v>369</v>
      </c>
      <c r="R166">
        <v>369</v>
      </c>
      <c r="S166">
        <v>369</v>
      </c>
      <c r="T166">
        <v>369</v>
      </c>
      <c r="U166">
        <v>369</v>
      </c>
      <c r="V166">
        <v>369</v>
      </c>
      <c r="W166">
        <v>369</v>
      </c>
      <c r="X166">
        <v>369</v>
      </c>
      <c r="Y166">
        <v>369</v>
      </c>
      <c r="Z166">
        <v>369</v>
      </c>
      <c r="AA166">
        <v>369</v>
      </c>
      <c r="AB166">
        <v>369</v>
      </c>
      <c r="AC166">
        <v>369</v>
      </c>
      <c r="AD166">
        <v>369</v>
      </c>
      <c r="AE166">
        <v>369</v>
      </c>
      <c r="AF166">
        <v>369</v>
      </c>
      <c r="AG166">
        <v>369</v>
      </c>
      <c r="AH166">
        <v>369</v>
      </c>
    </row>
    <row r="167" spans="1:34" x14ac:dyDescent="0.35">
      <c r="A167" t="s">
        <v>655</v>
      </c>
      <c r="B167">
        <v>113</v>
      </c>
      <c r="C167">
        <v>170</v>
      </c>
      <c r="D167">
        <v>245</v>
      </c>
      <c r="E167">
        <v>320</v>
      </c>
      <c r="F167">
        <v>369</v>
      </c>
      <c r="G167">
        <v>369</v>
      </c>
      <c r="H167">
        <v>369</v>
      </c>
      <c r="I167">
        <v>369</v>
      </c>
      <c r="J167">
        <v>369</v>
      </c>
      <c r="K167">
        <v>369</v>
      </c>
      <c r="L167">
        <v>369</v>
      </c>
      <c r="M167">
        <v>369</v>
      </c>
      <c r="N167">
        <v>369</v>
      </c>
      <c r="O167">
        <v>369</v>
      </c>
      <c r="P167">
        <v>369</v>
      </c>
      <c r="Q167">
        <v>369</v>
      </c>
      <c r="R167">
        <v>369</v>
      </c>
      <c r="S167">
        <v>369</v>
      </c>
      <c r="T167">
        <v>369</v>
      </c>
      <c r="U167">
        <v>369</v>
      </c>
      <c r="V167">
        <v>369</v>
      </c>
      <c r="W167">
        <v>369</v>
      </c>
      <c r="X167">
        <v>369</v>
      </c>
      <c r="Y167">
        <v>369</v>
      </c>
      <c r="Z167">
        <v>369</v>
      </c>
      <c r="AA167">
        <v>369</v>
      </c>
      <c r="AB167">
        <v>369</v>
      </c>
      <c r="AC167">
        <v>369</v>
      </c>
      <c r="AD167">
        <v>369</v>
      </c>
      <c r="AE167">
        <v>369</v>
      </c>
      <c r="AF167">
        <v>369</v>
      </c>
      <c r="AG167">
        <v>369</v>
      </c>
      <c r="AH167">
        <v>369</v>
      </c>
    </row>
    <row r="168" spans="1:34" x14ac:dyDescent="0.35">
      <c r="A168" t="s">
        <v>656</v>
      </c>
      <c r="B168">
        <v>113</v>
      </c>
      <c r="C168">
        <v>170</v>
      </c>
      <c r="D168">
        <v>245</v>
      </c>
      <c r="E168">
        <v>320</v>
      </c>
      <c r="F168">
        <v>369</v>
      </c>
      <c r="G168">
        <v>369</v>
      </c>
      <c r="H168">
        <v>369</v>
      </c>
      <c r="I168">
        <v>369</v>
      </c>
      <c r="J168">
        <v>369</v>
      </c>
      <c r="K168">
        <v>369</v>
      </c>
      <c r="L168">
        <v>369</v>
      </c>
      <c r="M168">
        <v>369</v>
      </c>
      <c r="N168">
        <v>369</v>
      </c>
      <c r="O168">
        <v>369</v>
      </c>
      <c r="P168">
        <v>369</v>
      </c>
      <c r="Q168">
        <v>369</v>
      </c>
      <c r="R168">
        <v>369</v>
      </c>
      <c r="S168">
        <v>369</v>
      </c>
      <c r="T168">
        <v>369</v>
      </c>
      <c r="U168">
        <v>369</v>
      </c>
      <c r="V168">
        <v>369</v>
      </c>
      <c r="W168">
        <v>369</v>
      </c>
      <c r="X168">
        <v>369</v>
      </c>
      <c r="Y168">
        <v>369</v>
      </c>
      <c r="Z168">
        <v>369</v>
      </c>
      <c r="AA168">
        <v>369</v>
      </c>
      <c r="AB168">
        <v>369</v>
      </c>
      <c r="AC168">
        <v>369</v>
      </c>
      <c r="AD168">
        <v>369</v>
      </c>
      <c r="AE168">
        <v>369</v>
      </c>
      <c r="AF168">
        <v>369</v>
      </c>
      <c r="AG168">
        <v>369</v>
      </c>
      <c r="AH168">
        <v>369</v>
      </c>
    </row>
    <row r="169" spans="1:34" x14ac:dyDescent="0.35">
      <c r="A169" t="s">
        <v>657</v>
      </c>
      <c r="B169">
        <v>113</v>
      </c>
      <c r="C169">
        <v>170</v>
      </c>
      <c r="D169">
        <v>245</v>
      </c>
      <c r="E169">
        <v>320</v>
      </c>
      <c r="F169">
        <v>369</v>
      </c>
      <c r="G169">
        <v>369</v>
      </c>
      <c r="H169">
        <v>369</v>
      </c>
      <c r="I169">
        <v>369</v>
      </c>
      <c r="J169">
        <v>369</v>
      </c>
      <c r="K169">
        <v>369</v>
      </c>
      <c r="L169">
        <v>369</v>
      </c>
      <c r="M169">
        <v>369</v>
      </c>
      <c r="N169">
        <v>369</v>
      </c>
      <c r="O169">
        <v>369</v>
      </c>
      <c r="P169">
        <v>369</v>
      </c>
      <c r="Q169">
        <v>369</v>
      </c>
      <c r="R169">
        <v>369</v>
      </c>
      <c r="S169">
        <v>369</v>
      </c>
      <c r="T169">
        <v>369</v>
      </c>
      <c r="U169">
        <v>369</v>
      </c>
      <c r="V169">
        <v>369</v>
      </c>
      <c r="W169">
        <v>369</v>
      </c>
      <c r="X169">
        <v>369</v>
      </c>
      <c r="Y169">
        <v>369</v>
      </c>
      <c r="Z169">
        <v>369</v>
      </c>
      <c r="AA169">
        <v>369</v>
      </c>
      <c r="AB169">
        <v>369</v>
      </c>
      <c r="AC169">
        <v>369</v>
      </c>
      <c r="AD169">
        <v>369</v>
      </c>
      <c r="AE169">
        <v>369</v>
      </c>
      <c r="AF169">
        <v>369</v>
      </c>
      <c r="AG169">
        <v>369</v>
      </c>
      <c r="AH169">
        <v>369</v>
      </c>
    </row>
    <row r="170" spans="1:34" x14ac:dyDescent="0.35">
      <c r="A170" t="s">
        <v>658</v>
      </c>
      <c r="B170">
        <v>148</v>
      </c>
      <c r="C170">
        <v>216</v>
      </c>
      <c r="D170">
        <v>301</v>
      </c>
      <c r="E170">
        <v>394</v>
      </c>
      <c r="F170">
        <v>455</v>
      </c>
      <c r="G170">
        <v>455</v>
      </c>
      <c r="H170">
        <v>455</v>
      </c>
      <c r="I170">
        <v>455</v>
      </c>
      <c r="J170">
        <v>455</v>
      </c>
      <c r="K170">
        <v>455</v>
      </c>
      <c r="L170">
        <v>455</v>
      </c>
      <c r="M170">
        <v>455</v>
      </c>
      <c r="N170">
        <v>455</v>
      </c>
      <c r="O170">
        <v>455</v>
      </c>
      <c r="P170">
        <v>455</v>
      </c>
      <c r="Q170">
        <v>455</v>
      </c>
      <c r="R170">
        <v>455</v>
      </c>
      <c r="S170">
        <v>455</v>
      </c>
      <c r="T170">
        <v>455</v>
      </c>
      <c r="U170">
        <v>455</v>
      </c>
      <c r="V170">
        <v>455</v>
      </c>
      <c r="W170">
        <v>455</v>
      </c>
      <c r="X170">
        <v>455</v>
      </c>
      <c r="Y170">
        <v>455</v>
      </c>
      <c r="Z170">
        <v>455</v>
      </c>
      <c r="AA170">
        <v>455</v>
      </c>
      <c r="AB170">
        <v>455</v>
      </c>
      <c r="AC170">
        <v>455</v>
      </c>
      <c r="AD170">
        <v>455</v>
      </c>
      <c r="AE170">
        <v>455</v>
      </c>
      <c r="AF170">
        <v>455</v>
      </c>
      <c r="AG170">
        <v>455</v>
      </c>
      <c r="AH170">
        <v>455</v>
      </c>
    </row>
    <row r="171" spans="1:34" x14ac:dyDescent="0.35">
      <c r="A171" t="s">
        <v>659</v>
      </c>
      <c r="B171">
        <v>148</v>
      </c>
      <c r="C171">
        <v>216</v>
      </c>
      <c r="D171">
        <v>301</v>
      </c>
      <c r="E171">
        <v>394</v>
      </c>
      <c r="F171">
        <v>455</v>
      </c>
      <c r="G171">
        <v>455</v>
      </c>
      <c r="H171">
        <v>455</v>
      </c>
      <c r="I171">
        <v>455</v>
      </c>
      <c r="J171">
        <v>455</v>
      </c>
      <c r="K171">
        <v>455</v>
      </c>
      <c r="L171">
        <v>455</v>
      </c>
      <c r="M171">
        <v>455</v>
      </c>
      <c r="N171">
        <v>455</v>
      </c>
      <c r="O171">
        <v>455</v>
      </c>
      <c r="P171">
        <v>455</v>
      </c>
      <c r="Q171">
        <v>455</v>
      </c>
      <c r="R171">
        <v>455</v>
      </c>
      <c r="S171">
        <v>455</v>
      </c>
      <c r="T171">
        <v>455</v>
      </c>
      <c r="U171">
        <v>455</v>
      </c>
      <c r="V171">
        <v>455</v>
      </c>
      <c r="W171">
        <v>455</v>
      </c>
      <c r="X171">
        <v>455</v>
      </c>
      <c r="Y171">
        <v>455</v>
      </c>
      <c r="Z171">
        <v>455</v>
      </c>
      <c r="AA171">
        <v>455</v>
      </c>
      <c r="AB171">
        <v>455</v>
      </c>
      <c r="AC171">
        <v>455</v>
      </c>
      <c r="AD171">
        <v>455</v>
      </c>
      <c r="AE171">
        <v>455</v>
      </c>
      <c r="AF171">
        <v>455</v>
      </c>
      <c r="AG171">
        <v>455</v>
      </c>
      <c r="AH171">
        <v>455</v>
      </c>
    </row>
    <row r="172" spans="1:34" x14ac:dyDescent="0.35">
      <c r="A172" t="s">
        <v>660</v>
      </c>
      <c r="B172">
        <v>148</v>
      </c>
      <c r="C172">
        <v>216</v>
      </c>
      <c r="D172">
        <v>301</v>
      </c>
      <c r="E172">
        <v>394</v>
      </c>
      <c r="F172">
        <v>455</v>
      </c>
      <c r="G172">
        <v>455</v>
      </c>
      <c r="H172">
        <v>455</v>
      </c>
      <c r="I172">
        <v>455</v>
      </c>
      <c r="J172">
        <v>455</v>
      </c>
      <c r="K172">
        <v>455</v>
      </c>
      <c r="L172">
        <v>455</v>
      </c>
      <c r="M172">
        <v>455</v>
      </c>
      <c r="N172">
        <v>455</v>
      </c>
      <c r="O172">
        <v>455</v>
      </c>
      <c r="P172">
        <v>455</v>
      </c>
      <c r="Q172">
        <v>455</v>
      </c>
      <c r="R172">
        <v>455</v>
      </c>
      <c r="S172">
        <v>455</v>
      </c>
      <c r="T172">
        <v>455</v>
      </c>
      <c r="U172">
        <v>455</v>
      </c>
      <c r="V172">
        <v>455</v>
      </c>
      <c r="W172">
        <v>455</v>
      </c>
      <c r="X172">
        <v>455</v>
      </c>
      <c r="Y172">
        <v>455</v>
      </c>
      <c r="Z172">
        <v>455</v>
      </c>
      <c r="AA172">
        <v>455</v>
      </c>
      <c r="AB172">
        <v>455</v>
      </c>
      <c r="AC172">
        <v>455</v>
      </c>
      <c r="AD172">
        <v>455</v>
      </c>
      <c r="AE172">
        <v>455</v>
      </c>
      <c r="AF172">
        <v>455</v>
      </c>
      <c r="AG172">
        <v>455</v>
      </c>
      <c r="AH172">
        <v>455</v>
      </c>
    </row>
    <row r="173" spans="1:34" x14ac:dyDescent="0.35">
      <c r="A173" t="s">
        <v>661</v>
      </c>
      <c r="B173">
        <v>148</v>
      </c>
      <c r="C173">
        <v>216</v>
      </c>
      <c r="D173">
        <v>301</v>
      </c>
      <c r="E173">
        <v>394</v>
      </c>
      <c r="F173">
        <v>455</v>
      </c>
      <c r="G173">
        <v>455</v>
      </c>
      <c r="H173">
        <v>455</v>
      </c>
      <c r="I173">
        <v>455</v>
      </c>
      <c r="J173">
        <v>455</v>
      </c>
      <c r="K173">
        <v>455</v>
      </c>
      <c r="L173">
        <v>455</v>
      </c>
      <c r="M173">
        <v>455</v>
      </c>
      <c r="N173">
        <v>455</v>
      </c>
      <c r="O173">
        <v>455</v>
      </c>
      <c r="P173">
        <v>455</v>
      </c>
      <c r="Q173">
        <v>455</v>
      </c>
      <c r="R173">
        <v>455</v>
      </c>
      <c r="S173">
        <v>455</v>
      </c>
      <c r="T173">
        <v>455</v>
      </c>
      <c r="U173">
        <v>455</v>
      </c>
      <c r="V173">
        <v>455</v>
      </c>
      <c r="W173">
        <v>455</v>
      </c>
      <c r="X173">
        <v>455</v>
      </c>
      <c r="Y173">
        <v>455</v>
      </c>
      <c r="Z173">
        <v>455</v>
      </c>
      <c r="AA173">
        <v>455</v>
      </c>
      <c r="AB173">
        <v>455</v>
      </c>
      <c r="AC173">
        <v>455</v>
      </c>
      <c r="AD173">
        <v>455</v>
      </c>
      <c r="AE173">
        <v>455</v>
      </c>
      <c r="AF173">
        <v>455</v>
      </c>
      <c r="AG173">
        <v>455</v>
      </c>
      <c r="AH173">
        <v>455</v>
      </c>
    </row>
    <row r="174" spans="1:34" x14ac:dyDescent="0.35">
      <c r="A174" t="s">
        <v>662</v>
      </c>
      <c r="B174">
        <v>148</v>
      </c>
      <c r="C174">
        <v>216</v>
      </c>
      <c r="D174">
        <v>301</v>
      </c>
      <c r="E174">
        <v>394</v>
      </c>
      <c r="F174">
        <v>455</v>
      </c>
      <c r="G174">
        <v>455</v>
      </c>
      <c r="H174">
        <v>455</v>
      </c>
      <c r="I174">
        <v>455</v>
      </c>
      <c r="J174">
        <v>455</v>
      </c>
      <c r="K174">
        <v>455</v>
      </c>
      <c r="L174">
        <v>455</v>
      </c>
      <c r="M174">
        <v>455</v>
      </c>
      <c r="N174">
        <v>455</v>
      </c>
      <c r="O174">
        <v>455</v>
      </c>
      <c r="P174">
        <v>455</v>
      </c>
      <c r="Q174">
        <v>455</v>
      </c>
      <c r="R174">
        <v>455</v>
      </c>
      <c r="S174">
        <v>455</v>
      </c>
      <c r="T174">
        <v>455</v>
      </c>
      <c r="U174">
        <v>455</v>
      </c>
      <c r="V174">
        <v>455</v>
      </c>
      <c r="W174">
        <v>455</v>
      </c>
      <c r="X174">
        <v>455</v>
      </c>
      <c r="Y174">
        <v>455</v>
      </c>
      <c r="Z174">
        <v>455</v>
      </c>
      <c r="AA174">
        <v>455</v>
      </c>
      <c r="AB174">
        <v>455</v>
      </c>
      <c r="AC174">
        <v>455</v>
      </c>
      <c r="AD174">
        <v>455</v>
      </c>
      <c r="AE174">
        <v>455</v>
      </c>
      <c r="AF174">
        <v>455</v>
      </c>
      <c r="AG174">
        <v>455</v>
      </c>
      <c r="AH174">
        <v>455</v>
      </c>
    </row>
    <row r="175" spans="1:34" x14ac:dyDescent="0.35">
      <c r="A175" t="s">
        <v>663</v>
      </c>
      <c r="B175">
        <v>148</v>
      </c>
      <c r="C175">
        <v>216</v>
      </c>
      <c r="D175">
        <v>301</v>
      </c>
      <c r="E175">
        <v>394</v>
      </c>
      <c r="F175">
        <v>455</v>
      </c>
      <c r="G175">
        <v>455</v>
      </c>
      <c r="H175">
        <v>455</v>
      </c>
      <c r="I175">
        <v>455</v>
      </c>
      <c r="J175">
        <v>455</v>
      </c>
      <c r="K175">
        <v>455</v>
      </c>
      <c r="L175">
        <v>455</v>
      </c>
      <c r="M175">
        <v>455</v>
      </c>
      <c r="N175">
        <v>455</v>
      </c>
      <c r="O175">
        <v>455</v>
      </c>
      <c r="P175">
        <v>455</v>
      </c>
      <c r="Q175">
        <v>455</v>
      </c>
      <c r="R175">
        <v>455</v>
      </c>
      <c r="S175">
        <v>455</v>
      </c>
      <c r="T175">
        <v>455</v>
      </c>
      <c r="U175">
        <v>455</v>
      </c>
      <c r="V175">
        <v>455</v>
      </c>
      <c r="W175">
        <v>455</v>
      </c>
      <c r="X175">
        <v>455</v>
      </c>
      <c r="Y175">
        <v>455</v>
      </c>
      <c r="Z175">
        <v>455</v>
      </c>
      <c r="AA175">
        <v>455</v>
      </c>
      <c r="AB175">
        <v>455</v>
      </c>
      <c r="AC175">
        <v>455</v>
      </c>
      <c r="AD175">
        <v>455</v>
      </c>
      <c r="AE175">
        <v>455</v>
      </c>
      <c r="AF175">
        <v>455</v>
      </c>
      <c r="AG175">
        <v>455</v>
      </c>
      <c r="AH175">
        <v>455</v>
      </c>
    </row>
    <row r="176" spans="1:34" x14ac:dyDescent="0.35">
      <c r="A176" t="s">
        <v>664</v>
      </c>
      <c r="B176">
        <v>148</v>
      </c>
      <c r="C176">
        <v>216</v>
      </c>
      <c r="D176">
        <v>301</v>
      </c>
      <c r="E176">
        <v>394</v>
      </c>
      <c r="F176">
        <v>455</v>
      </c>
      <c r="G176">
        <v>455</v>
      </c>
      <c r="H176">
        <v>455</v>
      </c>
      <c r="I176">
        <v>455</v>
      </c>
      <c r="J176">
        <v>455</v>
      </c>
      <c r="K176">
        <v>455</v>
      </c>
      <c r="L176">
        <v>455</v>
      </c>
      <c r="M176">
        <v>455</v>
      </c>
      <c r="N176">
        <v>455</v>
      </c>
      <c r="O176">
        <v>455</v>
      </c>
      <c r="P176">
        <v>455</v>
      </c>
      <c r="Q176">
        <v>455</v>
      </c>
      <c r="R176">
        <v>455</v>
      </c>
      <c r="S176">
        <v>455</v>
      </c>
      <c r="T176">
        <v>455</v>
      </c>
      <c r="U176">
        <v>455</v>
      </c>
      <c r="V176">
        <v>455</v>
      </c>
      <c r="W176">
        <v>455</v>
      </c>
      <c r="X176">
        <v>455</v>
      </c>
      <c r="Y176">
        <v>455</v>
      </c>
      <c r="Z176">
        <v>455</v>
      </c>
      <c r="AA176">
        <v>455</v>
      </c>
      <c r="AB176">
        <v>455</v>
      </c>
      <c r="AC176">
        <v>455</v>
      </c>
      <c r="AD176">
        <v>455</v>
      </c>
      <c r="AE176">
        <v>455</v>
      </c>
      <c r="AF176">
        <v>455</v>
      </c>
      <c r="AG176">
        <v>455</v>
      </c>
      <c r="AH176">
        <v>455</v>
      </c>
    </row>
    <row r="177" spans="1:34" x14ac:dyDescent="0.35">
      <c r="A177" t="s">
        <v>665</v>
      </c>
      <c r="B177">
        <v>148</v>
      </c>
      <c r="C177">
        <v>216</v>
      </c>
      <c r="D177">
        <v>301</v>
      </c>
      <c r="E177">
        <v>394</v>
      </c>
      <c r="F177">
        <v>455</v>
      </c>
      <c r="G177">
        <v>455</v>
      </c>
      <c r="H177">
        <v>455</v>
      </c>
      <c r="I177">
        <v>455</v>
      </c>
      <c r="J177">
        <v>455</v>
      </c>
      <c r="K177">
        <v>455</v>
      </c>
      <c r="L177">
        <v>455</v>
      </c>
      <c r="M177">
        <v>455</v>
      </c>
      <c r="N177">
        <v>455</v>
      </c>
      <c r="O177">
        <v>455</v>
      </c>
      <c r="P177">
        <v>455</v>
      </c>
      <c r="Q177">
        <v>455</v>
      </c>
      <c r="R177">
        <v>455</v>
      </c>
      <c r="S177">
        <v>455</v>
      </c>
      <c r="T177">
        <v>455</v>
      </c>
      <c r="U177">
        <v>455</v>
      </c>
      <c r="V177">
        <v>455</v>
      </c>
      <c r="W177">
        <v>455</v>
      </c>
      <c r="X177">
        <v>455</v>
      </c>
      <c r="Y177">
        <v>455</v>
      </c>
      <c r="Z177">
        <v>455</v>
      </c>
      <c r="AA177">
        <v>455</v>
      </c>
      <c r="AB177">
        <v>455</v>
      </c>
      <c r="AC177">
        <v>455</v>
      </c>
      <c r="AD177">
        <v>455</v>
      </c>
      <c r="AE177">
        <v>455</v>
      </c>
      <c r="AF177">
        <v>455</v>
      </c>
      <c r="AG177">
        <v>455</v>
      </c>
      <c r="AH177">
        <v>455</v>
      </c>
    </row>
    <row r="178" spans="1:34" x14ac:dyDescent="0.35">
      <c r="A178" t="s">
        <v>666</v>
      </c>
      <c r="B178">
        <v>148</v>
      </c>
      <c r="C178">
        <v>216</v>
      </c>
      <c r="D178">
        <v>301</v>
      </c>
      <c r="E178">
        <v>394</v>
      </c>
      <c r="F178">
        <v>455</v>
      </c>
      <c r="G178">
        <v>455</v>
      </c>
      <c r="H178">
        <v>455</v>
      </c>
      <c r="I178">
        <v>455</v>
      </c>
      <c r="J178">
        <v>455</v>
      </c>
      <c r="K178">
        <v>455</v>
      </c>
      <c r="L178">
        <v>455</v>
      </c>
      <c r="M178">
        <v>455</v>
      </c>
      <c r="N178">
        <v>455</v>
      </c>
      <c r="O178">
        <v>455</v>
      </c>
      <c r="P178">
        <v>455</v>
      </c>
      <c r="Q178">
        <v>455</v>
      </c>
      <c r="R178">
        <v>455</v>
      </c>
      <c r="S178">
        <v>455</v>
      </c>
      <c r="T178">
        <v>455</v>
      </c>
      <c r="U178">
        <v>455</v>
      </c>
      <c r="V178">
        <v>455</v>
      </c>
      <c r="W178">
        <v>455</v>
      </c>
      <c r="X178">
        <v>455</v>
      </c>
      <c r="Y178">
        <v>455</v>
      </c>
      <c r="Z178">
        <v>455</v>
      </c>
      <c r="AA178">
        <v>455</v>
      </c>
      <c r="AB178">
        <v>455</v>
      </c>
      <c r="AC178">
        <v>455</v>
      </c>
      <c r="AD178">
        <v>455</v>
      </c>
      <c r="AE178">
        <v>455</v>
      </c>
      <c r="AF178">
        <v>455</v>
      </c>
      <c r="AG178">
        <v>455</v>
      </c>
      <c r="AH178">
        <v>455</v>
      </c>
    </row>
    <row r="179" spans="1:34" x14ac:dyDescent="0.35">
      <c r="A179" t="s">
        <v>667</v>
      </c>
      <c r="B179">
        <v>148</v>
      </c>
      <c r="C179">
        <v>216</v>
      </c>
      <c r="D179">
        <v>301</v>
      </c>
      <c r="E179">
        <v>394</v>
      </c>
      <c r="F179">
        <v>455</v>
      </c>
      <c r="G179">
        <v>455</v>
      </c>
      <c r="H179">
        <v>455</v>
      </c>
      <c r="I179">
        <v>455</v>
      </c>
      <c r="J179">
        <v>455</v>
      </c>
      <c r="K179">
        <v>455</v>
      </c>
      <c r="L179">
        <v>455</v>
      </c>
      <c r="M179">
        <v>455</v>
      </c>
      <c r="N179">
        <v>455</v>
      </c>
      <c r="O179">
        <v>455</v>
      </c>
      <c r="P179">
        <v>455</v>
      </c>
      <c r="Q179">
        <v>455</v>
      </c>
      <c r="R179">
        <v>455</v>
      </c>
      <c r="S179">
        <v>455</v>
      </c>
      <c r="T179">
        <v>455</v>
      </c>
      <c r="U179">
        <v>455</v>
      </c>
      <c r="V179">
        <v>455</v>
      </c>
      <c r="W179">
        <v>455</v>
      </c>
      <c r="X179">
        <v>455</v>
      </c>
      <c r="Y179">
        <v>455</v>
      </c>
      <c r="Z179">
        <v>455</v>
      </c>
      <c r="AA179">
        <v>455</v>
      </c>
      <c r="AB179">
        <v>455</v>
      </c>
      <c r="AC179">
        <v>455</v>
      </c>
      <c r="AD179">
        <v>455</v>
      </c>
      <c r="AE179">
        <v>455</v>
      </c>
      <c r="AF179">
        <v>455</v>
      </c>
      <c r="AG179">
        <v>455</v>
      </c>
      <c r="AH179">
        <v>455</v>
      </c>
    </row>
    <row r="180" spans="1:34" x14ac:dyDescent="0.35">
      <c r="A180" t="s">
        <v>668</v>
      </c>
      <c r="B180">
        <v>148</v>
      </c>
      <c r="C180">
        <v>216</v>
      </c>
      <c r="D180">
        <v>301</v>
      </c>
      <c r="E180">
        <v>394</v>
      </c>
      <c r="F180">
        <v>455</v>
      </c>
      <c r="G180">
        <v>455</v>
      </c>
      <c r="H180">
        <v>455</v>
      </c>
      <c r="I180">
        <v>455</v>
      </c>
      <c r="J180">
        <v>455</v>
      </c>
      <c r="K180">
        <v>455</v>
      </c>
      <c r="L180">
        <v>455</v>
      </c>
      <c r="M180">
        <v>455</v>
      </c>
      <c r="N180">
        <v>455</v>
      </c>
      <c r="O180">
        <v>455</v>
      </c>
      <c r="P180">
        <v>455</v>
      </c>
      <c r="Q180">
        <v>455</v>
      </c>
      <c r="R180">
        <v>455</v>
      </c>
      <c r="S180">
        <v>455</v>
      </c>
      <c r="T180">
        <v>455</v>
      </c>
      <c r="U180">
        <v>455</v>
      </c>
      <c r="V180">
        <v>455</v>
      </c>
      <c r="W180">
        <v>455</v>
      </c>
      <c r="X180">
        <v>455</v>
      </c>
      <c r="Y180">
        <v>455</v>
      </c>
      <c r="Z180">
        <v>455</v>
      </c>
      <c r="AA180">
        <v>455</v>
      </c>
      <c r="AB180">
        <v>455</v>
      </c>
      <c r="AC180">
        <v>455</v>
      </c>
      <c r="AD180">
        <v>455</v>
      </c>
      <c r="AE180">
        <v>455</v>
      </c>
      <c r="AF180">
        <v>455</v>
      </c>
      <c r="AG180">
        <v>455</v>
      </c>
      <c r="AH180">
        <v>455</v>
      </c>
    </row>
    <row r="181" spans="1:34" x14ac:dyDescent="0.35">
      <c r="A181" t="s">
        <v>669</v>
      </c>
      <c r="B181">
        <v>148</v>
      </c>
      <c r="C181">
        <v>216</v>
      </c>
      <c r="D181">
        <v>301</v>
      </c>
      <c r="E181">
        <v>394</v>
      </c>
      <c r="F181">
        <v>455</v>
      </c>
      <c r="G181">
        <v>455</v>
      </c>
      <c r="H181">
        <v>455</v>
      </c>
      <c r="I181">
        <v>455</v>
      </c>
      <c r="J181">
        <v>455</v>
      </c>
      <c r="K181">
        <v>455</v>
      </c>
      <c r="L181">
        <v>455</v>
      </c>
      <c r="M181">
        <v>455</v>
      </c>
      <c r="N181">
        <v>455</v>
      </c>
      <c r="O181">
        <v>455</v>
      </c>
      <c r="P181">
        <v>455</v>
      </c>
      <c r="Q181">
        <v>455</v>
      </c>
      <c r="R181">
        <v>455</v>
      </c>
      <c r="S181">
        <v>455</v>
      </c>
      <c r="T181">
        <v>455</v>
      </c>
      <c r="U181">
        <v>455</v>
      </c>
      <c r="V181">
        <v>455</v>
      </c>
      <c r="W181">
        <v>455</v>
      </c>
      <c r="X181">
        <v>455</v>
      </c>
      <c r="Y181">
        <v>455</v>
      </c>
      <c r="Z181">
        <v>455</v>
      </c>
      <c r="AA181">
        <v>455</v>
      </c>
      <c r="AB181">
        <v>455</v>
      </c>
      <c r="AC181">
        <v>455</v>
      </c>
      <c r="AD181">
        <v>455</v>
      </c>
      <c r="AE181">
        <v>455</v>
      </c>
      <c r="AF181">
        <v>455</v>
      </c>
      <c r="AG181">
        <v>455</v>
      </c>
      <c r="AH181">
        <v>455</v>
      </c>
    </row>
    <row r="182" spans="1:34" x14ac:dyDescent="0.35">
      <c r="A182" t="s">
        <v>670</v>
      </c>
      <c r="B182">
        <v>148</v>
      </c>
      <c r="C182">
        <v>216</v>
      </c>
      <c r="D182">
        <v>301</v>
      </c>
      <c r="E182">
        <v>394</v>
      </c>
      <c r="F182">
        <v>455</v>
      </c>
      <c r="G182">
        <v>455</v>
      </c>
      <c r="H182">
        <v>455</v>
      </c>
      <c r="I182">
        <v>455</v>
      </c>
      <c r="J182">
        <v>455</v>
      </c>
      <c r="K182">
        <v>455</v>
      </c>
      <c r="L182">
        <v>455</v>
      </c>
      <c r="M182">
        <v>455</v>
      </c>
      <c r="N182">
        <v>455</v>
      </c>
      <c r="O182">
        <v>455</v>
      </c>
      <c r="P182">
        <v>455</v>
      </c>
      <c r="Q182">
        <v>455</v>
      </c>
      <c r="R182">
        <v>455</v>
      </c>
      <c r="S182">
        <v>455</v>
      </c>
      <c r="T182">
        <v>455</v>
      </c>
      <c r="U182">
        <v>455</v>
      </c>
      <c r="V182">
        <v>455</v>
      </c>
      <c r="W182">
        <v>455</v>
      </c>
      <c r="X182">
        <v>455</v>
      </c>
      <c r="Y182">
        <v>455</v>
      </c>
      <c r="Z182">
        <v>455</v>
      </c>
      <c r="AA182">
        <v>455</v>
      </c>
      <c r="AB182">
        <v>455</v>
      </c>
      <c r="AC182">
        <v>455</v>
      </c>
      <c r="AD182">
        <v>455</v>
      </c>
      <c r="AE182">
        <v>455</v>
      </c>
      <c r="AF182">
        <v>455</v>
      </c>
      <c r="AG182">
        <v>455</v>
      </c>
      <c r="AH182">
        <v>455</v>
      </c>
    </row>
    <row r="183" spans="1:34" x14ac:dyDescent="0.35">
      <c r="A183" t="s">
        <v>671</v>
      </c>
      <c r="B183">
        <v>148</v>
      </c>
      <c r="C183">
        <v>216</v>
      </c>
      <c r="D183">
        <v>301</v>
      </c>
      <c r="E183">
        <v>394</v>
      </c>
      <c r="F183">
        <v>455</v>
      </c>
      <c r="G183">
        <v>455</v>
      </c>
      <c r="H183">
        <v>455</v>
      </c>
      <c r="I183">
        <v>455</v>
      </c>
      <c r="J183">
        <v>455</v>
      </c>
      <c r="K183">
        <v>455</v>
      </c>
      <c r="L183">
        <v>455</v>
      </c>
      <c r="M183">
        <v>455</v>
      </c>
      <c r="N183">
        <v>455</v>
      </c>
      <c r="O183">
        <v>455</v>
      </c>
      <c r="P183">
        <v>455</v>
      </c>
      <c r="Q183">
        <v>455</v>
      </c>
      <c r="R183">
        <v>455</v>
      </c>
      <c r="S183">
        <v>455</v>
      </c>
      <c r="T183">
        <v>455</v>
      </c>
      <c r="U183">
        <v>455</v>
      </c>
      <c r="V183">
        <v>455</v>
      </c>
      <c r="W183">
        <v>455</v>
      </c>
      <c r="X183">
        <v>455</v>
      </c>
      <c r="Y183">
        <v>455</v>
      </c>
      <c r="Z183">
        <v>455</v>
      </c>
      <c r="AA183">
        <v>455</v>
      </c>
      <c r="AB183">
        <v>455</v>
      </c>
      <c r="AC183">
        <v>455</v>
      </c>
      <c r="AD183">
        <v>455</v>
      </c>
      <c r="AE183">
        <v>455</v>
      </c>
      <c r="AF183">
        <v>455</v>
      </c>
      <c r="AG183">
        <v>455</v>
      </c>
      <c r="AH183">
        <v>455</v>
      </c>
    </row>
    <row r="184" spans="1:34" x14ac:dyDescent="0.35">
      <c r="A184" t="s">
        <v>672</v>
      </c>
      <c r="B184">
        <v>148</v>
      </c>
      <c r="C184">
        <v>216</v>
      </c>
      <c r="D184">
        <v>301</v>
      </c>
      <c r="E184">
        <v>394</v>
      </c>
      <c r="F184">
        <v>455</v>
      </c>
      <c r="G184">
        <v>455</v>
      </c>
      <c r="H184">
        <v>455</v>
      </c>
      <c r="I184">
        <v>455</v>
      </c>
      <c r="J184">
        <v>455</v>
      </c>
      <c r="K184">
        <v>455</v>
      </c>
      <c r="L184">
        <v>455</v>
      </c>
      <c r="M184">
        <v>455</v>
      </c>
      <c r="N184">
        <v>455</v>
      </c>
      <c r="O184">
        <v>455</v>
      </c>
      <c r="P184">
        <v>455</v>
      </c>
      <c r="Q184">
        <v>455</v>
      </c>
      <c r="R184">
        <v>455</v>
      </c>
      <c r="S184">
        <v>455</v>
      </c>
      <c r="T184">
        <v>455</v>
      </c>
      <c r="U184">
        <v>455</v>
      </c>
      <c r="V184">
        <v>455</v>
      </c>
      <c r="W184">
        <v>455</v>
      </c>
      <c r="X184">
        <v>455</v>
      </c>
      <c r="Y184">
        <v>455</v>
      </c>
      <c r="Z184">
        <v>455</v>
      </c>
      <c r="AA184">
        <v>455</v>
      </c>
      <c r="AB184">
        <v>455</v>
      </c>
      <c r="AC184">
        <v>455</v>
      </c>
      <c r="AD184">
        <v>455</v>
      </c>
      <c r="AE184">
        <v>455</v>
      </c>
      <c r="AF184">
        <v>455</v>
      </c>
      <c r="AG184">
        <v>455</v>
      </c>
      <c r="AH184">
        <v>455</v>
      </c>
    </row>
    <row r="185" spans="1:34" x14ac:dyDescent="0.35">
      <c r="A185" t="s">
        <v>673</v>
      </c>
      <c r="B185">
        <v>148</v>
      </c>
      <c r="C185">
        <v>216</v>
      </c>
      <c r="D185">
        <v>301</v>
      </c>
      <c r="E185">
        <v>394</v>
      </c>
      <c r="F185">
        <v>455</v>
      </c>
      <c r="G185">
        <v>455</v>
      </c>
      <c r="H185">
        <v>455</v>
      </c>
      <c r="I185">
        <v>455</v>
      </c>
      <c r="J185">
        <v>455</v>
      </c>
      <c r="K185">
        <v>455</v>
      </c>
      <c r="L185">
        <v>455</v>
      </c>
      <c r="M185">
        <v>455</v>
      </c>
      <c r="N185">
        <v>455</v>
      </c>
      <c r="O185">
        <v>455</v>
      </c>
      <c r="P185">
        <v>455</v>
      </c>
      <c r="Q185">
        <v>455</v>
      </c>
      <c r="R185">
        <v>455</v>
      </c>
      <c r="S185">
        <v>455</v>
      </c>
      <c r="T185">
        <v>455</v>
      </c>
      <c r="U185">
        <v>455</v>
      </c>
      <c r="V185">
        <v>455</v>
      </c>
      <c r="W185">
        <v>455</v>
      </c>
      <c r="X185">
        <v>455</v>
      </c>
      <c r="Y185">
        <v>455</v>
      </c>
      <c r="Z185">
        <v>455</v>
      </c>
      <c r="AA185">
        <v>455</v>
      </c>
      <c r="AB185">
        <v>455</v>
      </c>
      <c r="AC185">
        <v>455</v>
      </c>
      <c r="AD185">
        <v>455</v>
      </c>
      <c r="AE185">
        <v>455</v>
      </c>
      <c r="AF185">
        <v>455</v>
      </c>
      <c r="AG185">
        <v>455</v>
      </c>
      <c r="AH185">
        <v>455</v>
      </c>
    </row>
    <row r="186" spans="1:34" x14ac:dyDescent="0.35">
      <c r="A186" t="s">
        <v>674</v>
      </c>
      <c r="B186">
        <v>148</v>
      </c>
      <c r="C186">
        <v>216</v>
      </c>
      <c r="D186">
        <v>301</v>
      </c>
      <c r="E186">
        <v>394</v>
      </c>
      <c r="F186">
        <v>455</v>
      </c>
      <c r="G186">
        <v>455</v>
      </c>
      <c r="H186">
        <v>455</v>
      </c>
      <c r="I186">
        <v>455</v>
      </c>
      <c r="J186">
        <v>455</v>
      </c>
      <c r="K186">
        <v>455</v>
      </c>
      <c r="L186">
        <v>455</v>
      </c>
      <c r="M186">
        <v>455</v>
      </c>
      <c r="N186">
        <v>455</v>
      </c>
      <c r="O186">
        <v>455</v>
      </c>
      <c r="P186">
        <v>455</v>
      </c>
      <c r="Q186">
        <v>455</v>
      </c>
      <c r="R186">
        <v>455</v>
      </c>
      <c r="S186">
        <v>455</v>
      </c>
      <c r="T186">
        <v>455</v>
      </c>
      <c r="U186">
        <v>455</v>
      </c>
      <c r="V186">
        <v>455</v>
      </c>
      <c r="W186">
        <v>455</v>
      </c>
      <c r="X186">
        <v>455</v>
      </c>
      <c r="Y186">
        <v>455</v>
      </c>
      <c r="Z186">
        <v>455</v>
      </c>
      <c r="AA186">
        <v>455</v>
      </c>
      <c r="AB186">
        <v>455</v>
      </c>
      <c r="AC186">
        <v>455</v>
      </c>
      <c r="AD186">
        <v>455</v>
      </c>
      <c r="AE186">
        <v>455</v>
      </c>
      <c r="AF186">
        <v>455</v>
      </c>
      <c r="AG186">
        <v>455</v>
      </c>
      <c r="AH186">
        <v>455</v>
      </c>
    </row>
    <row r="187" spans="1:34" x14ac:dyDescent="0.35">
      <c r="A187" t="s">
        <v>675</v>
      </c>
      <c r="B187">
        <v>148</v>
      </c>
      <c r="C187">
        <v>216</v>
      </c>
      <c r="D187">
        <v>301</v>
      </c>
      <c r="E187">
        <v>394</v>
      </c>
      <c r="F187">
        <v>455</v>
      </c>
      <c r="G187">
        <v>455</v>
      </c>
      <c r="H187">
        <v>455</v>
      </c>
      <c r="I187">
        <v>455</v>
      </c>
      <c r="J187">
        <v>455</v>
      </c>
      <c r="K187">
        <v>455</v>
      </c>
      <c r="L187">
        <v>455</v>
      </c>
      <c r="M187">
        <v>455</v>
      </c>
      <c r="N187">
        <v>455</v>
      </c>
      <c r="O187">
        <v>455</v>
      </c>
      <c r="P187">
        <v>455</v>
      </c>
      <c r="Q187">
        <v>455</v>
      </c>
      <c r="R187">
        <v>455</v>
      </c>
      <c r="S187">
        <v>455</v>
      </c>
      <c r="T187">
        <v>455</v>
      </c>
      <c r="U187">
        <v>455</v>
      </c>
      <c r="V187">
        <v>455</v>
      </c>
      <c r="W187">
        <v>455</v>
      </c>
      <c r="X187">
        <v>455</v>
      </c>
      <c r="Y187">
        <v>455</v>
      </c>
      <c r="Z187">
        <v>455</v>
      </c>
      <c r="AA187">
        <v>455</v>
      </c>
      <c r="AB187">
        <v>455</v>
      </c>
      <c r="AC187">
        <v>455</v>
      </c>
      <c r="AD187">
        <v>455</v>
      </c>
      <c r="AE187">
        <v>455</v>
      </c>
      <c r="AF187">
        <v>455</v>
      </c>
      <c r="AG187">
        <v>455</v>
      </c>
      <c r="AH187">
        <v>455</v>
      </c>
    </row>
    <row r="188" spans="1:34" x14ac:dyDescent="0.35">
      <c r="A188" t="s">
        <v>676</v>
      </c>
      <c r="B188">
        <v>148</v>
      </c>
      <c r="C188">
        <v>216</v>
      </c>
      <c r="D188">
        <v>301</v>
      </c>
      <c r="E188">
        <v>394</v>
      </c>
      <c r="F188">
        <v>455</v>
      </c>
      <c r="G188">
        <v>455</v>
      </c>
      <c r="H188">
        <v>455</v>
      </c>
      <c r="I188">
        <v>455</v>
      </c>
      <c r="J188">
        <v>455</v>
      </c>
      <c r="K188">
        <v>455</v>
      </c>
      <c r="L188">
        <v>455</v>
      </c>
      <c r="M188">
        <v>455</v>
      </c>
      <c r="N188">
        <v>455</v>
      </c>
      <c r="O188">
        <v>455</v>
      </c>
      <c r="P188">
        <v>455</v>
      </c>
      <c r="Q188">
        <v>455</v>
      </c>
      <c r="R188">
        <v>455</v>
      </c>
      <c r="S188">
        <v>455</v>
      </c>
      <c r="T188">
        <v>455</v>
      </c>
      <c r="U188">
        <v>455</v>
      </c>
      <c r="V188">
        <v>455</v>
      </c>
      <c r="W188">
        <v>455</v>
      </c>
      <c r="X188">
        <v>455</v>
      </c>
      <c r="Y188">
        <v>455</v>
      </c>
      <c r="Z188">
        <v>455</v>
      </c>
      <c r="AA188">
        <v>455</v>
      </c>
      <c r="AB188">
        <v>455</v>
      </c>
      <c r="AC188">
        <v>455</v>
      </c>
      <c r="AD188">
        <v>455</v>
      </c>
      <c r="AE188">
        <v>455</v>
      </c>
      <c r="AF188">
        <v>455</v>
      </c>
      <c r="AG188">
        <v>455</v>
      </c>
      <c r="AH188">
        <v>455</v>
      </c>
    </row>
    <row r="189" spans="1:34" x14ac:dyDescent="0.35">
      <c r="A189" t="s">
        <v>677</v>
      </c>
      <c r="B189">
        <v>148</v>
      </c>
      <c r="C189">
        <v>216</v>
      </c>
      <c r="D189">
        <v>301</v>
      </c>
      <c r="E189">
        <v>394</v>
      </c>
      <c r="F189">
        <v>455</v>
      </c>
      <c r="G189">
        <v>455</v>
      </c>
      <c r="H189">
        <v>455</v>
      </c>
      <c r="I189">
        <v>455</v>
      </c>
      <c r="J189">
        <v>455</v>
      </c>
      <c r="K189">
        <v>455</v>
      </c>
      <c r="L189">
        <v>455</v>
      </c>
      <c r="M189">
        <v>455</v>
      </c>
      <c r="N189">
        <v>455</v>
      </c>
      <c r="O189">
        <v>455</v>
      </c>
      <c r="P189">
        <v>455</v>
      </c>
      <c r="Q189">
        <v>455</v>
      </c>
      <c r="R189">
        <v>455</v>
      </c>
      <c r="S189">
        <v>455</v>
      </c>
      <c r="T189">
        <v>455</v>
      </c>
      <c r="U189">
        <v>455</v>
      </c>
      <c r="V189">
        <v>455</v>
      </c>
      <c r="W189">
        <v>455</v>
      </c>
      <c r="X189">
        <v>455</v>
      </c>
      <c r="Y189">
        <v>455</v>
      </c>
      <c r="Z189">
        <v>455</v>
      </c>
      <c r="AA189">
        <v>455</v>
      </c>
      <c r="AB189">
        <v>455</v>
      </c>
      <c r="AC189">
        <v>455</v>
      </c>
      <c r="AD189">
        <v>455</v>
      </c>
      <c r="AE189">
        <v>455</v>
      </c>
      <c r="AF189">
        <v>455</v>
      </c>
      <c r="AG189">
        <v>455</v>
      </c>
      <c r="AH189">
        <v>455</v>
      </c>
    </row>
    <row r="190" spans="1:34" x14ac:dyDescent="0.35">
      <c r="A190" t="s">
        <v>678</v>
      </c>
      <c r="B190">
        <v>148</v>
      </c>
      <c r="C190">
        <v>216</v>
      </c>
      <c r="D190">
        <v>301</v>
      </c>
      <c r="E190">
        <v>394</v>
      </c>
      <c r="F190">
        <v>455</v>
      </c>
      <c r="G190">
        <v>455</v>
      </c>
      <c r="H190">
        <v>455</v>
      </c>
      <c r="I190">
        <v>455</v>
      </c>
      <c r="J190">
        <v>455</v>
      </c>
      <c r="K190">
        <v>455</v>
      </c>
      <c r="L190">
        <v>455</v>
      </c>
      <c r="M190">
        <v>455</v>
      </c>
      <c r="N190">
        <v>455</v>
      </c>
      <c r="O190">
        <v>455</v>
      </c>
      <c r="P190">
        <v>455</v>
      </c>
      <c r="Q190">
        <v>455</v>
      </c>
      <c r="R190">
        <v>455</v>
      </c>
      <c r="S190">
        <v>455</v>
      </c>
      <c r="T190">
        <v>455</v>
      </c>
      <c r="U190">
        <v>455</v>
      </c>
      <c r="V190">
        <v>455</v>
      </c>
      <c r="W190">
        <v>455</v>
      </c>
      <c r="X190">
        <v>455</v>
      </c>
      <c r="Y190">
        <v>455</v>
      </c>
      <c r="Z190">
        <v>455</v>
      </c>
      <c r="AA190">
        <v>455</v>
      </c>
      <c r="AB190">
        <v>455</v>
      </c>
      <c r="AC190">
        <v>455</v>
      </c>
      <c r="AD190">
        <v>455</v>
      </c>
      <c r="AE190">
        <v>455</v>
      </c>
      <c r="AF190">
        <v>455</v>
      </c>
      <c r="AG190">
        <v>455</v>
      </c>
      <c r="AH190">
        <v>455</v>
      </c>
    </row>
    <row r="191" spans="1:34" x14ac:dyDescent="0.35">
      <c r="A191" t="s">
        <v>679</v>
      </c>
      <c r="B191">
        <v>148</v>
      </c>
      <c r="C191">
        <v>216</v>
      </c>
      <c r="D191">
        <v>301</v>
      </c>
      <c r="E191">
        <v>394</v>
      </c>
      <c r="F191">
        <v>455</v>
      </c>
      <c r="G191">
        <v>455</v>
      </c>
      <c r="H191">
        <v>455</v>
      </c>
      <c r="I191">
        <v>455</v>
      </c>
      <c r="J191">
        <v>455</v>
      </c>
      <c r="K191">
        <v>455</v>
      </c>
      <c r="L191">
        <v>455</v>
      </c>
      <c r="M191">
        <v>455</v>
      </c>
      <c r="N191">
        <v>455</v>
      </c>
      <c r="O191">
        <v>455</v>
      </c>
      <c r="P191">
        <v>455</v>
      </c>
      <c r="Q191">
        <v>455</v>
      </c>
      <c r="R191">
        <v>455</v>
      </c>
      <c r="S191">
        <v>455</v>
      </c>
      <c r="T191">
        <v>455</v>
      </c>
      <c r="U191">
        <v>455</v>
      </c>
      <c r="V191">
        <v>455</v>
      </c>
      <c r="W191">
        <v>455</v>
      </c>
      <c r="X191">
        <v>455</v>
      </c>
      <c r="Y191">
        <v>455</v>
      </c>
      <c r="Z191">
        <v>455</v>
      </c>
      <c r="AA191">
        <v>455</v>
      </c>
      <c r="AB191">
        <v>455</v>
      </c>
      <c r="AC191">
        <v>455</v>
      </c>
      <c r="AD191">
        <v>455</v>
      </c>
      <c r="AE191">
        <v>455</v>
      </c>
      <c r="AF191">
        <v>455</v>
      </c>
      <c r="AG191">
        <v>455</v>
      </c>
      <c r="AH191">
        <v>455</v>
      </c>
    </row>
    <row r="192" spans="1:34" x14ac:dyDescent="0.35">
      <c r="A192" t="s">
        <v>680</v>
      </c>
      <c r="B192">
        <v>148</v>
      </c>
      <c r="C192">
        <v>216</v>
      </c>
      <c r="D192">
        <v>301</v>
      </c>
      <c r="E192">
        <v>394</v>
      </c>
      <c r="F192">
        <v>455</v>
      </c>
      <c r="G192">
        <v>455</v>
      </c>
      <c r="H192">
        <v>455</v>
      </c>
      <c r="I192">
        <v>455</v>
      </c>
      <c r="J192">
        <v>455</v>
      </c>
      <c r="K192">
        <v>455</v>
      </c>
      <c r="L192">
        <v>455</v>
      </c>
      <c r="M192">
        <v>455</v>
      </c>
      <c r="N192">
        <v>455</v>
      </c>
      <c r="O192">
        <v>455</v>
      </c>
      <c r="P192">
        <v>455</v>
      </c>
      <c r="Q192">
        <v>455</v>
      </c>
      <c r="R192">
        <v>455</v>
      </c>
      <c r="S192">
        <v>455</v>
      </c>
      <c r="T192">
        <v>455</v>
      </c>
      <c r="U192">
        <v>455</v>
      </c>
      <c r="V192">
        <v>455</v>
      </c>
      <c r="W192">
        <v>455</v>
      </c>
      <c r="X192">
        <v>455</v>
      </c>
      <c r="Y192">
        <v>455</v>
      </c>
      <c r="Z192">
        <v>455</v>
      </c>
      <c r="AA192">
        <v>455</v>
      </c>
      <c r="AB192">
        <v>455</v>
      </c>
      <c r="AC192">
        <v>455</v>
      </c>
      <c r="AD192">
        <v>455</v>
      </c>
      <c r="AE192">
        <v>455</v>
      </c>
      <c r="AF192">
        <v>455</v>
      </c>
      <c r="AG192">
        <v>455</v>
      </c>
      <c r="AH192">
        <v>455</v>
      </c>
    </row>
    <row r="193" spans="1:34" x14ac:dyDescent="0.35">
      <c r="A193" t="s">
        <v>681</v>
      </c>
      <c r="B193">
        <v>148</v>
      </c>
      <c r="C193">
        <v>216</v>
      </c>
      <c r="D193">
        <v>301</v>
      </c>
      <c r="E193">
        <v>394</v>
      </c>
      <c r="F193">
        <v>455</v>
      </c>
      <c r="G193">
        <v>455</v>
      </c>
      <c r="H193">
        <v>455</v>
      </c>
      <c r="I193">
        <v>455</v>
      </c>
      <c r="J193">
        <v>455</v>
      </c>
      <c r="K193">
        <v>455</v>
      </c>
      <c r="L193">
        <v>455</v>
      </c>
      <c r="M193">
        <v>455</v>
      </c>
      <c r="N193">
        <v>455</v>
      </c>
      <c r="O193">
        <v>455</v>
      </c>
      <c r="P193">
        <v>455</v>
      </c>
      <c r="Q193">
        <v>455</v>
      </c>
      <c r="R193">
        <v>455</v>
      </c>
      <c r="S193">
        <v>455</v>
      </c>
      <c r="T193">
        <v>455</v>
      </c>
      <c r="U193">
        <v>455</v>
      </c>
      <c r="V193">
        <v>455</v>
      </c>
      <c r="W193">
        <v>455</v>
      </c>
      <c r="X193">
        <v>455</v>
      </c>
      <c r="Y193">
        <v>455</v>
      </c>
      <c r="Z193">
        <v>455</v>
      </c>
      <c r="AA193">
        <v>455</v>
      </c>
      <c r="AB193">
        <v>455</v>
      </c>
      <c r="AC193">
        <v>455</v>
      </c>
      <c r="AD193">
        <v>455</v>
      </c>
      <c r="AE193">
        <v>455</v>
      </c>
      <c r="AF193">
        <v>455</v>
      </c>
      <c r="AG193">
        <v>455</v>
      </c>
      <c r="AH193">
        <v>455</v>
      </c>
    </row>
    <row r="194" spans="1:34" x14ac:dyDescent="0.35">
      <c r="A194" t="s">
        <v>682</v>
      </c>
      <c r="B194">
        <v>148</v>
      </c>
      <c r="C194">
        <v>216</v>
      </c>
      <c r="D194">
        <v>301</v>
      </c>
      <c r="E194">
        <v>394</v>
      </c>
      <c r="F194">
        <v>455</v>
      </c>
      <c r="G194">
        <v>455</v>
      </c>
      <c r="H194">
        <v>455</v>
      </c>
      <c r="I194">
        <v>455</v>
      </c>
      <c r="J194">
        <v>455</v>
      </c>
      <c r="K194">
        <v>455</v>
      </c>
      <c r="L194">
        <v>455</v>
      </c>
      <c r="M194">
        <v>455</v>
      </c>
      <c r="N194">
        <v>455</v>
      </c>
      <c r="O194">
        <v>455</v>
      </c>
      <c r="P194">
        <v>455</v>
      </c>
      <c r="Q194">
        <v>455</v>
      </c>
      <c r="R194">
        <v>455</v>
      </c>
      <c r="S194">
        <v>455</v>
      </c>
      <c r="T194">
        <v>455</v>
      </c>
      <c r="U194">
        <v>455</v>
      </c>
      <c r="V194">
        <v>455</v>
      </c>
      <c r="W194">
        <v>455</v>
      </c>
      <c r="X194">
        <v>455</v>
      </c>
      <c r="Y194">
        <v>455</v>
      </c>
      <c r="Z194">
        <v>455</v>
      </c>
      <c r="AA194">
        <v>455</v>
      </c>
      <c r="AB194">
        <v>455</v>
      </c>
      <c r="AC194">
        <v>455</v>
      </c>
      <c r="AD194">
        <v>455</v>
      </c>
      <c r="AE194">
        <v>455</v>
      </c>
      <c r="AF194">
        <v>455</v>
      </c>
      <c r="AG194">
        <v>455</v>
      </c>
      <c r="AH194">
        <v>455</v>
      </c>
    </row>
    <row r="195" spans="1:34" x14ac:dyDescent="0.35">
      <c r="A195" t="s">
        <v>683</v>
      </c>
      <c r="B195">
        <v>148</v>
      </c>
      <c r="C195">
        <v>216</v>
      </c>
      <c r="D195">
        <v>301</v>
      </c>
      <c r="E195">
        <v>394</v>
      </c>
      <c r="F195">
        <v>455</v>
      </c>
      <c r="G195">
        <v>455</v>
      </c>
      <c r="H195">
        <v>455</v>
      </c>
      <c r="I195">
        <v>455</v>
      </c>
      <c r="J195">
        <v>455</v>
      </c>
      <c r="K195">
        <v>455</v>
      </c>
      <c r="L195">
        <v>455</v>
      </c>
      <c r="M195">
        <v>455</v>
      </c>
      <c r="N195">
        <v>455</v>
      </c>
      <c r="O195">
        <v>455</v>
      </c>
      <c r="P195">
        <v>455</v>
      </c>
      <c r="Q195">
        <v>455</v>
      </c>
      <c r="R195">
        <v>455</v>
      </c>
      <c r="S195">
        <v>455</v>
      </c>
      <c r="T195">
        <v>455</v>
      </c>
      <c r="U195">
        <v>455</v>
      </c>
      <c r="V195">
        <v>455</v>
      </c>
      <c r="W195">
        <v>455</v>
      </c>
      <c r="X195">
        <v>455</v>
      </c>
      <c r="Y195">
        <v>455</v>
      </c>
      <c r="Z195">
        <v>455</v>
      </c>
      <c r="AA195">
        <v>455</v>
      </c>
      <c r="AB195">
        <v>455</v>
      </c>
      <c r="AC195">
        <v>455</v>
      </c>
      <c r="AD195">
        <v>455</v>
      </c>
      <c r="AE195">
        <v>455</v>
      </c>
      <c r="AF195">
        <v>455</v>
      </c>
      <c r="AG195">
        <v>455</v>
      </c>
      <c r="AH195">
        <v>455</v>
      </c>
    </row>
    <row r="196" spans="1:34" x14ac:dyDescent="0.35">
      <c r="A196" t="s">
        <v>684</v>
      </c>
      <c r="B196">
        <v>148</v>
      </c>
      <c r="C196">
        <v>216</v>
      </c>
      <c r="D196">
        <v>301</v>
      </c>
      <c r="E196">
        <v>394</v>
      </c>
      <c r="F196">
        <v>455</v>
      </c>
      <c r="G196">
        <v>455</v>
      </c>
      <c r="H196">
        <v>455</v>
      </c>
      <c r="I196">
        <v>455</v>
      </c>
      <c r="J196">
        <v>455</v>
      </c>
      <c r="K196">
        <v>455</v>
      </c>
      <c r="L196">
        <v>455</v>
      </c>
      <c r="M196">
        <v>455</v>
      </c>
      <c r="N196">
        <v>455</v>
      </c>
      <c r="O196">
        <v>455</v>
      </c>
      <c r="P196">
        <v>455</v>
      </c>
      <c r="Q196">
        <v>455</v>
      </c>
      <c r="R196">
        <v>455</v>
      </c>
      <c r="S196">
        <v>455</v>
      </c>
      <c r="T196">
        <v>455</v>
      </c>
      <c r="U196">
        <v>455</v>
      </c>
      <c r="V196">
        <v>455</v>
      </c>
      <c r="W196">
        <v>455</v>
      </c>
      <c r="X196">
        <v>455</v>
      </c>
      <c r="Y196">
        <v>455</v>
      </c>
      <c r="Z196">
        <v>455</v>
      </c>
      <c r="AA196">
        <v>455</v>
      </c>
      <c r="AB196">
        <v>455</v>
      </c>
      <c r="AC196">
        <v>455</v>
      </c>
      <c r="AD196">
        <v>455</v>
      </c>
      <c r="AE196">
        <v>455</v>
      </c>
      <c r="AF196">
        <v>455</v>
      </c>
      <c r="AG196">
        <v>455</v>
      </c>
      <c r="AH196">
        <v>455</v>
      </c>
    </row>
    <row r="197" spans="1:34" x14ac:dyDescent="0.35">
      <c r="A197" t="s">
        <v>685</v>
      </c>
      <c r="B197">
        <v>148</v>
      </c>
      <c r="C197">
        <v>216</v>
      </c>
      <c r="D197">
        <v>301</v>
      </c>
      <c r="E197">
        <v>394</v>
      </c>
      <c r="F197">
        <v>455</v>
      </c>
      <c r="G197">
        <v>455</v>
      </c>
      <c r="H197">
        <v>455</v>
      </c>
      <c r="I197">
        <v>455</v>
      </c>
      <c r="J197">
        <v>455</v>
      </c>
      <c r="K197">
        <v>455</v>
      </c>
      <c r="L197">
        <v>455</v>
      </c>
      <c r="M197">
        <v>455</v>
      </c>
      <c r="N197">
        <v>455</v>
      </c>
      <c r="O197">
        <v>455</v>
      </c>
      <c r="P197">
        <v>455</v>
      </c>
      <c r="Q197">
        <v>455</v>
      </c>
      <c r="R197">
        <v>455</v>
      </c>
      <c r="S197">
        <v>455</v>
      </c>
      <c r="T197">
        <v>455</v>
      </c>
      <c r="U197">
        <v>455</v>
      </c>
      <c r="V197">
        <v>455</v>
      </c>
      <c r="W197">
        <v>455</v>
      </c>
      <c r="X197">
        <v>455</v>
      </c>
      <c r="Y197">
        <v>455</v>
      </c>
      <c r="Z197">
        <v>455</v>
      </c>
      <c r="AA197">
        <v>455</v>
      </c>
      <c r="AB197">
        <v>455</v>
      </c>
      <c r="AC197">
        <v>455</v>
      </c>
      <c r="AD197">
        <v>455</v>
      </c>
      <c r="AE197">
        <v>455</v>
      </c>
      <c r="AF197">
        <v>455</v>
      </c>
      <c r="AG197">
        <v>455</v>
      </c>
      <c r="AH197">
        <v>455</v>
      </c>
    </row>
    <row r="198" spans="1:34" x14ac:dyDescent="0.35">
      <c r="A198" t="s">
        <v>686</v>
      </c>
      <c r="B198">
        <v>148</v>
      </c>
      <c r="C198">
        <v>216</v>
      </c>
      <c r="D198">
        <v>301</v>
      </c>
      <c r="E198">
        <v>394</v>
      </c>
      <c r="F198">
        <v>455</v>
      </c>
      <c r="G198">
        <v>455</v>
      </c>
      <c r="H198">
        <v>455</v>
      </c>
      <c r="I198">
        <v>455</v>
      </c>
      <c r="J198">
        <v>455</v>
      </c>
      <c r="K198">
        <v>455</v>
      </c>
      <c r="L198">
        <v>455</v>
      </c>
      <c r="M198">
        <v>455</v>
      </c>
      <c r="N198">
        <v>455</v>
      </c>
      <c r="O198">
        <v>455</v>
      </c>
      <c r="P198">
        <v>455</v>
      </c>
      <c r="Q198">
        <v>455</v>
      </c>
      <c r="R198">
        <v>455</v>
      </c>
      <c r="S198">
        <v>455</v>
      </c>
      <c r="T198">
        <v>455</v>
      </c>
      <c r="U198">
        <v>455</v>
      </c>
      <c r="V198">
        <v>455</v>
      </c>
      <c r="W198">
        <v>455</v>
      </c>
      <c r="X198">
        <v>455</v>
      </c>
      <c r="Y198">
        <v>455</v>
      </c>
      <c r="Z198">
        <v>455</v>
      </c>
      <c r="AA198">
        <v>455</v>
      </c>
      <c r="AB198">
        <v>455</v>
      </c>
      <c r="AC198">
        <v>455</v>
      </c>
      <c r="AD198">
        <v>455</v>
      </c>
      <c r="AE198">
        <v>455</v>
      </c>
      <c r="AF198">
        <v>455</v>
      </c>
      <c r="AG198">
        <v>455</v>
      </c>
      <c r="AH198">
        <v>455</v>
      </c>
    </row>
    <row r="199" spans="1:34" x14ac:dyDescent="0.35">
      <c r="A199" t="s">
        <v>687</v>
      </c>
      <c r="B199">
        <v>148</v>
      </c>
      <c r="C199">
        <v>216</v>
      </c>
      <c r="D199">
        <v>301</v>
      </c>
      <c r="E199">
        <v>394</v>
      </c>
      <c r="F199">
        <v>455</v>
      </c>
      <c r="G199">
        <v>455</v>
      </c>
      <c r="H199">
        <v>455</v>
      </c>
      <c r="I199">
        <v>455</v>
      </c>
      <c r="J199">
        <v>455</v>
      </c>
      <c r="K199">
        <v>455</v>
      </c>
      <c r="L199">
        <v>455</v>
      </c>
      <c r="M199">
        <v>455</v>
      </c>
      <c r="N199">
        <v>455</v>
      </c>
      <c r="O199">
        <v>455</v>
      </c>
      <c r="P199">
        <v>455</v>
      </c>
      <c r="Q199">
        <v>455</v>
      </c>
      <c r="R199">
        <v>455</v>
      </c>
      <c r="S199">
        <v>455</v>
      </c>
      <c r="T199">
        <v>455</v>
      </c>
      <c r="U199">
        <v>455</v>
      </c>
      <c r="V199">
        <v>455</v>
      </c>
      <c r="W199">
        <v>455</v>
      </c>
      <c r="X199">
        <v>455</v>
      </c>
      <c r="Y199">
        <v>455</v>
      </c>
      <c r="Z199">
        <v>455</v>
      </c>
      <c r="AA199">
        <v>455</v>
      </c>
      <c r="AB199">
        <v>455</v>
      </c>
      <c r="AC199">
        <v>455</v>
      </c>
      <c r="AD199">
        <v>455</v>
      </c>
      <c r="AE199">
        <v>455</v>
      </c>
      <c r="AF199">
        <v>455</v>
      </c>
      <c r="AG199">
        <v>455</v>
      </c>
      <c r="AH199">
        <v>455</v>
      </c>
    </row>
    <row r="200" spans="1:34" x14ac:dyDescent="0.35">
      <c r="A200" t="s">
        <v>688</v>
      </c>
      <c r="B200">
        <v>148</v>
      </c>
      <c r="C200">
        <v>216</v>
      </c>
      <c r="D200">
        <v>301</v>
      </c>
      <c r="E200">
        <v>394</v>
      </c>
      <c r="F200">
        <v>455</v>
      </c>
      <c r="G200">
        <v>455</v>
      </c>
      <c r="H200">
        <v>455</v>
      </c>
      <c r="I200">
        <v>455</v>
      </c>
      <c r="J200">
        <v>455</v>
      </c>
      <c r="K200">
        <v>455</v>
      </c>
      <c r="L200">
        <v>455</v>
      </c>
      <c r="M200">
        <v>455</v>
      </c>
      <c r="N200">
        <v>455</v>
      </c>
      <c r="O200">
        <v>455</v>
      </c>
      <c r="P200">
        <v>455</v>
      </c>
      <c r="Q200">
        <v>455</v>
      </c>
      <c r="R200">
        <v>455</v>
      </c>
      <c r="S200">
        <v>455</v>
      </c>
      <c r="T200">
        <v>455</v>
      </c>
      <c r="U200">
        <v>455</v>
      </c>
      <c r="V200">
        <v>455</v>
      </c>
      <c r="W200">
        <v>455</v>
      </c>
      <c r="X200">
        <v>455</v>
      </c>
      <c r="Y200">
        <v>455</v>
      </c>
      <c r="Z200">
        <v>455</v>
      </c>
      <c r="AA200">
        <v>455</v>
      </c>
      <c r="AB200">
        <v>455</v>
      </c>
      <c r="AC200">
        <v>455</v>
      </c>
      <c r="AD200">
        <v>455</v>
      </c>
      <c r="AE200">
        <v>455</v>
      </c>
      <c r="AF200">
        <v>455</v>
      </c>
      <c r="AG200">
        <v>455</v>
      </c>
      <c r="AH200">
        <v>455</v>
      </c>
    </row>
    <row r="201" spans="1:34" x14ac:dyDescent="0.35">
      <c r="A201" t="s">
        <v>689</v>
      </c>
      <c r="B201">
        <v>148</v>
      </c>
      <c r="C201">
        <v>216</v>
      </c>
      <c r="D201">
        <v>301</v>
      </c>
      <c r="E201">
        <v>394</v>
      </c>
      <c r="F201">
        <v>455</v>
      </c>
      <c r="G201">
        <v>455</v>
      </c>
      <c r="H201">
        <v>455</v>
      </c>
      <c r="I201">
        <v>455</v>
      </c>
      <c r="J201">
        <v>455</v>
      </c>
      <c r="K201">
        <v>455</v>
      </c>
      <c r="L201">
        <v>455</v>
      </c>
      <c r="M201">
        <v>455</v>
      </c>
      <c r="N201">
        <v>455</v>
      </c>
      <c r="O201">
        <v>455</v>
      </c>
      <c r="P201">
        <v>455</v>
      </c>
      <c r="Q201">
        <v>455</v>
      </c>
      <c r="R201">
        <v>455</v>
      </c>
      <c r="S201">
        <v>455</v>
      </c>
      <c r="T201">
        <v>455</v>
      </c>
      <c r="U201">
        <v>455</v>
      </c>
      <c r="V201">
        <v>455</v>
      </c>
      <c r="W201">
        <v>455</v>
      </c>
      <c r="X201">
        <v>455</v>
      </c>
      <c r="Y201">
        <v>455</v>
      </c>
      <c r="Z201">
        <v>455</v>
      </c>
      <c r="AA201">
        <v>455</v>
      </c>
      <c r="AB201">
        <v>455</v>
      </c>
      <c r="AC201">
        <v>455</v>
      </c>
      <c r="AD201">
        <v>455</v>
      </c>
      <c r="AE201">
        <v>455</v>
      </c>
      <c r="AF201">
        <v>455</v>
      </c>
      <c r="AG201">
        <v>455</v>
      </c>
      <c r="AH201">
        <v>455</v>
      </c>
    </row>
    <row r="202" spans="1:34" x14ac:dyDescent="0.35">
      <c r="A202" t="s">
        <v>690</v>
      </c>
      <c r="B202">
        <v>148</v>
      </c>
      <c r="C202">
        <v>216</v>
      </c>
      <c r="D202">
        <v>301</v>
      </c>
      <c r="E202">
        <v>394</v>
      </c>
      <c r="F202">
        <v>455</v>
      </c>
      <c r="G202">
        <v>455</v>
      </c>
      <c r="H202">
        <v>455</v>
      </c>
      <c r="I202">
        <v>455</v>
      </c>
      <c r="J202">
        <v>455</v>
      </c>
      <c r="K202">
        <v>455</v>
      </c>
      <c r="L202">
        <v>455</v>
      </c>
      <c r="M202">
        <v>455</v>
      </c>
      <c r="N202">
        <v>455</v>
      </c>
      <c r="O202">
        <v>455</v>
      </c>
      <c r="P202">
        <v>455</v>
      </c>
      <c r="Q202">
        <v>455</v>
      </c>
      <c r="R202">
        <v>455</v>
      </c>
      <c r="S202">
        <v>455</v>
      </c>
      <c r="T202">
        <v>455</v>
      </c>
      <c r="U202">
        <v>455</v>
      </c>
      <c r="V202">
        <v>455</v>
      </c>
      <c r="W202">
        <v>455</v>
      </c>
      <c r="X202">
        <v>455</v>
      </c>
      <c r="Y202">
        <v>455</v>
      </c>
      <c r="Z202">
        <v>455</v>
      </c>
      <c r="AA202">
        <v>455</v>
      </c>
      <c r="AB202">
        <v>455</v>
      </c>
      <c r="AC202">
        <v>455</v>
      </c>
      <c r="AD202">
        <v>455</v>
      </c>
      <c r="AE202">
        <v>455</v>
      </c>
      <c r="AF202">
        <v>455</v>
      </c>
      <c r="AG202">
        <v>455</v>
      </c>
      <c r="AH202">
        <v>455</v>
      </c>
    </row>
    <row r="203" spans="1:34" x14ac:dyDescent="0.35">
      <c r="A203" t="s">
        <v>691</v>
      </c>
      <c r="B203">
        <v>148</v>
      </c>
      <c r="C203">
        <v>216</v>
      </c>
      <c r="D203">
        <v>301</v>
      </c>
      <c r="E203">
        <v>394</v>
      </c>
      <c r="F203">
        <v>455</v>
      </c>
      <c r="G203">
        <v>455</v>
      </c>
      <c r="H203">
        <v>455</v>
      </c>
      <c r="I203">
        <v>455</v>
      </c>
      <c r="J203">
        <v>455</v>
      </c>
      <c r="K203">
        <v>455</v>
      </c>
      <c r="L203">
        <v>455</v>
      </c>
      <c r="M203">
        <v>455</v>
      </c>
      <c r="N203">
        <v>455</v>
      </c>
      <c r="O203">
        <v>455</v>
      </c>
      <c r="P203">
        <v>455</v>
      </c>
      <c r="Q203">
        <v>455</v>
      </c>
      <c r="R203">
        <v>455</v>
      </c>
      <c r="S203">
        <v>455</v>
      </c>
      <c r="T203">
        <v>455</v>
      </c>
      <c r="U203">
        <v>455</v>
      </c>
      <c r="V203">
        <v>455</v>
      </c>
      <c r="W203">
        <v>455</v>
      </c>
      <c r="X203">
        <v>455</v>
      </c>
      <c r="Y203">
        <v>455</v>
      </c>
      <c r="Z203">
        <v>455</v>
      </c>
      <c r="AA203">
        <v>455</v>
      </c>
      <c r="AB203">
        <v>455</v>
      </c>
      <c r="AC203">
        <v>455</v>
      </c>
      <c r="AD203">
        <v>455</v>
      </c>
      <c r="AE203">
        <v>455</v>
      </c>
      <c r="AF203">
        <v>455</v>
      </c>
      <c r="AG203">
        <v>455</v>
      </c>
      <c r="AH203">
        <v>455</v>
      </c>
    </row>
    <row r="204" spans="1:34" x14ac:dyDescent="0.35">
      <c r="A204" t="s">
        <v>692</v>
      </c>
      <c r="B204">
        <v>148</v>
      </c>
      <c r="C204">
        <v>216</v>
      </c>
      <c r="D204">
        <v>301</v>
      </c>
      <c r="E204">
        <v>394</v>
      </c>
      <c r="F204">
        <v>455</v>
      </c>
      <c r="G204">
        <v>455</v>
      </c>
      <c r="H204">
        <v>455</v>
      </c>
      <c r="I204">
        <v>455</v>
      </c>
      <c r="J204">
        <v>455</v>
      </c>
      <c r="K204">
        <v>455</v>
      </c>
      <c r="L204">
        <v>455</v>
      </c>
      <c r="M204">
        <v>455</v>
      </c>
      <c r="N204">
        <v>455</v>
      </c>
      <c r="O204">
        <v>455</v>
      </c>
      <c r="P204">
        <v>455</v>
      </c>
      <c r="Q204">
        <v>455</v>
      </c>
      <c r="R204">
        <v>455</v>
      </c>
      <c r="S204">
        <v>455</v>
      </c>
      <c r="T204">
        <v>455</v>
      </c>
      <c r="U204">
        <v>455</v>
      </c>
      <c r="V204">
        <v>455</v>
      </c>
      <c r="W204">
        <v>455</v>
      </c>
      <c r="X204">
        <v>455</v>
      </c>
      <c r="Y204">
        <v>455</v>
      </c>
      <c r="Z204">
        <v>455</v>
      </c>
      <c r="AA204">
        <v>455</v>
      </c>
      <c r="AB204">
        <v>455</v>
      </c>
      <c r="AC204">
        <v>455</v>
      </c>
      <c r="AD204">
        <v>455</v>
      </c>
      <c r="AE204">
        <v>455</v>
      </c>
      <c r="AF204">
        <v>455</v>
      </c>
      <c r="AG204">
        <v>455</v>
      </c>
      <c r="AH204">
        <v>455</v>
      </c>
    </row>
    <row r="205" spans="1:34" x14ac:dyDescent="0.35">
      <c r="A205" t="s">
        <v>693</v>
      </c>
      <c r="B205">
        <v>148</v>
      </c>
      <c r="C205">
        <v>216</v>
      </c>
      <c r="D205">
        <v>301</v>
      </c>
      <c r="E205">
        <v>394</v>
      </c>
      <c r="F205">
        <v>455</v>
      </c>
      <c r="G205">
        <v>455</v>
      </c>
      <c r="H205">
        <v>455</v>
      </c>
      <c r="I205">
        <v>455</v>
      </c>
      <c r="J205">
        <v>455</v>
      </c>
      <c r="K205">
        <v>455</v>
      </c>
      <c r="L205">
        <v>455</v>
      </c>
      <c r="M205">
        <v>455</v>
      </c>
      <c r="N205">
        <v>455</v>
      </c>
      <c r="O205">
        <v>455</v>
      </c>
      <c r="P205">
        <v>455</v>
      </c>
      <c r="Q205">
        <v>455</v>
      </c>
      <c r="R205">
        <v>455</v>
      </c>
      <c r="S205">
        <v>455</v>
      </c>
      <c r="T205">
        <v>455</v>
      </c>
      <c r="U205">
        <v>455</v>
      </c>
      <c r="V205">
        <v>455</v>
      </c>
      <c r="W205">
        <v>455</v>
      </c>
      <c r="X205">
        <v>455</v>
      </c>
      <c r="Y205">
        <v>455</v>
      </c>
      <c r="Z205">
        <v>455</v>
      </c>
      <c r="AA205">
        <v>455</v>
      </c>
      <c r="AB205">
        <v>455</v>
      </c>
      <c r="AC205">
        <v>455</v>
      </c>
      <c r="AD205">
        <v>455</v>
      </c>
      <c r="AE205">
        <v>455</v>
      </c>
      <c r="AF205">
        <v>455</v>
      </c>
      <c r="AG205">
        <v>455</v>
      </c>
      <c r="AH205">
        <v>455</v>
      </c>
    </row>
    <row r="206" spans="1:34" x14ac:dyDescent="0.35">
      <c r="A206" t="s">
        <v>694</v>
      </c>
      <c r="B206">
        <v>113</v>
      </c>
      <c r="C206">
        <v>170</v>
      </c>
      <c r="D206">
        <v>245</v>
      </c>
      <c r="E206">
        <v>320</v>
      </c>
      <c r="F206">
        <v>369</v>
      </c>
      <c r="G206">
        <v>369</v>
      </c>
      <c r="H206">
        <v>369</v>
      </c>
      <c r="I206">
        <v>369</v>
      </c>
      <c r="J206">
        <v>369</v>
      </c>
      <c r="K206">
        <v>369</v>
      </c>
      <c r="L206">
        <v>369</v>
      </c>
      <c r="M206">
        <v>369</v>
      </c>
      <c r="N206">
        <v>369</v>
      </c>
      <c r="O206">
        <v>369</v>
      </c>
      <c r="P206">
        <v>369</v>
      </c>
      <c r="Q206">
        <v>369</v>
      </c>
      <c r="R206">
        <v>369</v>
      </c>
      <c r="S206">
        <v>369</v>
      </c>
      <c r="T206">
        <v>369</v>
      </c>
      <c r="U206">
        <v>369</v>
      </c>
      <c r="V206">
        <v>369</v>
      </c>
      <c r="W206">
        <v>369</v>
      </c>
      <c r="X206">
        <v>369</v>
      </c>
      <c r="Y206">
        <v>369</v>
      </c>
      <c r="Z206">
        <v>369</v>
      </c>
      <c r="AA206">
        <v>369</v>
      </c>
      <c r="AB206">
        <v>369</v>
      </c>
      <c r="AC206">
        <v>369</v>
      </c>
      <c r="AD206">
        <v>369</v>
      </c>
      <c r="AE206">
        <v>369</v>
      </c>
      <c r="AF206">
        <v>369</v>
      </c>
      <c r="AG206">
        <v>369</v>
      </c>
      <c r="AH206">
        <v>369</v>
      </c>
    </row>
    <row r="207" spans="1:34" x14ac:dyDescent="0.35">
      <c r="A207" t="s">
        <v>695</v>
      </c>
      <c r="B207">
        <v>113</v>
      </c>
      <c r="C207">
        <v>170</v>
      </c>
      <c r="D207">
        <v>245</v>
      </c>
      <c r="E207">
        <v>320</v>
      </c>
      <c r="F207">
        <v>369</v>
      </c>
      <c r="G207">
        <v>369</v>
      </c>
      <c r="H207">
        <v>369</v>
      </c>
      <c r="I207">
        <v>369</v>
      </c>
      <c r="J207">
        <v>369</v>
      </c>
      <c r="K207">
        <v>369</v>
      </c>
      <c r="L207">
        <v>369</v>
      </c>
      <c r="M207">
        <v>369</v>
      </c>
      <c r="N207">
        <v>369</v>
      </c>
      <c r="O207">
        <v>369</v>
      </c>
      <c r="P207">
        <v>369</v>
      </c>
      <c r="Q207">
        <v>369</v>
      </c>
      <c r="R207">
        <v>369</v>
      </c>
      <c r="S207">
        <v>369</v>
      </c>
      <c r="T207">
        <v>369</v>
      </c>
      <c r="U207">
        <v>369</v>
      </c>
      <c r="V207">
        <v>369</v>
      </c>
      <c r="W207">
        <v>369</v>
      </c>
      <c r="X207">
        <v>369</v>
      </c>
      <c r="Y207">
        <v>369</v>
      </c>
      <c r="Z207">
        <v>369</v>
      </c>
      <c r="AA207">
        <v>369</v>
      </c>
      <c r="AB207">
        <v>369</v>
      </c>
      <c r="AC207">
        <v>369</v>
      </c>
      <c r="AD207">
        <v>369</v>
      </c>
      <c r="AE207">
        <v>369</v>
      </c>
      <c r="AF207">
        <v>369</v>
      </c>
      <c r="AG207">
        <v>369</v>
      </c>
      <c r="AH207">
        <v>369</v>
      </c>
    </row>
    <row r="208" spans="1:34" x14ac:dyDescent="0.35">
      <c r="A208" t="s">
        <v>696</v>
      </c>
      <c r="B208">
        <v>113</v>
      </c>
      <c r="C208">
        <v>170</v>
      </c>
      <c r="D208">
        <v>245</v>
      </c>
      <c r="E208">
        <v>320</v>
      </c>
      <c r="F208">
        <v>369</v>
      </c>
      <c r="G208">
        <v>369</v>
      </c>
      <c r="H208">
        <v>369</v>
      </c>
      <c r="I208">
        <v>369</v>
      </c>
      <c r="J208">
        <v>369</v>
      </c>
      <c r="K208">
        <v>369</v>
      </c>
      <c r="L208">
        <v>369</v>
      </c>
      <c r="M208">
        <v>369</v>
      </c>
      <c r="N208">
        <v>369</v>
      </c>
      <c r="O208">
        <v>369</v>
      </c>
      <c r="P208">
        <v>369</v>
      </c>
      <c r="Q208">
        <v>369</v>
      </c>
      <c r="R208">
        <v>369</v>
      </c>
      <c r="S208">
        <v>369</v>
      </c>
      <c r="T208">
        <v>369</v>
      </c>
      <c r="U208">
        <v>369</v>
      </c>
      <c r="V208">
        <v>369</v>
      </c>
      <c r="W208">
        <v>369</v>
      </c>
      <c r="X208">
        <v>369</v>
      </c>
      <c r="Y208">
        <v>369</v>
      </c>
      <c r="Z208">
        <v>369</v>
      </c>
      <c r="AA208">
        <v>369</v>
      </c>
      <c r="AB208">
        <v>369</v>
      </c>
      <c r="AC208">
        <v>369</v>
      </c>
      <c r="AD208">
        <v>369</v>
      </c>
      <c r="AE208">
        <v>369</v>
      </c>
      <c r="AF208">
        <v>369</v>
      </c>
      <c r="AG208">
        <v>369</v>
      </c>
      <c r="AH208">
        <v>369</v>
      </c>
    </row>
    <row r="209" spans="1:34" x14ac:dyDescent="0.35">
      <c r="A209" t="s">
        <v>697</v>
      </c>
      <c r="B209">
        <v>113</v>
      </c>
      <c r="C209">
        <v>170</v>
      </c>
      <c r="D209">
        <v>245</v>
      </c>
      <c r="E209">
        <v>320</v>
      </c>
      <c r="F209">
        <v>369</v>
      </c>
      <c r="G209">
        <v>369</v>
      </c>
      <c r="H209">
        <v>369</v>
      </c>
      <c r="I209">
        <v>369</v>
      </c>
      <c r="J209">
        <v>369</v>
      </c>
      <c r="K209">
        <v>369</v>
      </c>
      <c r="L209">
        <v>369</v>
      </c>
      <c r="M209">
        <v>369</v>
      </c>
      <c r="N209">
        <v>369</v>
      </c>
      <c r="O209">
        <v>369</v>
      </c>
      <c r="P209">
        <v>369</v>
      </c>
      <c r="Q209">
        <v>369</v>
      </c>
      <c r="R209">
        <v>369</v>
      </c>
      <c r="S209">
        <v>369</v>
      </c>
      <c r="T209">
        <v>369</v>
      </c>
      <c r="U209">
        <v>369</v>
      </c>
      <c r="V209">
        <v>369</v>
      </c>
      <c r="W209">
        <v>369</v>
      </c>
      <c r="X209">
        <v>369</v>
      </c>
      <c r="Y209">
        <v>369</v>
      </c>
      <c r="Z209">
        <v>369</v>
      </c>
      <c r="AA209">
        <v>369</v>
      </c>
      <c r="AB209">
        <v>369</v>
      </c>
      <c r="AC209">
        <v>369</v>
      </c>
      <c r="AD209">
        <v>369</v>
      </c>
      <c r="AE209">
        <v>369</v>
      </c>
      <c r="AF209">
        <v>369</v>
      </c>
      <c r="AG209">
        <v>369</v>
      </c>
      <c r="AH209">
        <v>369</v>
      </c>
    </row>
    <row r="210" spans="1:34" x14ac:dyDescent="0.35">
      <c r="A210" t="s">
        <v>698</v>
      </c>
      <c r="B210">
        <v>113</v>
      </c>
      <c r="C210">
        <v>170</v>
      </c>
      <c r="D210">
        <v>245</v>
      </c>
      <c r="E210">
        <v>320</v>
      </c>
      <c r="F210">
        <v>369</v>
      </c>
      <c r="G210">
        <v>369</v>
      </c>
      <c r="H210">
        <v>369</v>
      </c>
      <c r="I210">
        <v>369</v>
      </c>
      <c r="J210">
        <v>369</v>
      </c>
      <c r="K210">
        <v>369</v>
      </c>
      <c r="L210">
        <v>369</v>
      </c>
      <c r="M210">
        <v>369</v>
      </c>
      <c r="N210">
        <v>369</v>
      </c>
      <c r="O210">
        <v>369</v>
      </c>
      <c r="P210">
        <v>369</v>
      </c>
      <c r="Q210">
        <v>369</v>
      </c>
      <c r="R210">
        <v>369</v>
      </c>
      <c r="S210">
        <v>369</v>
      </c>
      <c r="T210">
        <v>369</v>
      </c>
      <c r="U210">
        <v>369</v>
      </c>
      <c r="V210">
        <v>369</v>
      </c>
      <c r="W210">
        <v>369</v>
      </c>
      <c r="X210">
        <v>369</v>
      </c>
      <c r="Y210">
        <v>369</v>
      </c>
      <c r="Z210">
        <v>369</v>
      </c>
      <c r="AA210">
        <v>369</v>
      </c>
      <c r="AB210">
        <v>369</v>
      </c>
      <c r="AC210">
        <v>369</v>
      </c>
      <c r="AD210">
        <v>369</v>
      </c>
      <c r="AE210">
        <v>369</v>
      </c>
      <c r="AF210">
        <v>369</v>
      </c>
      <c r="AG210">
        <v>369</v>
      </c>
      <c r="AH210">
        <v>369</v>
      </c>
    </row>
    <row r="211" spans="1:34" x14ac:dyDescent="0.35">
      <c r="A211" t="s">
        <v>699</v>
      </c>
      <c r="B211">
        <v>113</v>
      </c>
      <c r="C211">
        <v>170</v>
      </c>
      <c r="D211">
        <v>245</v>
      </c>
      <c r="E211">
        <v>320</v>
      </c>
      <c r="F211">
        <v>369</v>
      </c>
      <c r="G211">
        <v>369</v>
      </c>
      <c r="H211">
        <v>369</v>
      </c>
      <c r="I211">
        <v>369</v>
      </c>
      <c r="J211">
        <v>369</v>
      </c>
      <c r="K211">
        <v>369</v>
      </c>
      <c r="L211">
        <v>369</v>
      </c>
      <c r="M211">
        <v>369</v>
      </c>
      <c r="N211">
        <v>369</v>
      </c>
      <c r="O211">
        <v>369</v>
      </c>
      <c r="P211">
        <v>369</v>
      </c>
      <c r="Q211">
        <v>369</v>
      </c>
      <c r="R211">
        <v>369</v>
      </c>
      <c r="S211">
        <v>369</v>
      </c>
      <c r="T211">
        <v>369</v>
      </c>
      <c r="U211">
        <v>369</v>
      </c>
      <c r="V211">
        <v>369</v>
      </c>
      <c r="W211">
        <v>369</v>
      </c>
      <c r="X211">
        <v>369</v>
      </c>
      <c r="Y211">
        <v>369</v>
      </c>
      <c r="Z211">
        <v>369</v>
      </c>
      <c r="AA211">
        <v>369</v>
      </c>
      <c r="AB211">
        <v>369</v>
      </c>
      <c r="AC211">
        <v>369</v>
      </c>
      <c r="AD211">
        <v>369</v>
      </c>
      <c r="AE211">
        <v>369</v>
      </c>
      <c r="AF211">
        <v>369</v>
      </c>
      <c r="AG211">
        <v>369</v>
      </c>
      <c r="AH211">
        <v>369</v>
      </c>
    </row>
    <row r="212" spans="1:34" x14ac:dyDescent="0.35">
      <c r="A212" t="s">
        <v>700</v>
      </c>
      <c r="B212">
        <v>113</v>
      </c>
      <c r="C212">
        <v>170</v>
      </c>
      <c r="D212">
        <v>245</v>
      </c>
      <c r="E212">
        <v>320</v>
      </c>
      <c r="F212">
        <v>369</v>
      </c>
      <c r="G212">
        <v>369</v>
      </c>
      <c r="H212">
        <v>369</v>
      </c>
      <c r="I212">
        <v>369</v>
      </c>
      <c r="J212">
        <v>369</v>
      </c>
      <c r="K212">
        <v>369</v>
      </c>
      <c r="L212">
        <v>369</v>
      </c>
      <c r="M212">
        <v>369</v>
      </c>
      <c r="N212">
        <v>369</v>
      </c>
      <c r="O212">
        <v>369</v>
      </c>
      <c r="P212">
        <v>369</v>
      </c>
      <c r="Q212">
        <v>369</v>
      </c>
      <c r="R212">
        <v>369</v>
      </c>
      <c r="S212">
        <v>369</v>
      </c>
      <c r="T212">
        <v>369</v>
      </c>
      <c r="U212">
        <v>369</v>
      </c>
      <c r="V212">
        <v>369</v>
      </c>
      <c r="W212">
        <v>369</v>
      </c>
      <c r="X212">
        <v>369</v>
      </c>
      <c r="Y212">
        <v>369</v>
      </c>
      <c r="Z212">
        <v>369</v>
      </c>
      <c r="AA212">
        <v>369</v>
      </c>
      <c r="AB212">
        <v>369</v>
      </c>
      <c r="AC212">
        <v>369</v>
      </c>
      <c r="AD212">
        <v>369</v>
      </c>
      <c r="AE212">
        <v>369</v>
      </c>
      <c r="AF212">
        <v>369</v>
      </c>
      <c r="AG212">
        <v>369</v>
      </c>
      <c r="AH212">
        <v>369</v>
      </c>
    </row>
    <row r="213" spans="1:34" x14ac:dyDescent="0.35">
      <c r="A213" t="s">
        <v>701</v>
      </c>
      <c r="B213">
        <v>113</v>
      </c>
      <c r="C213">
        <v>170</v>
      </c>
      <c r="D213">
        <v>245</v>
      </c>
      <c r="E213">
        <v>320</v>
      </c>
      <c r="F213">
        <v>369</v>
      </c>
      <c r="G213">
        <v>369</v>
      </c>
      <c r="H213">
        <v>369</v>
      </c>
      <c r="I213">
        <v>369</v>
      </c>
      <c r="J213">
        <v>369</v>
      </c>
      <c r="K213">
        <v>369</v>
      </c>
      <c r="L213">
        <v>369</v>
      </c>
      <c r="M213">
        <v>369</v>
      </c>
      <c r="N213">
        <v>369</v>
      </c>
      <c r="O213">
        <v>369</v>
      </c>
      <c r="P213">
        <v>369</v>
      </c>
      <c r="Q213">
        <v>369</v>
      </c>
      <c r="R213">
        <v>369</v>
      </c>
      <c r="S213">
        <v>369</v>
      </c>
      <c r="T213">
        <v>369</v>
      </c>
      <c r="U213">
        <v>369</v>
      </c>
      <c r="V213">
        <v>369</v>
      </c>
      <c r="W213">
        <v>369</v>
      </c>
      <c r="X213">
        <v>369</v>
      </c>
      <c r="Y213">
        <v>369</v>
      </c>
      <c r="Z213">
        <v>369</v>
      </c>
      <c r="AA213">
        <v>369</v>
      </c>
      <c r="AB213">
        <v>369</v>
      </c>
      <c r="AC213">
        <v>369</v>
      </c>
      <c r="AD213">
        <v>369</v>
      </c>
      <c r="AE213">
        <v>369</v>
      </c>
      <c r="AF213">
        <v>369</v>
      </c>
      <c r="AG213">
        <v>369</v>
      </c>
      <c r="AH213">
        <v>369</v>
      </c>
    </row>
    <row r="214" spans="1:34" x14ac:dyDescent="0.35">
      <c r="A214" t="s">
        <v>702</v>
      </c>
      <c r="B214">
        <v>113</v>
      </c>
      <c r="C214">
        <v>170</v>
      </c>
      <c r="D214">
        <v>245</v>
      </c>
      <c r="E214">
        <v>320</v>
      </c>
      <c r="F214">
        <v>369</v>
      </c>
      <c r="G214">
        <v>369</v>
      </c>
      <c r="H214">
        <v>369</v>
      </c>
      <c r="I214">
        <v>369</v>
      </c>
      <c r="J214">
        <v>369</v>
      </c>
      <c r="K214">
        <v>369</v>
      </c>
      <c r="L214">
        <v>369</v>
      </c>
      <c r="M214">
        <v>369</v>
      </c>
      <c r="N214">
        <v>369</v>
      </c>
      <c r="O214">
        <v>369</v>
      </c>
      <c r="P214">
        <v>369</v>
      </c>
      <c r="Q214">
        <v>369</v>
      </c>
      <c r="R214">
        <v>369</v>
      </c>
      <c r="S214">
        <v>369</v>
      </c>
      <c r="T214">
        <v>369</v>
      </c>
      <c r="U214">
        <v>369</v>
      </c>
      <c r="V214">
        <v>369</v>
      </c>
      <c r="W214">
        <v>369</v>
      </c>
      <c r="X214">
        <v>369</v>
      </c>
      <c r="Y214">
        <v>369</v>
      </c>
      <c r="Z214">
        <v>369</v>
      </c>
      <c r="AA214">
        <v>369</v>
      </c>
      <c r="AB214">
        <v>369</v>
      </c>
      <c r="AC214">
        <v>369</v>
      </c>
      <c r="AD214">
        <v>369</v>
      </c>
      <c r="AE214">
        <v>369</v>
      </c>
      <c r="AF214">
        <v>369</v>
      </c>
      <c r="AG214">
        <v>369</v>
      </c>
      <c r="AH214">
        <v>369</v>
      </c>
    </row>
    <row r="215" spans="1:34" x14ac:dyDescent="0.35">
      <c r="A215" t="s">
        <v>703</v>
      </c>
      <c r="B215">
        <v>113</v>
      </c>
      <c r="C215">
        <v>170</v>
      </c>
      <c r="D215">
        <v>245</v>
      </c>
      <c r="E215">
        <v>320</v>
      </c>
      <c r="F215">
        <v>369</v>
      </c>
      <c r="G215">
        <v>369</v>
      </c>
      <c r="H215">
        <v>369</v>
      </c>
      <c r="I215">
        <v>369</v>
      </c>
      <c r="J215">
        <v>369</v>
      </c>
      <c r="K215">
        <v>369</v>
      </c>
      <c r="L215">
        <v>369</v>
      </c>
      <c r="M215">
        <v>369</v>
      </c>
      <c r="N215">
        <v>369</v>
      </c>
      <c r="O215">
        <v>369</v>
      </c>
      <c r="P215">
        <v>369</v>
      </c>
      <c r="Q215">
        <v>369</v>
      </c>
      <c r="R215">
        <v>369</v>
      </c>
      <c r="S215">
        <v>369</v>
      </c>
      <c r="T215">
        <v>369</v>
      </c>
      <c r="U215">
        <v>369</v>
      </c>
      <c r="V215">
        <v>369</v>
      </c>
      <c r="W215">
        <v>369</v>
      </c>
      <c r="X215">
        <v>369</v>
      </c>
      <c r="Y215">
        <v>369</v>
      </c>
      <c r="Z215">
        <v>369</v>
      </c>
      <c r="AA215">
        <v>369</v>
      </c>
      <c r="AB215">
        <v>369</v>
      </c>
      <c r="AC215">
        <v>369</v>
      </c>
      <c r="AD215">
        <v>369</v>
      </c>
      <c r="AE215">
        <v>369</v>
      </c>
      <c r="AF215">
        <v>369</v>
      </c>
      <c r="AG215">
        <v>369</v>
      </c>
      <c r="AH215">
        <v>369</v>
      </c>
    </row>
    <row r="216" spans="1:34" x14ac:dyDescent="0.35">
      <c r="A216" t="s">
        <v>704</v>
      </c>
      <c r="B216">
        <v>113</v>
      </c>
      <c r="C216">
        <v>170</v>
      </c>
      <c r="D216">
        <v>245</v>
      </c>
      <c r="E216">
        <v>320</v>
      </c>
      <c r="F216">
        <v>369</v>
      </c>
      <c r="G216">
        <v>369</v>
      </c>
      <c r="H216">
        <v>369</v>
      </c>
      <c r="I216">
        <v>369</v>
      </c>
      <c r="J216">
        <v>369</v>
      </c>
      <c r="K216">
        <v>369</v>
      </c>
      <c r="L216">
        <v>369</v>
      </c>
      <c r="M216">
        <v>369</v>
      </c>
      <c r="N216">
        <v>369</v>
      </c>
      <c r="O216">
        <v>369</v>
      </c>
      <c r="P216">
        <v>369</v>
      </c>
      <c r="Q216">
        <v>369</v>
      </c>
      <c r="R216">
        <v>369</v>
      </c>
      <c r="S216">
        <v>369</v>
      </c>
      <c r="T216">
        <v>369</v>
      </c>
      <c r="U216">
        <v>369</v>
      </c>
      <c r="V216">
        <v>369</v>
      </c>
      <c r="W216">
        <v>369</v>
      </c>
      <c r="X216">
        <v>369</v>
      </c>
      <c r="Y216">
        <v>369</v>
      </c>
      <c r="Z216">
        <v>369</v>
      </c>
      <c r="AA216">
        <v>369</v>
      </c>
      <c r="AB216">
        <v>369</v>
      </c>
      <c r="AC216">
        <v>369</v>
      </c>
      <c r="AD216">
        <v>369</v>
      </c>
      <c r="AE216">
        <v>369</v>
      </c>
      <c r="AF216">
        <v>369</v>
      </c>
      <c r="AG216">
        <v>369</v>
      </c>
      <c r="AH216">
        <v>369</v>
      </c>
    </row>
    <row r="217" spans="1:34" x14ac:dyDescent="0.35">
      <c r="A217" t="s">
        <v>705</v>
      </c>
      <c r="B217">
        <v>113</v>
      </c>
      <c r="C217">
        <v>170</v>
      </c>
      <c r="D217">
        <v>245</v>
      </c>
      <c r="E217">
        <v>320</v>
      </c>
      <c r="F217">
        <v>369</v>
      </c>
      <c r="G217">
        <v>369</v>
      </c>
      <c r="H217">
        <v>369</v>
      </c>
      <c r="I217">
        <v>369</v>
      </c>
      <c r="J217">
        <v>369</v>
      </c>
      <c r="K217">
        <v>369</v>
      </c>
      <c r="L217">
        <v>369</v>
      </c>
      <c r="M217">
        <v>369</v>
      </c>
      <c r="N217">
        <v>369</v>
      </c>
      <c r="O217">
        <v>369</v>
      </c>
      <c r="P217">
        <v>369</v>
      </c>
      <c r="Q217">
        <v>369</v>
      </c>
      <c r="R217">
        <v>369</v>
      </c>
      <c r="S217">
        <v>369</v>
      </c>
      <c r="T217">
        <v>369</v>
      </c>
      <c r="U217">
        <v>369</v>
      </c>
      <c r="V217">
        <v>369</v>
      </c>
      <c r="W217">
        <v>369</v>
      </c>
      <c r="X217">
        <v>369</v>
      </c>
      <c r="Y217">
        <v>369</v>
      </c>
      <c r="Z217">
        <v>369</v>
      </c>
      <c r="AA217">
        <v>369</v>
      </c>
      <c r="AB217">
        <v>369</v>
      </c>
      <c r="AC217">
        <v>369</v>
      </c>
      <c r="AD217">
        <v>369</v>
      </c>
      <c r="AE217">
        <v>369</v>
      </c>
      <c r="AF217">
        <v>369</v>
      </c>
      <c r="AG217">
        <v>369</v>
      </c>
      <c r="AH217">
        <v>369</v>
      </c>
    </row>
    <row r="218" spans="1:34" x14ac:dyDescent="0.35">
      <c r="A218" t="s">
        <v>706</v>
      </c>
      <c r="B218">
        <v>113</v>
      </c>
      <c r="C218">
        <v>170</v>
      </c>
      <c r="D218">
        <v>245</v>
      </c>
      <c r="E218">
        <v>320</v>
      </c>
      <c r="F218">
        <v>369</v>
      </c>
      <c r="G218">
        <v>369</v>
      </c>
      <c r="H218">
        <v>369</v>
      </c>
      <c r="I218">
        <v>369</v>
      </c>
      <c r="J218">
        <v>369</v>
      </c>
      <c r="K218">
        <v>369</v>
      </c>
      <c r="L218">
        <v>369</v>
      </c>
      <c r="M218">
        <v>369</v>
      </c>
      <c r="N218">
        <v>369</v>
      </c>
      <c r="O218">
        <v>369</v>
      </c>
      <c r="P218">
        <v>369</v>
      </c>
      <c r="Q218">
        <v>369</v>
      </c>
      <c r="R218">
        <v>369</v>
      </c>
      <c r="S218">
        <v>369</v>
      </c>
      <c r="T218">
        <v>369</v>
      </c>
      <c r="U218">
        <v>369</v>
      </c>
      <c r="V218">
        <v>369</v>
      </c>
      <c r="W218">
        <v>369</v>
      </c>
      <c r="X218">
        <v>369</v>
      </c>
      <c r="Y218">
        <v>369</v>
      </c>
      <c r="Z218">
        <v>369</v>
      </c>
      <c r="AA218">
        <v>369</v>
      </c>
      <c r="AB218">
        <v>369</v>
      </c>
      <c r="AC218">
        <v>369</v>
      </c>
      <c r="AD218">
        <v>369</v>
      </c>
      <c r="AE218">
        <v>369</v>
      </c>
      <c r="AF218">
        <v>369</v>
      </c>
      <c r="AG218">
        <v>369</v>
      </c>
      <c r="AH218">
        <v>369</v>
      </c>
    </row>
    <row r="219" spans="1:34" x14ac:dyDescent="0.35">
      <c r="A219" t="s">
        <v>707</v>
      </c>
      <c r="B219">
        <v>113</v>
      </c>
      <c r="C219">
        <v>170</v>
      </c>
      <c r="D219">
        <v>245</v>
      </c>
      <c r="E219">
        <v>320</v>
      </c>
      <c r="F219">
        <v>369</v>
      </c>
      <c r="G219">
        <v>369</v>
      </c>
      <c r="H219">
        <v>369</v>
      </c>
      <c r="I219">
        <v>369</v>
      </c>
      <c r="J219">
        <v>369</v>
      </c>
      <c r="K219">
        <v>369</v>
      </c>
      <c r="L219">
        <v>369</v>
      </c>
      <c r="M219">
        <v>369</v>
      </c>
      <c r="N219">
        <v>369</v>
      </c>
      <c r="O219">
        <v>369</v>
      </c>
      <c r="P219">
        <v>369</v>
      </c>
      <c r="Q219">
        <v>369</v>
      </c>
      <c r="R219">
        <v>369</v>
      </c>
      <c r="S219">
        <v>369</v>
      </c>
      <c r="T219">
        <v>369</v>
      </c>
      <c r="U219">
        <v>369</v>
      </c>
      <c r="V219">
        <v>369</v>
      </c>
      <c r="W219">
        <v>369</v>
      </c>
      <c r="X219">
        <v>369</v>
      </c>
      <c r="Y219">
        <v>369</v>
      </c>
      <c r="Z219">
        <v>369</v>
      </c>
      <c r="AA219">
        <v>369</v>
      </c>
      <c r="AB219">
        <v>369</v>
      </c>
      <c r="AC219">
        <v>369</v>
      </c>
      <c r="AD219">
        <v>369</v>
      </c>
      <c r="AE219">
        <v>369</v>
      </c>
      <c r="AF219">
        <v>369</v>
      </c>
      <c r="AG219">
        <v>369</v>
      </c>
      <c r="AH219">
        <v>369</v>
      </c>
    </row>
    <row r="220" spans="1:34" x14ac:dyDescent="0.35">
      <c r="A220" t="s">
        <v>708</v>
      </c>
      <c r="B220">
        <v>113</v>
      </c>
      <c r="C220">
        <v>170</v>
      </c>
      <c r="D220">
        <v>245</v>
      </c>
      <c r="E220">
        <v>320</v>
      </c>
      <c r="F220">
        <v>369</v>
      </c>
      <c r="G220">
        <v>369</v>
      </c>
      <c r="H220">
        <v>369</v>
      </c>
      <c r="I220">
        <v>369</v>
      </c>
      <c r="J220">
        <v>369</v>
      </c>
      <c r="K220">
        <v>369</v>
      </c>
      <c r="L220">
        <v>369</v>
      </c>
      <c r="M220">
        <v>369</v>
      </c>
      <c r="N220">
        <v>369</v>
      </c>
      <c r="O220">
        <v>369</v>
      </c>
      <c r="P220">
        <v>369</v>
      </c>
      <c r="Q220">
        <v>369</v>
      </c>
      <c r="R220">
        <v>369</v>
      </c>
      <c r="S220">
        <v>369</v>
      </c>
      <c r="T220">
        <v>369</v>
      </c>
      <c r="U220">
        <v>369</v>
      </c>
      <c r="V220">
        <v>369</v>
      </c>
      <c r="W220">
        <v>369</v>
      </c>
      <c r="X220">
        <v>369</v>
      </c>
      <c r="Y220">
        <v>369</v>
      </c>
      <c r="Z220">
        <v>369</v>
      </c>
      <c r="AA220">
        <v>369</v>
      </c>
      <c r="AB220">
        <v>369</v>
      </c>
      <c r="AC220">
        <v>369</v>
      </c>
      <c r="AD220">
        <v>369</v>
      </c>
      <c r="AE220">
        <v>369</v>
      </c>
      <c r="AF220">
        <v>369</v>
      </c>
      <c r="AG220">
        <v>369</v>
      </c>
      <c r="AH220">
        <v>369</v>
      </c>
    </row>
    <row r="221" spans="1:34" x14ac:dyDescent="0.35">
      <c r="A221" t="s">
        <v>709</v>
      </c>
      <c r="B221">
        <v>113</v>
      </c>
      <c r="C221">
        <v>170</v>
      </c>
      <c r="D221">
        <v>245</v>
      </c>
      <c r="E221">
        <v>320</v>
      </c>
      <c r="F221">
        <v>369</v>
      </c>
      <c r="G221">
        <v>369</v>
      </c>
      <c r="H221">
        <v>369</v>
      </c>
      <c r="I221">
        <v>369</v>
      </c>
      <c r="J221">
        <v>369</v>
      </c>
      <c r="K221">
        <v>369</v>
      </c>
      <c r="L221">
        <v>369</v>
      </c>
      <c r="M221">
        <v>369</v>
      </c>
      <c r="N221">
        <v>369</v>
      </c>
      <c r="O221">
        <v>369</v>
      </c>
      <c r="P221">
        <v>369</v>
      </c>
      <c r="Q221">
        <v>369</v>
      </c>
      <c r="R221">
        <v>369</v>
      </c>
      <c r="S221">
        <v>369</v>
      </c>
      <c r="T221">
        <v>369</v>
      </c>
      <c r="U221">
        <v>369</v>
      </c>
      <c r="V221">
        <v>369</v>
      </c>
      <c r="W221">
        <v>369</v>
      </c>
      <c r="X221">
        <v>369</v>
      </c>
      <c r="Y221">
        <v>369</v>
      </c>
      <c r="Z221">
        <v>369</v>
      </c>
      <c r="AA221">
        <v>369</v>
      </c>
      <c r="AB221">
        <v>369</v>
      </c>
      <c r="AC221">
        <v>369</v>
      </c>
      <c r="AD221">
        <v>369</v>
      </c>
      <c r="AE221">
        <v>369</v>
      </c>
      <c r="AF221">
        <v>369</v>
      </c>
      <c r="AG221">
        <v>369</v>
      </c>
      <c r="AH221">
        <v>369</v>
      </c>
    </row>
    <row r="222" spans="1:34" x14ac:dyDescent="0.35">
      <c r="A222" t="s">
        <v>710</v>
      </c>
      <c r="B222">
        <v>113</v>
      </c>
      <c r="C222">
        <v>170</v>
      </c>
      <c r="D222">
        <v>245</v>
      </c>
      <c r="E222">
        <v>320</v>
      </c>
      <c r="F222">
        <v>369</v>
      </c>
      <c r="G222">
        <v>369</v>
      </c>
      <c r="H222">
        <v>369</v>
      </c>
      <c r="I222">
        <v>369</v>
      </c>
      <c r="J222">
        <v>369</v>
      </c>
      <c r="K222">
        <v>369</v>
      </c>
      <c r="L222">
        <v>369</v>
      </c>
      <c r="M222">
        <v>369</v>
      </c>
      <c r="N222">
        <v>369</v>
      </c>
      <c r="O222">
        <v>369</v>
      </c>
      <c r="P222">
        <v>369</v>
      </c>
      <c r="Q222">
        <v>369</v>
      </c>
      <c r="R222">
        <v>369</v>
      </c>
      <c r="S222">
        <v>369</v>
      </c>
      <c r="T222">
        <v>369</v>
      </c>
      <c r="U222">
        <v>369</v>
      </c>
      <c r="V222">
        <v>369</v>
      </c>
      <c r="W222">
        <v>369</v>
      </c>
      <c r="X222">
        <v>369</v>
      </c>
      <c r="Y222">
        <v>369</v>
      </c>
      <c r="Z222">
        <v>369</v>
      </c>
      <c r="AA222">
        <v>369</v>
      </c>
      <c r="AB222">
        <v>369</v>
      </c>
      <c r="AC222">
        <v>369</v>
      </c>
      <c r="AD222">
        <v>369</v>
      </c>
      <c r="AE222">
        <v>369</v>
      </c>
      <c r="AF222">
        <v>369</v>
      </c>
      <c r="AG222">
        <v>369</v>
      </c>
      <c r="AH222">
        <v>369</v>
      </c>
    </row>
    <row r="223" spans="1:34" x14ac:dyDescent="0.35">
      <c r="A223" t="s">
        <v>711</v>
      </c>
      <c r="B223">
        <v>113</v>
      </c>
      <c r="C223">
        <v>170</v>
      </c>
      <c r="D223">
        <v>245</v>
      </c>
      <c r="E223">
        <v>320</v>
      </c>
      <c r="F223">
        <v>369</v>
      </c>
      <c r="G223">
        <v>369</v>
      </c>
      <c r="H223">
        <v>369</v>
      </c>
      <c r="I223">
        <v>369</v>
      </c>
      <c r="J223">
        <v>369</v>
      </c>
      <c r="K223">
        <v>369</v>
      </c>
      <c r="L223">
        <v>369</v>
      </c>
      <c r="M223">
        <v>369</v>
      </c>
      <c r="N223">
        <v>369</v>
      </c>
      <c r="O223">
        <v>369</v>
      </c>
      <c r="P223">
        <v>369</v>
      </c>
      <c r="Q223">
        <v>369</v>
      </c>
      <c r="R223">
        <v>369</v>
      </c>
      <c r="S223">
        <v>369</v>
      </c>
      <c r="T223">
        <v>369</v>
      </c>
      <c r="U223">
        <v>369</v>
      </c>
      <c r="V223">
        <v>369</v>
      </c>
      <c r="W223">
        <v>369</v>
      </c>
      <c r="X223">
        <v>369</v>
      </c>
      <c r="Y223">
        <v>369</v>
      </c>
      <c r="Z223">
        <v>369</v>
      </c>
      <c r="AA223">
        <v>369</v>
      </c>
      <c r="AB223">
        <v>369</v>
      </c>
      <c r="AC223">
        <v>369</v>
      </c>
      <c r="AD223">
        <v>369</v>
      </c>
      <c r="AE223">
        <v>369</v>
      </c>
      <c r="AF223">
        <v>369</v>
      </c>
      <c r="AG223">
        <v>369</v>
      </c>
      <c r="AH223">
        <v>369</v>
      </c>
    </row>
    <row r="224" spans="1:34" x14ac:dyDescent="0.35">
      <c r="A224" t="s">
        <v>712</v>
      </c>
      <c r="B224">
        <v>113</v>
      </c>
      <c r="C224">
        <v>170</v>
      </c>
      <c r="D224">
        <v>245</v>
      </c>
      <c r="E224">
        <v>320</v>
      </c>
      <c r="F224">
        <v>369</v>
      </c>
      <c r="G224">
        <v>369</v>
      </c>
      <c r="H224">
        <v>369</v>
      </c>
      <c r="I224">
        <v>369</v>
      </c>
      <c r="J224">
        <v>369</v>
      </c>
      <c r="K224">
        <v>369</v>
      </c>
      <c r="L224">
        <v>369</v>
      </c>
      <c r="M224">
        <v>369</v>
      </c>
      <c r="N224">
        <v>369</v>
      </c>
      <c r="O224">
        <v>369</v>
      </c>
      <c r="P224">
        <v>369</v>
      </c>
      <c r="Q224">
        <v>369</v>
      </c>
      <c r="R224">
        <v>369</v>
      </c>
      <c r="S224">
        <v>369</v>
      </c>
      <c r="T224">
        <v>369</v>
      </c>
      <c r="U224">
        <v>369</v>
      </c>
      <c r="V224">
        <v>369</v>
      </c>
      <c r="W224">
        <v>369</v>
      </c>
      <c r="X224">
        <v>369</v>
      </c>
      <c r="Y224">
        <v>369</v>
      </c>
      <c r="Z224">
        <v>369</v>
      </c>
      <c r="AA224">
        <v>369</v>
      </c>
      <c r="AB224">
        <v>369</v>
      </c>
      <c r="AC224">
        <v>369</v>
      </c>
      <c r="AD224">
        <v>369</v>
      </c>
      <c r="AE224">
        <v>369</v>
      </c>
      <c r="AF224">
        <v>369</v>
      </c>
      <c r="AG224">
        <v>369</v>
      </c>
      <c r="AH224">
        <v>369</v>
      </c>
    </row>
    <row r="225" spans="1:34" x14ac:dyDescent="0.35">
      <c r="A225" t="s">
        <v>713</v>
      </c>
      <c r="B225">
        <v>113</v>
      </c>
      <c r="C225">
        <v>170</v>
      </c>
      <c r="D225">
        <v>245</v>
      </c>
      <c r="E225">
        <v>320</v>
      </c>
      <c r="F225">
        <v>369</v>
      </c>
      <c r="G225">
        <v>369</v>
      </c>
      <c r="H225">
        <v>369</v>
      </c>
      <c r="I225">
        <v>369</v>
      </c>
      <c r="J225">
        <v>369</v>
      </c>
      <c r="K225">
        <v>369</v>
      </c>
      <c r="L225">
        <v>369</v>
      </c>
      <c r="M225">
        <v>369</v>
      </c>
      <c r="N225">
        <v>369</v>
      </c>
      <c r="O225">
        <v>369</v>
      </c>
      <c r="P225">
        <v>369</v>
      </c>
      <c r="Q225">
        <v>369</v>
      </c>
      <c r="R225">
        <v>369</v>
      </c>
      <c r="S225">
        <v>369</v>
      </c>
      <c r="T225">
        <v>369</v>
      </c>
      <c r="U225">
        <v>369</v>
      </c>
      <c r="V225">
        <v>369</v>
      </c>
      <c r="W225">
        <v>369</v>
      </c>
      <c r="X225">
        <v>369</v>
      </c>
      <c r="Y225">
        <v>369</v>
      </c>
      <c r="Z225">
        <v>369</v>
      </c>
      <c r="AA225">
        <v>369</v>
      </c>
      <c r="AB225">
        <v>369</v>
      </c>
      <c r="AC225">
        <v>369</v>
      </c>
      <c r="AD225">
        <v>369</v>
      </c>
      <c r="AE225">
        <v>369</v>
      </c>
      <c r="AF225">
        <v>369</v>
      </c>
      <c r="AG225">
        <v>369</v>
      </c>
      <c r="AH225">
        <v>369</v>
      </c>
    </row>
    <row r="226" spans="1:34" x14ac:dyDescent="0.35">
      <c r="A226" t="s">
        <v>714</v>
      </c>
      <c r="B226">
        <v>113</v>
      </c>
      <c r="C226">
        <v>170</v>
      </c>
      <c r="D226">
        <v>245</v>
      </c>
      <c r="E226">
        <v>320</v>
      </c>
      <c r="F226">
        <v>369</v>
      </c>
      <c r="G226">
        <v>369</v>
      </c>
      <c r="H226">
        <v>369</v>
      </c>
      <c r="I226">
        <v>369</v>
      </c>
      <c r="J226">
        <v>369</v>
      </c>
      <c r="K226">
        <v>369</v>
      </c>
      <c r="L226">
        <v>369</v>
      </c>
      <c r="M226">
        <v>369</v>
      </c>
      <c r="N226">
        <v>369</v>
      </c>
      <c r="O226">
        <v>369</v>
      </c>
      <c r="P226">
        <v>369</v>
      </c>
      <c r="Q226">
        <v>369</v>
      </c>
      <c r="R226">
        <v>369</v>
      </c>
      <c r="S226">
        <v>369</v>
      </c>
      <c r="T226">
        <v>369</v>
      </c>
      <c r="U226">
        <v>369</v>
      </c>
      <c r="V226">
        <v>369</v>
      </c>
      <c r="W226">
        <v>369</v>
      </c>
      <c r="X226">
        <v>369</v>
      </c>
      <c r="Y226">
        <v>369</v>
      </c>
      <c r="Z226">
        <v>369</v>
      </c>
      <c r="AA226">
        <v>369</v>
      </c>
      <c r="AB226">
        <v>369</v>
      </c>
      <c r="AC226">
        <v>369</v>
      </c>
      <c r="AD226">
        <v>369</v>
      </c>
      <c r="AE226">
        <v>369</v>
      </c>
      <c r="AF226">
        <v>369</v>
      </c>
      <c r="AG226">
        <v>369</v>
      </c>
      <c r="AH226">
        <v>369</v>
      </c>
    </row>
    <row r="227" spans="1:34" x14ac:dyDescent="0.35">
      <c r="A227" t="s">
        <v>715</v>
      </c>
      <c r="B227">
        <v>113</v>
      </c>
      <c r="C227">
        <v>170</v>
      </c>
      <c r="D227">
        <v>245</v>
      </c>
      <c r="E227">
        <v>320</v>
      </c>
      <c r="F227">
        <v>369</v>
      </c>
      <c r="G227">
        <v>369</v>
      </c>
      <c r="H227">
        <v>369</v>
      </c>
      <c r="I227">
        <v>369</v>
      </c>
      <c r="J227">
        <v>369</v>
      </c>
      <c r="K227">
        <v>369</v>
      </c>
      <c r="L227">
        <v>369</v>
      </c>
      <c r="M227">
        <v>369</v>
      </c>
      <c r="N227">
        <v>369</v>
      </c>
      <c r="O227">
        <v>369</v>
      </c>
      <c r="P227">
        <v>369</v>
      </c>
      <c r="Q227">
        <v>369</v>
      </c>
      <c r="R227">
        <v>369</v>
      </c>
      <c r="S227">
        <v>369</v>
      </c>
      <c r="T227">
        <v>369</v>
      </c>
      <c r="U227">
        <v>369</v>
      </c>
      <c r="V227">
        <v>369</v>
      </c>
      <c r="W227">
        <v>369</v>
      </c>
      <c r="X227">
        <v>369</v>
      </c>
      <c r="Y227">
        <v>369</v>
      </c>
      <c r="Z227">
        <v>369</v>
      </c>
      <c r="AA227">
        <v>369</v>
      </c>
      <c r="AB227">
        <v>369</v>
      </c>
      <c r="AC227">
        <v>369</v>
      </c>
      <c r="AD227">
        <v>369</v>
      </c>
      <c r="AE227">
        <v>369</v>
      </c>
      <c r="AF227">
        <v>369</v>
      </c>
      <c r="AG227">
        <v>369</v>
      </c>
      <c r="AH227">
        <v>369</v>
      </c>
    </row>
    <row r="228" spans="1:34" x14ac:dyDescent="0.35">
      <c r="A228" t="s">
        <v>716</v>
      </c>
      <c r="B228">
        <v>113</v>
      </c>
      <c r="C228">
        <v>170</v>
      </c>
      <c r="D228">
        <v>245</v>
      </c>
      <c r="E228">
        <v>320</v>
      </c>
      <c r="F228">
        <v>369</v>
      </c>
      <c r="G228">
        <v>369</v>
      </c>
      <c r="H228">
        <v>369</v>
      </c>
      <c r="I228">
        <v>369</v>
      </c>
      <c r="J228">
        <v>369</v>
      </c>
      <c r="K228">
        <v>369</v>
      </c>
      <c r="L228">
        <v>369</v>
      </c>
      <c r="M228">
        <v>369</v>
      </c>
      <c r="N228">
        <v>369</v>
      </c>
      <c r="O228">
        <v>369</v>
      </c>
      <c r="P228">
        <v>369</v>
      </c>
      <c r="Q228">
        <v>369</v>
      </c>
      <c r="R228">
        <v>369</v>
      </c>
      <c r="S228">
        <v>369</v>
      </c>
      <c r="T228">
        <v>369</v>
      </c>
      <c r="U228">
        <v>369</v>
      </c>
      <c r="V228">
        <v>369</v>
      </c>
      <c r="W228">
        <v>369</v>
      </c>
      <c r="X228">
        <v>369</v>
      </c>
      <c r="Y228">
        <v>369</v>
      </c>
      <c r="Z228">
        <v>369</v>
      </c>
      <c r="AA228">
        <v>369</v>
      </c>
      <c r="AB228">
        <v>369</v>
      </c>
      <c r="AC228">
        <v>369</v>
      </c>
      <c r="AD228">
        <v>369</v>
      </c>
      <c r="AE228">
        <v>369</v>
      </c>
      <c r="AF228">
        <v>369</v>
      </c>
      <c r="AG228">
        <v>369</v>
      </c>
      <c r="AH228">
        <v>369</v>
      </c>
    </row>
    <row r="229" spans="1:34" x14ac:dyDescent="0.35">
      <c r="A229" t="s">
        <v>717</v>
      </c>
      <c r="B229">
        <v>113</v>
      </c>
      <c r="C229">
        <v>170</v>
      </c>
      <c r="D229">
        <v>245</v>
      </c>
      <c r="E229">
        <v>320</v>
      </c>
      <c r="F229">
        <v>369</v>
      </c>
      <c r="G229">
        <v>369</v>
      </c>
      <c r="H229">
        <v>369</v>
      </c>
      <c r="I229">
        <v>369</v>
      </c>
      <c r="J229">
        <v>369</v>
      </c>
      <c r="K229">
        <v>369</v>
      </c>
      <c r="L229">
        <v>369</v>
      </c>
      <c r="M229">
        <v>369</v>
      </c>
      <c r="N229">
        <v>369</v>
      </c>
      <c r="O229">
        <v>369</v>
      </c>
      <c r="P229">
        <v>369</v>
      </c>
      <c r="Q229">
        <v>369</v>
      </c>
      <c r="R229">
        <v>369</v>
      </c>
      <c r="S229">
        <v>369</v>
      </c>
      <c r="T229">
        <v>369</v>
      </c>
      <c r="U229">
        <v>369</v>
      </c>
      <c r="V229">
        <v>369</v>
      </c>
      <c r="W229">
        <v>369</v>
      </c>
      <c r="X229">
        <v>369</v>
      </c>
      <c r="Y229">
        <v>369</v>
      </c>
      <c r="Z229">
        <v>369</v>
      </c>
      <c r="AA229">
        <v>369</v>
      </c>
      <c r="AB229">
        <v>369</v>
      </c>
      <c r="AC229">
        <v>369</v>
      </c>
      <c r="AD229">
        <v>369</v>
      </c>
      <c r="AE229">
        <v>369</v>
      </c>
      <c r="AF229">
        <v>369</v>
      </c>
      <c r="AG229">
        <v>369</v>
      </c>
      <c r="AH229">
        <v>369</v>
      </c>
    </row>
    <row r="230" spans="1:34" x14ac:dyDescent="0.35">
      <c r="A230" t="s">
        <v>718</v>
      </c>
      <c r="B230">
        <v>113</v>
      </c>
      <c r="C230">
        <v>170</v>
      </c>
      <c r="D230">
        <v>245</v>
      </c>
      <c r="E230">
        <v>320</v>
      </c>
      <c r="F230">
        <v>369</v>
      </c>
      <c r="G230">
        <v>369</v>
      </c>
      <c r="H230">
        <v>369</v>
      </c>
      <c r="I230">
        <v>369</v>
      </c>
      <c r="J230">
        <v>369</v>
      </c>
      <c r="K230">
        <v>369</v>
      </c>
      <c r="L230">
        <v>369</v>
      </c>
      <c r="M230">
        <v>369</v>
      </c>
      <c r="N230">
        <v>369</v>
      </c>
      <c r="O230">
        <v>369</v>
      </c>
      <c r="P230">
        <v>369</v>
      </c>
      <c r="Q230">
        <v>369</v>
      </c>
      <c r="R230">
        <v>369</v>
      </c>
      <c r="S230">
        <v>369</v>
      </c>
      <c r="T230">
        <v>369</v>
      </c>
      <c r="U230">
        <v>369</v>
      </c>
      <c r="V230">
        <v>369</v>
      </c>
      <c r="W230">
        <v>369</v>
      </c>
      <c r="X230">
        <v>369</v>
      </c>
      <c r="Y230">
        <v>369</v>
      </c>
      <c r="Z230">
        <v>369</v>
      </c>
      <c r="AA230">
        <v>369</v>
      </c>
      <c r="AB230">
        <v>369</v>
      </c>
      <c r="AC230">
        <v>369</v>
      </c>
      <c r="AD230">
        <v>369</v>
      </c>
      <c r="AE230">
        <v>369</v>
      </c>
      <c r="AF230">
        <v>369</v>
      </c>
      <c r="AG230">
        <v>369</v>
      </c>
      <c r="AH230">
        <v>369</v>
      </c>
    </row>
    <row r="231" spans="1:34" x14ac:dyDescent="0.35">
      <c r="A231" t="s">
        <v>719</v>
      </c>
      <c r="B231">
        <v>113</v>
      </c>
      <c r="C231">
        <v>170</v>
      </c>
      <c r="D231">
        <v>245</v>
      </c>
      <c r="E231">
        <v>320</v>
      </c>
      <c r="F231">
        <v>369</v>
      </c>
      <c r="G231">
        <v>369</v>
      </c>
      <c r="H231">
        <v>369</v>
      </c>
      <c r="I231">
        <v>369</v>
      </c>
      <c r="J231">
        <v>369</v>
      </c>
      <c r="K231">
        <v>369</v>
      </c>
      <c r="L231">
        <v>369</v>
      </c>
      <c r="M231">
        <v>369</v>
      </c>
      <c r="N231">
        <v>369</v>
      </c>
      <c r="O231">
        <v>369</v>
      </c>
      <c r="P231">
        <v>369</v>
      </c>
      <c r="Q231">
        <v>369</v>
      </c>
      <c r="R231">
        <v>369</v>
      </c>
      <c r="S231">
        <v>369</v>
      </c>
      <c r="T231">
        <v>369</v>
      </c>
      <c r="U231">
        <v>369</v>
      </c>
      <c r="V231">
        <v>369</v>
      </c>
      <c r="W231">
        <v>369</v>
      </c>
      <c r="X231">
        <v>369</v>
      </c>
      <c r="Y231">
        <v>369</v>
      </c>
      <c r="Z231">
        <v>369</v>
      </c>
      <c r="AA231">
        <v>369</v>
      </c>
      <c r="AB231">
        <v>369</v>
      </c>
      <c r="AC231">
        <v>369</v>
      </c>
      <c r="AD231">
        <v>369</v>
      </c>
      <c r="AE231">
        <v>369</v>
      </c>
      <c r="AF231">
        <v>369</v>
      </c>
      <c r="AG231">
        <v>369</v>
      </c>
      <c r="AH231">
        <v>369</v>
      </c>
    </row>
    <row r="232" spans="1:34" x14ac:dyDescent="0.35">
      <c r="A232" t="s">
        <v>720</v>
      </c>
      <c r="B232">
        <v>113</v>
      </c>
      <c r="C232">
        <v>170</v>
      </c>
      <c r="D232">
        <v>245</v>
      </c>
      <c r="E232">
        <v>320</v>
      </c>
      <c r="F232">
        <v>369</v>
      </c>
      <c r="G232">
        <v>369</v>
      </c>
      <c r="H232">
        <v>369</v>
      </c>
      <c r="I232">
        <v>369</v>
      </c>
      <c r="J232">
        <v>369</v>
      </c>
      <c r="K232">
        <v>369</v>
      </c>
      <c r="L232">
        <v>369</v>
      </c>
      <c r="M232">
        <v>369</v>
      </c>
      <c r="N232">
        <v>369</v>
      </c>
      <c r="O232">
        <v>369</v>
      </c>
      <c r="P232">
        <v>369</v>
      </c>
      <c r="Q232">
        <v>369</v>
      </c>
      <c r="R232">
        <v>369</v>
      </c>
      <c r="S232">
        <v>369</v>
      </c>
      <c r="T232">
        <v>369</v>
      </c>
      <c r="U232">
        <v>369</v>
      </c>
      <c r="V232">
        <v>369</v>
      </c>
      <c r="W232">
        <v>369</v>
      </c>
      <c r="X232">
        <v>369</v>
      </c>
      <c r="Y232">
        <v>369</v>
      </c>
      <c r="Z232">
        <v>369</v>
      </c>
      <c r="AA232">
        <v>369</v>
      </c>
      <c r="AB232">
        <v>369</v>
      </c>
      <c r="AC232">
        <v>369</v>
      </c>
      <c r="AD232">
        <v>369</v>
      </c>
      <c r="AE232">
        <v>369</v>
      </c>
      <c r="AF232">
        <v>369</v>
      </c>
      <c r="AG232">
        <v>369</v>
      </c>
      <c r="AH232">
        <v>369</v>
      </c>
    </row>
    <row r="233" spans="1:34" x14ac:dyDescent="0.35">
      <c r="A233" t="s">
        <v>721</v>
      </c>
      <c r="B233">
        <v>113</v>
      </c>
      <c r="C233">
        <v>170</v>
      </c>
      <c r="D233">
        <v>245</v>
      </c>
      <c r="E233">
        <v>320</v>
      </c>
      <c r="F233">
        <v>369</v>
      </c>
      <c r="G233">
        <v>369</v>
      </c>
      <c r="H233">
        <v>369</v>
      </c>
      <c r="I233">
        <v>369</v>
      </c>
      <c r="J233">
        <v>369</v>
      </c>
      <c r="K233">
        <v>369</v>
      </c>
      <c r="L233">
        <v>369</v>
      </c>
      <c r="M233">
        <v>369</v>
      </c>
      <c r="N233">
        <v>369</v>
      </c>
      <c r="O233">
        <v>369</v>
      </c>
      <c r="P233">
        <v>369</v>
      </c>
      <c r="Q233">
        <v>369</v>
      </c>
      <c r="R233">
        <v>369</v>
      </c>
      <c r="S233">
        <v>369</v>
      </c>
      <c r="T233">
        <v>369</v>
      </c>
      <c r="U233">
        <v>369</v>
      </c>
      <c r="V233">
        <v>369</v>
      </c>
      <c r="W233">
        <v>369</v>
      </c>
      <c r="X233">
        <v>369</v>
      </c>
      <c r="Y233">
        <v>369</v>
      </c>
      <c r="Z233">
        <v>369</v>
      </c>
      <c r="AA233">
        <v>369</v>
      </c>
      <c r="AB233">
        <v>369</v>
      </c>
      <c r="AC233">
        <v>369</v>
      </c>
      <c r="AD233">
        <v>369</v>
      </c>
      <c r="AE233">
        <v>369</v>
      </c>
      <c r="AF233">
        <v>369</v>
      </c>
      <c r="AG233">
        <v>369</v>
      </c>
      <c r="AH233">
        <v>369</v>
      </c>
    </row>
    <row r="234" spans="1:34" x14ac:dyDescent="0.35">
      <c r="A234" t="s">
        <v>722</v>
      </c>
      <c r="B234">
        <v>113</v>
      </c>
      <c r="C234">
        <v>170</v>
      </c>
      <c r="D234">
        <v>245</v>
      </c>
      <c r="E234">
        <v>320</v>
      </c>
      <c r="F234">
        <v>369</v>
      </c>
      <c r="G234">
        <v>369</v>
      </c>
      <c r="H234">
        <v>369</v>
      </c>
      <c r="I234">
        <v>369</v>
      </c>
      <c r="J234">
        <v>369</v>
      </c>
      <c r="K234">
        <v>369</v>
      </c>
      <c r="L234">
        <v>369</v>
      </c>
      <c r="M234">
        <v>369</v>
      </c>
      <c r="N234">
        <v>369</v>
      </c>
      <c r="O234">
        <v>369</v>
      </c>
      <c r="P234">
        <v>369</v>
      </c>
      <c r="Q234">
        <v>369</v>
      </c>
      <c r="R234">
        <v>369</v>
      </c>
      <c r="S234">
        <v>369</v>
      </c>
      <c r="T234">
        <v>369</v>
      </c>
      <c r="U234">
        <v>369</v>
      </c>
      <c r="V234">
        <v>369</v>
      </c>
      <c r="W234">
        <v>369</v>
      </c>
      <c r="X234">
        <v>369</v>
      </c>
      <c r="Y234">
        <v>369</v>
      </c>
      <c r="Z234">
        <v>369</v>
      </c>
      <c r="AA234">
        <v>369</v>
      </c>
      <c r="AB234">
        <v>369</v>
      </c>
      <c r="AC234">
        <v>369</v>
      </c>
      <c r="AD234">
        <v>369</v>
      </c>
      <c r="AE234">
        <v>369</v>
      </c>
      <c r="AF234">
        <v>369</v>
      </c>
      <c r="AG234">
        <v>369</v>
      </c>
      <c r="AH234">
        <v>369</v>
      </c>
    </row>
    <row r="235" spans="1:34" x14ac:dyDescent="0.35">
      <c r="A235" t="s">
        <v>723</v>
      </c>
      <c r="B235">
        <v>113</v>
      </c>
      <c r="C235">
        <v>170</v>
      </c>
      <c r="D235">
        <v>245</v>
      </c>
      <c r="E235">
        <v>320</v>
      </c>
      <c r="F235">
        <v>369</v>
      </c>
      <c r="G235">
        <v>369</v>
      </c>
      <c r="H235">
        <v>369</v>
      </c>
      <c r="I235">
        <v>369</v>
      </c>
      <c r="J235">
        <v>369</v>
      </c>
      <c r="K235">
        <v>369</v>
      </c>
      <c r="L235">
        <v>369</v>
      </c>
      <c r="M235">
        <v>369</v>
      </c>
      <c r="N235">
        <v>369</v>
      </c>
      <c r="O235">
        <v>369</v>
      </c>
      <c r="P235">
        <v>369</v>
      </c>
      <c r="Q235">
        <v>369</v>
      </c>
      <c r="R235">
        <v>369</v>
      </c>
      <c r="S235">
        <v>369</v>
      </c>
      <c r="T235">
        <v>369</v>
      </c>
      <c r="U235">
        <v>369</v>
      </c>
      <c r="V235">
        <v>369</v>
      </c>
      <c r="W235">
        <v>369</v>
      </c>
      <c r="X235">
        <v>369</v>
      </c>
      <c r="Y235">
        <v>369</v>
      </c>
      <c r="Z235">
        <v>369</v>
      </c>
      <c r="AA235">
        <v>369</v>
      </c>
      <c r="AB235">
        <v>369</v>
      </c>
      <c r="AC235">
        <v>369</v>
      </c>
      <c r="AD235">
        <v>369</v>
      </c>
      <c r="AE235">
        <v>369</v>
      </c>
      <c r="AF235">
        <v>369</v>
      </c>
      <c r="AG235">
        <v>369</v>
      </c>
      <c r="AH235">
        <v>369</v>
      </c>
    </row>
    <row r="236" spans="1:34" x14ac:dyDescent="0.35">
      <c r="A236" t="s">
        <v>724</v>
      </c>
      <c r="B236">
        <v>148</v>
      </c>
      <c r="C236">
        <v>216</v>
      </c>
      <c r="D236">
        <v>301</v>
      </c>
      <c r="E236">
        <v>394</v>
      </c>
      <c r="F236">
        <v>455</v>
      </c>
      <c r="G236">
        <v>455</v>
      </c>
      <c r="H236">
        <v>455</v>
      </c>
      <c r="I236">
        <v>455</v>
      </c>
      <c r="J236">
        <v>455</v>
      </c>
      <c r="K236">
        <v>455</v>
      </c>
      <c r="L236">
        <v>455</v>
      </c>
      <c r="M236">
        <v>455</v>
      </c>
      <c r="N236">
        <v>455</v>
      </c>
      <c r="O236">
        <v>455</v>
      </c>
      <c r="P236">
        <v>455</v>
      </c>
      <c r="Q236">
        <v>455</v>
      </c>
      <c r="R236">
        <v>455</v>
      </c>
      <c r="S236">
        <v>455</v>
      </c>
      <c r="T236">
        <v>455</v>
      </c>
      <c r="U236">
        <v>455</v>
      </c>
      <c r="V236">
        <v>455</v>
      </c>
      <c r="W236">
        <v>455</v>
      </c>
      <c r="X236">
        <v>455</v>
      </c>
      <c r="Y236">
        <v>455</v>
      </c>
      <c r="Z236">
        <v>455</v>
      </c>
      <c r="AA236">
        <v>455</v>
      </c>
      <c r="AB236">
        <v>455</v>
      </c>
      <c r="AC236">
        <v>455</v>
      </c>
      <c r="AD236">
        <v>455</v>
      </c>
      <c r="AE236">
        <v>455</v>
      </c>
      <c r="AF236">
        <v>455</v>
      </c>
      <c r="AG236">
        <v>455</v>
      </c>
      <c r="AH236">
        <v>455</v>
      </c>
    </row>
    <row r="237" spans="1:34" x14ac:dyDescent="0.35">
      <c r="A237" t="s">
        <v>725</v>
      </c>
      <c r="B237">
        <v>160</v>
      </c>
      <c r="C237">
        <v>302</v>
      </c>
      <c r="D237">
        <v>424</v>
      </c>
      <c r="E237">
        <v>550</v>
      </c>
      <c r="F237">
        <v>683</v>
      </c>
      <c r="G237">
        <v>804</v>
      </c>
      <c r="H237">
        <v>916</v>
      </c>
      <c r="I237">
        <v>999</v>
      </c>
      <c r="J237">
        <v>1040</v>
      </c>
      <c r="K237">
        <v>1082</v>
      </c>
      <c r="L237">
        <v>1123</v>
      </c>
      <c r="M237">
        <v>1165</v>
      </c>
      <c r="N237">
        <v>1207</v>
      </c>
      <c r="O237">
        <v>1290</v>
      </c>
      <c r="P237">
        <v>1352</v>
      </c>
      <c r="Q237">
        <v>1415</v>
      </c>
      <c r="R237">
        <v>1456</v>
      </c>
      <c r="S237">
        <v>1518</v>
      </c>
      <c r="T237">
        <v>1581</v>
      </c>
      <c r="U237">
        <v>1622</v>
      </c>
      <c r="V237">
        <v>1643</v>
      </c>
      <c r="W237">
        <v>1685</v>
      </c>
      <c r="X237">
        <v>1726</v>
      </c>
      <c r="Y237">
        <v>1768</v>
      </c>
      <c r="Z237">
        <v>1789</v>
      </c>
      <c r="AA237">
        <v>1810</v>
      </c>
      <c r="AB237">
        <v>1851</v>
      </c>
      <c r="AC237">
        <v>1914</v>
      </c>
      <c r="AD237">
        <v>1955</v>
      </c>
      <c r="AE237">
        <v>1997</v>
      </c>
      <c r="AF237">
        <v>2018</v>
      </c>
      <c r="AG237">
        <v>2059</v>
      </c>
      <c r="AH237">
        <v>2080</v>
      </c>
    </row>
    <row r="238" spans="1:34" x14ac:dyDescent="0.35">
      <c r="A238" t="s">
        <v>726</v>
      </c>
      <c r="B238">
        <v>250</v>
      </c>
      <c r="C238">
        <v>270</v>
      </c>
      <c r="D238">
        <v>302</v>
      </c>
      <c r="E238">
        <v>391</v>
      </c>
      <c r="F238">
        <v>486</v>
      </c>
      <c r="G238">
        <v>572</v>
      </c>
      <c r="H238">
        <v>652</v>
      </c>
      <c r="I238">
        <v>711</v>
      </c>
      <c r="J238">
        <v>740</v>
      </c>
      <c r="K238">
        <v>770</v>
      </c>
      <c r="L238">
        <v>799</v>
      </c>
      <c r="M238">
        <v>829</v>
      </c>
      <c r="N238">
        <v>859</v>
      </c>
      <c r="O238">
        <v>918</v>
      </c>
      <c r="P238">
        <v>962</v>
      </c>
      <c r="Q238">
        <v>1007</v>
      </c>
      <c r="R238">
        <v>1036</v>
      </c>
      <c r="S238">
        <v>1080</v>
      </c>
      <c r="T238">
        <v>1125</v>
      </c>
      <c r="U238">
        <v>1154</v>
      </c>
      <c r="V238">
        <v>1169</v>
      </c>
      <c r="W238">
        <v>1199</v>
      </c>
      <c r="X238">
        <v>1228</v>
      </c>
      <c r="Y238">
        <v>1258</v>
      </c>
      <c r="Z238">
        <v>1273</v>
      </c>
      <c r="AA238">
        <v>1288</v>
      </c>
      <c r="AB238">
        <v>1317</v>
      </c>
      <c r="AC238">
        <v>1362</v>
      </c>
      <c r="AD238">
        <v>1391</v>
      </c>
      <c r="AE238">
        <v>1421</v>
      </c>
      <c r="AF238">
        <v>1436</v>
      </c>
      <c r="AG238">
        <v>1465</v>
      </c>
      <c r="AH238">
        <v>1480</v>
      </c>
    </row>
    <row r="239" spans="1:34" x14ac:dyDescent="0.35">
      <c r="A239" t="s">
        <v>727</v>
      </c>
      <c r="B239">
        <v>220</v>
      </c>
      <c r="C239">
        <v>230</v>
      </c>
      <c r="D239">
        <v>250</v>
      </c>
      <c r="E239">
        <v>260</v>
      </c>
      <c r="F239">
        <v>285</v>
      </c>
      <c r="G239">
        <v>301</v>
      </c>
      <c r="H239">
        <v>344</v>
      </c>
      <c r="I239">
        <v>375</v>
      </c>
      <c r="J239">
        <v>390</v>
      </c>
      <c r="K239">
        <v>406</v>
      </c>
      <c r="L239">
        <v>421</v>
      </c>
      <c r="M239">
        <v>437</v>
      </c>
      <c r="N239">
        <v>453</v>
      </c>
      <c r="O239">
        <v>484</v>
      </c>
      <c r="P239">
        <v>507</v>
      </c>
      <c r="Q239">
        <v>531</v>
      </c>
      <c r="R239">
        <v>546</v>
      </c>
      <c r="S239">
        <v>569</v>
      </c>
      <c r="T239">
        <v>593</v>
      </c>
      <c r="U239">
        <v>608</v>
      </c>
      <c r="V239">
        <v>616</v>
      </c>
      <c r="W239">
        <v>632</v>
      </c>
      <c r="X239">
        <v>647</v>
      </c>
      <c r="Y239">
        <v>663</v>
      </c>
      <c r="Z239">
        <v>671</v>
      </c>
      <c r="AA239">
        <v>679</v>
      </c>
      <c r="AB239">
        <v>694</v>
      </c>
      <c r="AC239">
        <v>718</v>
      </c>
      <c r="AD239">
        <v>733</v>
      </c>
      <c r="AE239">
        <v>749</v>
      </c>
      <c r="AF239">
        <v>757</v>
      </c>
      <c r="AG239">
        <v>772</v>
      </c>
      <c r="AH239">
        <v>780</v>
      </c>
    </row>
    <row r="240" spans="1:34" x14ac:dyDescent="0.35">
      <c r="A240" t="s">
        <v>728</v>
      </c>
      <c r="B240">
        <v>91</v>
      </c>
      <c r="C240">
        <v>120</v>
      </c>
      <c r="D240">
        <v>148</v>
      </c>
      <c r="E240">
        <v>174</v>
      </c>
      <c r="F240">
        <v>200</v>
      </c>
      <c r="G240">
        <v>239</v>
      </c>
      <c r="H240">
        <v>265</v>
      </c>
      <c r="I240">
        <v>291</v>
      </c>
      <c r="J240">
        <v>316</v>
      </c>
      <c r="K240">
        <v>342</v>
      </c>
      <c r="L240">
        <v>381</v>
      </c>
      <c r="M240">
        <v>407</v>
      </c>
      <c r="N240">
        <v>432</v>
      </c>
      <c r="O240">
        <v>458</v>
      </c>
      <c r="P240">
        <v>484</v>
      </c>
      <c r="Q240">
        <v>509</v>
      </c>
      <c r="R240">
        <v>535</v>
      </c>
      <c r="S240">
        <v>535</v>
      </c>
      <c r="T240">
        <v>535</v>
      </c>
      <c r="U240">
        <v>535</v>
      </c>
      <c r="V240">
        <v>535</v>
      </c>
      <c r="W240">
        <v>535</v>
      </c>
      <c r="X240">
        <v>535</v>
      </c>
      <c r="Y240">
        <v>535</v>
      </c>
      <c r="Z240">
        <v>535</v>
      </c>
      <c r="AA240">
        <v>535</v>
      </c>
      <c r="AB240">
        <v>535</v>
      </c>
      <c r="AC240">
        <v>535</v>
      </c>
      <c r="AD240">
        <v>535</v>
      </c>
      <c r="AE240">
        <v>535</v>
      </c>
      <c r="AF240">
        <v>535</v>
      </c>
      <c r="AG240">
        <v>535</v>
      </c>
      <c r="AH240">
        <v>535</v>
      </c>
    </row>
    <row r="241" spans="1:34" x14ac:dyDescent="0.35">
      <c r="A241" t="s">
        <v>729</v>
      </c>
      <c r="B241">
        <v>91</v>
      </c>
      <c r="C241">
        <v>120</v>
      </c>
      <c r="D241">
        <v>148</v>
      </c>
      <c r="E241">
        <v>174</v>
      </c>
      <c r="F241">
        <v>200</v>
      </c>
      <c r="G241">
        <v>239</v>
      </c>
      <c r="H241">
        <v>265</v>
      </c>
      <c r="I241">
        <v>291</v>
      </c>
      <c r="J241">
        <v>316</v>
      </c>
      <c r="K241">
        <v>342</v>
      </c>
      <c r="L241">
        <v>381</v>
      </c>
      <c r="M241">
        <v>407</v>
      </c>
      <c r="N241">
        <v>432</v>
      </c>
      <c r="O241">
        <v>458</v>
      </c>
      <c r="P241">
        <v>484</v>
      </c>
      <c r="Q241">
        <v>509</v>
      </c>
      <c r="R241">
        <v>535</v>
      </c>
      <c r="S241">
        <v>535</v>
      </c>
      <c r="T241">
        <v>535</v>
      </c>
      <c r="U241">
        <v>535</v>
      </c>
      <c r="V241">
        <v>535</v>
      </c>
      <c r="W241">
        <v>535</v>
      </c>
      <c r="X241">
        <v>535</v>
      </c>
      <c r="Y241">
        <v>535</v>
      </c>
      <c r="Z241">
        <v>535</v>
      </c>
      <c r="AA241">
        <v>535</v>
      </c>
      <c r="AB241">
        <v>535</v>
      </c>
      <c r="AC241">
        <v>535</v>
      </c>
      <c r="AD241">
        <v>535</v>
      </c>
      <c r="AE241">
        <v>535</v>
      </c>
      <c r="AF241">
        <v>535</v>
      </c>
      <c r="AG241">
        <v>535</v>
      </c>
      <c r="AH241">
        <v>535</v>
      </c>
    </row>
    <row r="242" spans="1:34" x14ac:dyDescent="0.35">
      <c r="A242" t="s">
        <v>730</v>
      </c>
      <c r="B242">
        <v>91</v>
      </c>
      <c r="C242">
        <v>120</v>
      </c>
      <c r="D242">
        <v>148</v>
      </c>
      <c r="E242">
        <v>174</v>
      </c>
      <c r="F242">
        <v>200</v>
      </c>
      <c r="G242">
        <v>239</v>
      </c>
      <c r="H242">
        <v>265</v>
      </c>
      <c r="I242">
        <v>291</v>
      </c>
      <c r="J242">
        <v>316</v>
      </c>
      <c r="K242">
        <v>342</v>
      </c>
      <c r="L242">
        <v>381</v>
      </c>
      <c r="M242">
        <v>407</v>
      </c>
      <c r="N242">
        <v>432</v>
      </c>
      <c r="O242">
        <v>458</v>
      </c>
      <c r="P242">
        <v>484</v>
      </c>
      <c r="Q242">
        <v>509</v>
      </c>
      <c r="R242">
        <v>535</v>
      </c>
      <c r="S242">
        <v>535</v>
      </c>
      <c r="T242">
        <v>535</v>
      </c>
      <c r="U242">
        <v>535</v>
      </c>
      <c r="V242">
        <v>535</v>
      </c>
      <c r="W242">
        <v>535</v>
      </c>
      <c r="X242">
        <v>535</v>
      </c>
      <c r="Y242">
        <v>535</v>
      </c>
      <c r="Z242">
        <v>535</v>
      </c>
      <c r="AA242">
        <v>535</v>
      </c>
      <c r="AB242">
        <v>535</v>
      </c>
      <c r="AC242">
        <v>535</v>
      </c>
      <c r="AD242">
        <v>535</v>
      </c>
      <c r="AE242">
        <v>535</v>
      </c>
      <c r="AF242">
        <v>535</v>
      </c>
      <c r="AG242">
        <v>535</v>
      </c>
      <c r="AH242">
        <v>535</v>
      </c>
    </row>
    <row r="243" spans="1:34" x14ac:dyDescent="0.35">
      <c r="A243" t="s">
        <v>731</v>
      </c>
      <c r="B243">
        <v>91</v>
      </c>
      <c r="C243">
        <v>120</v>
      </c>
      <c r="D243">
        <v>148</v>
      </c>
      <c r="E243">
        <v>174</v>
      </c>
      <c r="F243">
        <v>200</v>
      </c>
      <c r="G243">
        <v>239</v>
      </c>
      <c r="H243">
        <v>265</v>
      </c>
      <c r="I243">
        <v>291</v>
      </c>
      <c r="J243">
        <v>316</v>
      </c>
      <c r="K243">
        <v>342</v>
      </c>
      <c r="L243">
        <v>381</v>
      </c>
      <c r="M243">
        <v>407</v>
      </c>
      <c r="N243">
        <v>432</v>
      </c>
      <c r="O243">
        <v>458</v>
      </c>
      <c r="P243">
        <v>484</v>
      </c>
      <c r="Q243">
        <v>509</v>
      </c>
      <c r="R243">
        <v>535</v>
      </c>
      <c r="S243">
        <v>535</v>
      </c>
      <c r="T243">
        <v>535</v>
      </c>
      <c r="U243">
        <v>535</v>
      </c>
      <c r="V243">
        <v>535</v>
      </c>
      <c r="W243">
        <v>535</v>
      </c>
      <c r="X243">
        <v>535</v>
      </c>
      <c r="Y243">
        <v>535</v>
      </c>
      <c r="Z243">
        <v>535</v>
      </c>
      <c r="AA243">
        <v>535</v>
      </c>
      <c r="AB243">
        <v>535</v>
      </c>
      <c r="AC243">
        <v>535</v>
      </c>
      <c r="AD243">
        <v>535</v>
      </c>
      <c r="AE243">
        <v>535</v>
      </c>
      <c r="AF243">
        <v>535</v>
      </c>
      <c r="AG243">
        <v>535</v>
      </c>
      <c r="AH243">
        <v>535</v>
      </c>
    </row>
    <row r="244" spans="1:34" x14ac:dyDescent="0.35">
      <c r="A244" t="s">
        <v>732</v>
      </c>
      <c r="B244">
        <v>105</v>
      </c>
      <c r="C244">
        <v>147</v>
      </c>
      <c r="D244">
        <v>189</v>
      </c>
      <c r="E244">
        <v>228</v>
      </c>
      <c r="F244">
        <v>267</v>
      </c>
      <c r="G244">
        <v>320</v>
      </c>
      <c r="H244">
        <v>359</v>
      </c>
      <c r="I244">
        <v>399</v>
      </c>
      <c r="J244">
        <v>438</v>
      </c>
      <c r="K244">
        <v>477</v>
      </c>
      <c r="L244">
        <v>529</v>
      </c>
      <c r="M244">
        <v>569</v>
      </c>
      <c r="N244">
        <v>608</v>
      </c>
      <c r="O244">
        <v>647</v>
      </c>
      <c r="P244">
        <v>686</v>
      </c>
      <c r="Q244">
        <v>725</v>
      </c>
      <c r="R244">
        <v>764</v>
      </c>
      <c r="S244">
        <v>764</v>
      </c>
      <c r="T244">
        <v>764</v>
      </c>
      <c r="U244">
        <v>764</v>
      </c>
      <c r="V244">
        <v>764</v>
      </c>
      <c r="W244">
        <v>764</v>
      </c>
      <c r="X244">
        <v>764</v>
      </c>
      <c r="Y244">
        <v>764</v>
      </c>
      <c r="Z244">
        <v>764</v>
      </c>
      <c r="AA244">
        <v>764</v>
      </c>
      <c r="AB244">
        <v>764</v>
      </c>
      <c r="AC244">
        <v>764</v>
      </c>
      <c r="AD244">
        <v>764</v>
      </c>
      <c r="AE244">
        <v>764</v>
      </c>
      <c r="AF244">
        <v>764</v>
      </c>
      <c r="AG244">
        <v>764</v>
      </c>
      <c r="AH244">
        <v>764</v>
      </c>
    </row>
    <row r="245" spans="1:34" x14ac:dyDescent="0.35">
      <c r="A245" t="s">
        <v>733</v>
      </c>
      <c r="B245">
        <v>105</v>
      </c>
      <c r="C245">
        <v>147</v>
      </c>
      <c r="D245">
        <v>189</v>
      </c>
      <c r="E245">
        <v>228</v>
      </c>
      <c r="F245">
        <v>267</v>
      </c>
      <c r="G245">
        <v>320</v>
      </c>
      <c r="H245">
        <v>359</v>
      </c>
      <c r="I245">
        <v>399</v>
      </c>
      <c r="J245">
        <v>438</v>
      </c>
      <c r="K245">
        <v>477</v>
      </c>
      <c r="L245">
        <v>529</v>
      </c>
      <c r="M245">
        <v>569</v>
      </c>
      <c r="N245">
        <v>608</v>
      </c>
      <c r="O245">
        <v>647</v>
      </c>
      <c r="P245">
        <v>686</v>
      </c>
      <c r="Q245">
        <v>725</v>
      </c>
      <c r="R245">
        <v>764</v>
      </c>
      <c r="S245">
        <v>764</v>
      </c>
      <c r="T245">
        <v>764</v>
      </c>
      <c r="U245">
        <v>764</v>
      </c>
      <c r="V245">
        <v>764</v>
      </c>
      <c r="W245">
        <v>764</v>
      </c>
      <c r="X245">
        <v>764</v>
      </c>
      <c r="Y245">
        <v>764</v>
      </c>
      <c r="Z245">
        <v>764</v>
      </c>
      <c r="AA245">
        <v>764</v>
      </c>
      <c r="AB245">
        <v>764</v>
      </c>
      <c r="AC245">
        <v>764</v>
      </c>
      <c r="AD245">
        <v>764</v>
      </c>
      <c r="AE245">
        <v>764</v>
      </c>
      <c r="AF245">
        <v>764</v>
      </c>
      <c r="AG245">
        <v>764</v>
      </c>
      <c r="AH245">
        <v>764</v>
      </c>
    </row>
    <row r="246" spans="1:34" x14ac:dyDescent="0.35">
      <c r="A246" t="s">
        <v>734</v>
      </c>
      <c r="B246">
        <v>105</v>
      </c>
      <c r="C246">
        <v>147</v>
      </c>
      <c r="D246">
        <v>189</v>
      </c>
      <c r="E246">
        <v>228</v>
      </c>
      <c r="F246">
        <v>267</v>
      </c>
      <c r="G246">
        <v>320</v>
      </c>
      <c r="H246">
        <v>359</v>
      </c>
      <c r="I246">
        <v>399</v>
      </c>
      <c r="J246">
        <v>438</v>
      </c>
      <c r="K246">
        <v>477</v>
      </c>
      <c r="L246">
        <v>529</v>
      </c>
      <c r="M246">
        <v>569</v>
      </c>
      <c r="N246">
        <v>608</v>
      </c>
      <c r="O246">
        <v>647</v>
      </c>
      <c r="P246">
        <v>686</v>
      </c>
      <c r="Q246">
        <v>725</v>
      </c>
      <c r="R246">
        <v>764</v>
      </c>
      <c r="S246">
        <v>764</v>
      </c>
      <c r="T246">
        <v>764</v>
      </c>
      <c r="U246">
        <v>764</v>
      </c>
      <c r="V246">
        <v>764</v>
      </c>
      <c r="W246">
        <v>764</v>
      </c>
      <c r="X246">
        <v>764</v>
      </c>
      <c r="Y246">
        <v>764</v>
      </c>
      <c r="Z246">
        <v>764</v>
      </c>
      <c r="AA246">
        <v>764</v>
      </c>
      <c r="AB246">
        <v>764</v>
      </c>
      <c r="AC246">
        <v>764</v>
      </c>
      <c r="AD246">
        <v>764</v>
      </c>
      <c r="AE246">
        <v>764</v>
      </c>
      <c r="AF246">
        <v>764</v>
      </c>
      <c r="AG246">
        <v>764</v>
      </c>
      <c r="AH246">
        <v>764</v>
      </c>
    </row>
    <row r="247" spans="1:34" x14ac:dyDescent="0.35">
      <c r="A247" t="s">
        <v>735</v>
      </c>
      <c r="B247">
        <v>105</v>
      </c>
      <c r="C247">
        <v>147</v>
      </c>
      <c r="D247">
        <v>189</v>
      </c>
      <c r="E247">
        <v>228</v>
      </c>
      <c r="F247">
        <v>267</v>
      </c>
      <c r="G247">
        <v>320</v>
      </c>
      <c r="H247">
        <v>359</v>
      </c>
      <c r="I247">
        <v>399</v>
      </c>
      <c r="J247">
        <v>438</v>
      </c>
      <c r="K247">
        <v>477</v>
      </c>
      <c r="L247">
        <v>529</v>
      </c>
      <c r="M247">
        <v>569</v>
      </c>
      <c r="N247">
        <v>608</v>
      </c>
      <c r="O247">
        <v>647</v>
      </c>
      <c r="P247">
        <v>686</v>
      </c>
      <c r="Q247">
        <v>725</v>
      </c>
      <c r="R247">
        <v>764</v>
      </c>
      <c r="S247">
        <v>764</v>
      </c>
      <c r="T247">
        <v>764</v>
      </c>
      <c r="U247">
        <v>764</v>
      </c>
      <c r="V247">
        <v>764</v>
      </c>
      <c r="W247">
        <v>764</v>
      </c>
      <c r="X247">
        <v>764</v>
      </c>
      <c r="Y247">
        <v>764</v>
      </c>
      <c r="Z247">
        <v>764</v>
      </c>
      <c r="AA247">
        <v>764</v>
      </c>
      <c r="AB247">
        <v>764</v>
      </c>
      <c r="AC247">
        <v>764</v>
      </c>
      <c r="AD247">
        <v>764</v>
      </c>
      <c r="AE247">
        <v>764</v>
      </c>
      <c r="AF247">
        <v>764</v>
      </c>
      <c r="AG247">
        <v>764</v>
      </c>
      <c r="AH247">
        <v>764</v>
      </c>
    </row>
    <row r="248" spans="1:34" x14ac:dyDescent="0.35">
      <c r="A248" t="s">
        <v>736</v>
      </c>
      <c r="B248">
        <v>126</v>
      </c>
      <c r="C248">
        <v>191</v>
      </c>
      <c r="D248">
        <v>257</v>
      </c>
      <c r="E248">
        <v>319</v>
      </c>
      <c r="F248">
        <v>381</v>
      </c>
      <c r="G248">
        <v>456</v>
      </c>
      <c r="H248">
        <v>518</v>
      </c>
      <c r="I248">
        <v>580</v>
      </c>
      <c r="J248">
        <v>642</v>
      </c>
      <c r="K248">
        <v>704</v>
      </c>
      <c r="L248">
        <v>770</v>
      </c>
      <c r="M248">
        <v>819</v>
      </c>
      <c r="N248">
        <v>862</v>
      </c>
      <c r="O248">
        <v>906</v>
      </c>
      <c r="P248">
        <v>949</v>
      </c>
      <c r="Q248">
        <v>993</v>
      </c>
      <c r="R248">
        <v>1035</v>
      </c>
      <c r="S248">
        <v>1035</v>
      </c>
      <c r="T248">
        <v>1035</v>
      </c>
      <c r="U248">
        <v>1035</v>
      </c>
      <c r="V248">
        <v>1035</v>
      </c>
      <c r="W248">
        <v>1035</v>
      </c>
      <c r="X248">
        <v>1035</v>
      </c>
      <c r="Y248">
        <v>1035</v>
      </c>
      <c r="Z248">
        <v>1035</v>
      </c>
      <c r="AA248">
        <v>1035</v>
      </c>
      <c r="AB248">
        <v>1035</v>
      </c>
      <c r="AC248">
        <v>1035</v>
      </c>
      <c r="AD248">
        <v>1035</v>
      </c>
      <c r="AE248">
        <v>1035</v>
      </c>
      <c r="AF248">
        <v>1035</v>
      </c>
      <c r="AG248">
        <v>1035</v>
      </c>
      <c r="AH248">
        <v>1035</v>
      </c>
    </row>
    <row r="249" spans="1:34" x14ac:dyDescent="0.35">
      <c r="A249" t="s">
        <v>737</v>
      </c>
      <c r="B249">
        <v>126</v>
      </c>
      <c r="C249">
        <v>191</v>
      </c>
      <c r="D249">
        <v>257</v>
      </c>
      <c r="E249">
        <v>319</v>
      </c>
      <c r="F249">
        <v>381</v>
      </c>
      <c r="G249">
        <v>456</v>
      </c>
      <c r="H249">
        <v>518</v>
      </c>
      <c r="I249">
        <v>580</v>
      </c>
      <c r="J249">
        <v>642</v>
      </c>
      <c r="K249">
        <v>704</v>
      </c>
      <c r="L249">
        <v>770</v>
      </c>
      <c r="M249">
        <v>819</v>
      </c>
      <c r="N249">
        <v>862</v>
      </c>
      <c r="O249">
        <v>906</v>
      </c>
      <c r="P249">
        <v>949</v>
      </c>
      <c r="Q249">
        <v>993</v>
      </c>
      <c r="R249">
        <v>1035</v>
      </c>
      <c r="S249">
        <v>1035</v>
      </c>
      <c r="T249">
        <v>1035</v>
      </c>
      <c r="U249">
        <v>1035</v>
      </c>
      <c r="V249">
        <v>1035</v>
      </c>
      <c r="W249">
        <v>1035</v>
      </c>
      <c r="X249">
        <v>1035</v>
      </c>
      <c r="Y249">
        <v>1035</v>
      </c>
      <c r="Z249">
        <v>1035</v>
      </c>
      <c r="AA249">
        <v>1035</v>
      </c>
      <c r="AB249">
        <v>1035</v>
      </c>
      <c r="AC249">
        <v>1035</v>
      </c>
      <c r="AD249">
        <v>1035</v>
      </c>
      <c r="AE249">
        <v>1035</v>
      </c>
      <c r="AF249">
        <v>1035</v>
      </c>
      <c r="AG249">
        <v>1035</v>
      </c>
      <c r="AH249">
        <v>1035</v>
      </c>
    </row>
    <row r="250" spans="1:34" x14ac:dyDescent="0.35">
      <c r="A250" t="s">
        <v>738</v>
      </c>
      <c r="B250">
        <v>126</v>
      </c>
      <c r="C250">
        <v>191</v>
      </c>
      <c r="D250">
        <v>257</v>
      </c>
      <c r="E250">
        <v>319</v>
      </c>
      <c r="F250">
        <v>381</v>
      </c>
      <c r="G250">
        <v>456</v>
      </c>
      <c r="H250">
        <v>518</v>
      </c>
      <c r="I250">
        <v>580</v>
      </c>
      <c r="J250">
        <v>642</v>
      </c>
      <c r="K250">
        <v>704</v>
      </c>
      <c r="L250">
        <v>770</v>
      </c>
      <c r="M250">
        <v>819</v>
      </c>
      <c r="N250">
        <v>862</v>
      </c>
      <c r="O250">
        <v>906</v>
      </c>
      <c r="P250">
        <v>949</v>
      </c>
      <c r="Q250">
        <v>993</v>
      </c>
      <c r="R250">
        <v>1035</v>
      </c>
      <c r="S250">
        <v>1035</v>
      </c>
      <c r="T250">
        <v>1035</v>
      </c>
      <c r="U250">
        <v>1035</v>
      </c>
      <c r="V250">
        <v>1035</v>
      </c>
      <c r="W250">
        <v>1035</v>
      </c>
      <c r="X250">
        <v>1035</v>
      </c>
      <c r="Y250">
        <v>1035</v>
      </c>
      <c r="Z250">
        <v>1035</v>
      </c>
      <c r="AA250">
        <v>1035</v>
      </c>
      <c r="AB250">
        <v>1035</v>
      </c>
      <c r="AC250">
        <v>1035</v>
      </c>
      <c r="AD250">
        <v>1035</v>
      </c>
      <c r="AE250">
        <v>1035</v>
      </c>
      <c r="AF250">
        <v>1035</v>
      </c>
      <c r="AG250">
        <v>1035</v>
      </c>
      <c r="AH250">
        <v>1035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WHrate</vt:lpstr>
      <vt:lpstr>Price per stage</vt:lpstr>
      <vt:lpstr>Delivery per Unit</vt:lpstr>
      <vt:lpstr>WH</vt:lpstr>
      <vt:lpstr>TRrate</vt:lpstr>
      <vt:lpstr>seafreight forecast</vt:lpstr>
      <vt:lpstr>Summary</vt:lpstr>
      <vt:lpstr>TransportRate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2025-10-17T00:04:07Z</dcterms:modified>
</cp:coreProperties>
</file>