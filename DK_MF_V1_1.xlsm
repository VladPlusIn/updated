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2E732D8B-BEE5-42E2-A420-38A0E175710D}" xr6:coauthVersionLast="47" xr6:coauthVersionMax="47" xr10:uidLastSave="{00000000-0000-0000-0000-000000000000}"/>
  <bookViews>
    <workbookView xWindow="28845" yWindow="-16410" windowWidth="29040" windowHeight="15720" activeTab="3" xr2:uid="{6D661927-D981-4489-A577-2CEA04A8FBA5}"/>
    <workbookView xWindow="28845" yWindow="-16410" windowWidth="29040" windowHeight="15720" activeTab="7" xr2:uid="{1FB0B4F4-F193-4A8D-9695-EAAEB3C77902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state="hidden" r:id="rId5"/>
    <sheet name="TRrate" sheetId="35" state="hidden" r:id="rId6"/>
    <sheet name="seafreight forecast" sheetId="38" state="hidden" r:id="rId7"/>
    <sheet name="Summary" sheetId="32" r:id="rId8"/>
    <sheet name="TransportRate" sheetId="41" r:id="rId9"/>
  </sheets>
  <definedNames>
    <definedName name="_xleta.AVERAGE" hidden="1" xlm="1">#NAME?</definedName>
    <definedName name="_xleta.COUNT" hidden="1" xlm="1">#NAME?</definedName>
    <definedName name="_xleta.SUM" hidden="1" xlm="1">#NAME?</definedName>
    <definedName name="_xleta.UNIQUE" hidden="1" xlm="1">#NAME?</definedName>
    <definedName name="ExternalData_1" localSheetId="2" hidden="1">'Price per stage'!$A$1:$F$14</definedName>
    <definedName name="ExternalData_1" localSheetId="8" hidden="1">TransportRate!$A$1:$AB$15</definedName>
    <definedName name="ExternalData_1" localSheetId="5" hidden="1">TRrate!$A$1:$C$28</definedName>
    <definedName name="ExternalData_2" localSheetId="3" hidden="1">'Delivery per Unit'!$A$1:$F$49</definedName>
    <definedName name="ExternalData_2" localSheetId="7" hidden="1">Summary!$A$1:$AD$49</definedName>
    <definedName name="ExternalData_6" localSheetId="2" hidden="1">'Price per stage'!$A$1:$G$14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" i="32" l="1"/>
  <c r="L50" i="32"/>
  <c r="M50" i="32"/>
  <c r="P50" i="32"/>
  <c r="Q50" i="32"/>
  <c r="R50" i="32"/>
  <c r="T50" i="32"/>
  <c r="V50" i="32"/>
  <c r="X50" i="32"/>
  <c r="Z50" i="32"/>
  <c r="AB50" i="32"/>
  <c r="E15" i="28"/>
  <c r="D25" i="10"/>
  <c r="D24" i="10"/>
  <c r="D23" i="10"/>
  <c r="D22" i="10"/>
  <c r="D21" i="10"/>
  <c r="D19" i="10"/>
  <c r="D17" i="10"/>
  <c r="D16" i="10"/>
  <c r="D15" i="10"/>
  <c r="D14" i="10"/>
  <c r="D13" i="10"/>
  <c r="D12" i="10"/>
  <c r="D8" i="10"/>
  <c r="D7" i="10"/>
  <c r="D5" i="10"/>
  <c r="D3" i="10"/>
  <c r="D2" i="10"/>
  <c r="D4" i="10" l="1"/>
  <c r="D20" i="10"/>
  <c r="S118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9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0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1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2" xr16:uid="{F6C30BEA-123F-444B-AF28-BEE5F159A046}" keepAlive="1" name="Query - WHrate" description="Connection to the 'WHrate' query in the workbook." type="5" refreshedVersion="0" background="1" saveData="1">
    <dbPr connection="Provider=Microsoft.Mashup.OleDb.1;Data Source=$Workbook$;Location=WHrate;Extended Properties=&quot;&quot;" command="SELECT * FROM [WHrate]"/>
  </connection>
  <connection id="13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<sst xmlns="http://schemas.openxmlformats.org/spreadsheetml/2006/main" count="927" uniqueCount="378">
  <si>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</si>
  <si>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</si>
  <si>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</si>
  <si>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</si>
  <si>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</si>
  <si>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</si>
  <si>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</si>
  <si>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</si>
  <si>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</si>
  <si>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</si>
  <si>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</si>
  <si>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</si>
  <si>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</si>
  <si>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</si>
  <si>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</si>
  <si>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</si>
  <si>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</si>
  <si>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</si>
  <si>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USD</t>
  </si>
  <si>
    <t>EUR</t>
  </si>
  <si>
    <t>Semi</t>
  </si>
  <si>
    <t>B - Double</t>
  </si>
  <si>
    <t>CA</t>
  </si>
  <si>
    <t>US</t>
  </si>
  <si>
    <t>To(Location)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</si>
  <si>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</si>
  <si>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</si>
  <si>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</si>
  <si>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</si>
  <si>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</si>
  <si>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</si>
  <si>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</si>
  <si>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</si>
  <si>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</si>
  <si>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</si>
  <si>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</si>
  <si>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</si>
  <si>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</si>
  <si>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</si>
  <si>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</si>
  <si>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</si>
  <si>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</si>
  <si>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</si>
  <si>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</si>
  <si>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</si>
  <si>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</si>
  <si>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</si>
  <si>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</si>
  <si>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</si>
  <si>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</si>
  <si>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</si>
  <si>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</si>
  <si>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</si>
  <si>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</si>
  <si>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</si>
  <si>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</si>
  <si>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</si>
  <si>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Rate UoM</t>
  </si>
  <si>
    <t>Inbound</t>
  </si>
  <si>
    <t>Currency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</si>
  <si>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</si>
  <si>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</si>
  <si>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</si>
  <si>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</si>
  <si>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</si>
  <si>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</si>
  <si>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</si>
  <si>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</si>
  <si>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</si>
  <si>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</si>
  <si>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</si>
  <si>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</si>
  <si>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</si>
  <si>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</si>
  <si>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</si>
  <si>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</si>
  <si>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</si>
  <si>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</si>
  <si>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</si>
  <si>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</si>
  <si>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</si>
  <si>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</si>
  <si>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</si>
  <si>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</si>
  <si>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</si>
  <si>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</si>
  <si>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</si>
  <si>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</si>
  <si>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</si>
  <si>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</si>
  <si>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</si>
  <si>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</si>
  <si>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</si>
  <si>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</si>
  <si>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</si>
  <si>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</si>
  <si>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</si>
  <si>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</si>
  <si>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</si>
  <si>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</si>
  <si>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</si>
  <si>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</si>
  <si>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</si>
  <si>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</si>
  <si>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</si>
  <si>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</si>
  <si>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</si>
  <si>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</si>
  <si>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</si>
  <si>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</si>
  <si>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</si>
  <si>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</si>
  <si>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</si>
  <si>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</si>
  <si>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</si>
  <si>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</si>
  <si>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</si>
  <si>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</si>
  <si>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</si>
  <si>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</si>
  <si>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</si>
  <si>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</si>
  <si>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</si>
  <si>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</si>
  <si>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</si>
  <si>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</si>
  <si>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</si>
  <si>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</si>
  <si>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</si>
  <si>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</si>
  <si>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</si>
  <si>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</si>
  <si>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</si>
  <si>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</si>
  <si>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</si>
  <si>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</si>
  <si>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</si>
  <si>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</si>
  <si>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</si>
  <si>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</si>
  <si>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</si>
  <si>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</si>
  <si>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</si>
  <si>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</si>
  <si>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</si>
  <si>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</si>
  <si>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</si>
  <si>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</si>
  <si>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</si>
  <si>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</si>
  <si>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</si>
  <si>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</si>
  <si>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</si>
  <si>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</si>
  <si>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</si>
  <si>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</si>
  <si>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</si>
  <si>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</si>
  <si>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</si>
  <si>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</si>
  <si>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</si>
  <si>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</si>
  <si>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</si>
  <si>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</si>
  <si>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</si>
  <si>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</si>
  <si>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</si>
  <si>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</si>
  <si>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</si>
  <si>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BEING</t>
  </si>
  <si>
    <t>BEING-SHAMPOO,NOURISH + SHINE,354ML</t>
  </si>
  <si>
    <t>BEING-SHAMPOO,BIG HAIR,354ML</t>
  </si>
  <si>
    <t>BEING-SHAMPOO,BIG HAIR,354ML</t>
  </si>
  <si>
    <t>BEING-SHAMPOO,BYE BYE FRIZZ,354ML</t>
  </si>
  <si>
    <t>BEING-SHAMPOO,CURL POWER,354ML</t>
  </si>
  <si>
    <t>BEING-SHAMPOO,MAX MOISTURE,354ML</t>
  </si>
  <si>
    <t>BEING-CONDITIONER,NOURISH + SHINE,354ML</t>
  </si>
  <si>
    <t>BEING-CONDITIONER,BIG HAIR,354ML</t>
  </si>
  <si>
    <t>BEING-CONDITIONER,BYE BYE FRIZZ,354ML</t>
  </si>
  <si>
    <t>BEING-CONDITIONER,BYE BYE FRIZZ,354ML</t>
  </si>
  <si>
    <t>BEING-CONDITIONER,CURL POWER,354ML</t>
  </si>
  <si>
    <t>BEING-CONDITIONER,MAX MOISTURE,354ML</t>
  </si>
  <si>
    <t>DAISE</t>
  </si>
  <si>
    <t>DAISE-FRAGRANCE BODY MIST,ROSE &amp; SANDALW</t>
  </si>
  <si>
    <t>DAISE-FRAGRANCE BODY MIST,RASPBERRY &amp; MI</t>
  </si>
  <si>
    <t>DAISE-FRAGRANCE BODY MIST,BERRY &amp; MANDAR</t>
  </si>
  <si>
    <t>DAISE-FRAGRANCE BODY MIST,PEAR &amp; PATCHOU</t>
  </si>
  <si>
    <t>DAISE-FRAGRANCE BODY MIST,VANILLA &amp; COCO</t>
  </si>
  <si>
    <t>DAISE-FRAGRANCE BODY MIST,GRAPE &amp; AMBER,</t>
  </si>
  <si>
    <t>DAISE-ALL BODY SPRAY &amp; DEODORANT,HELLO,1</t>
  </si>
  <si>
    <t>DAISE-ALL BODY SPRAY &amp; DEODORANT,PEACHY,</t>
  </si>
  <si>
    <t>DAISE-ALL BODY SPRAY &amp; DEODORANT,OH SO,1</t>
  </si>
  <si>
    <t>DAISE-ALL BODY SPRAY &amp; DEODORANT,SUNNY,1</t>
  </si>
  <si>
    <t>DAISE-ALL BODY SPRAY &amp; DEODORANT,HAPPY,1</t>
  </si>
  <si>
    <t>DAISE-ALL BODY SPRAY &amp; DEODORANT,LOWKEY,</t>
  </si>
  <si>
    <t>DAISE-BATH BOMB,LOVE ME,3OZ</t>
  </si>
  <si>
    <t>DAISE-BATH BOMB,DISCO,3OZ</t>
  </si>
  <si>
    <t>DAISE-BATH BOMB,CANDY DREAM,3OZ</t>
  </si>
  <si>
    <t>DAISE-BATH BOMB,SOFT SERVE,3OZ</t>
  </si>
  <si>
    <t>DAISE-BATH BOMB,FIZZED UP,3OZ</t>
  </si>
  <si>
    <t>DAISE-BATH BOMB,BRB,3OZ</t>
  </si>
  <si>
    <t>DAISE-FOAMING BODY WASH,VANILLA,265ML</t>
  </si>
  <si>
    <t>DAISE-FOAMING BODY WASH,CHERRY,265ML</t>
  </si>
  <si>
    <t>DAISE-FOAMING BODY WASH,MELON,265ML</t>
  </si>
  <si>
    <t>DAISE-FOAMING BODY WASH,COCONUT,265ML</t>
  </si>
  <si>
    <t>DAISE-FOAMING BODY WASH,POMEGRANATE,265M</t>
  </si>
  <si>
    <t>DAISE-FOAMING BODY WASH,PINEAPPLE,265ML</t>
  </si>
  <si>
    <t>DAISE-BODY SCRUB,COCONUT,510G</t>
  </si>
  <si>
    <t>DAISE-BODY SCRUB,CHERRY,510G</t>
  </si>
  <si>
    <t>DAISE-BODY SCRUB,MELON,510G</t>
  </si>
  <si>
    <t>DAISE-BODY SCRUB,VANILLA,510G</t>
  </si>
  <si>
    <t>DAISE-BODY SCRUB,POMEGRANATE,510G</t>
  </si>
  <si>
    <t>DAISE-BODY SCRUB,PINEAPPLE,510G</t>
  </si>
  <si>
    <t>DAISE-LIP BALM,VERY VANILLA,7G</t>
  </si>
  <si>
    <t>DAISE-LIP BALM,STRAWBERRY KISS,7G</t>
  </si>
  <si>
    <t>DAISE-LIP BALM,WATERMELON CRUSH,7G</t>
  </si>
  <si>
    <t>DAISE-LIP BALM,COCONUT BREEZE,7G</t>
  </si>
  <si>
    <t>DAISE-LIP BALM,JUICY POMEGRANATE,7G</t>
  </si>
  <si>
    <t>DAISE-LIP BALM,PEPPY PEPPERMINT,7G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</si>
  <si>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</si>
  <si>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</si>
  <si>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</si>
  <si>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</si>
  <si>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</si>
  <si>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</si>
  <si>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</si>
  <si>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</si>
  <si>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</si>
  <si>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</si>
  <si>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</si>
  <si>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</si>
  <si>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</si>
  <si>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</si>
  <si>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</si>
  <si>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</si>
  <si>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</si>
  <si>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CH</t>
  </si>
  <si>
    <t>1</t>
  </si>
  <si>
    <t>2</t>
  </si>
  <si>
    <t>3</t>
  </si>
  <si>
    <t>4</t>
  </si>
  <si>
    <t>5</t>
  </si>
  <si>
    <t>6</t>
  </si>
  <si>
    <t>7</t>
  </si>
  <si>
    <t>8</t>
  </si>
  <si>
    <t>9</t>
  </si>
  <si>
    <t>Copenhagen</t>
  </si>
  <si>
    <t>AVG Number of Full Trucks</t>
  </si>
  <si>
    <t>Pallets</t>
  </si>
  <si>
    <t>DE                 Zone 1</t>
  </si>
  <si>
    <t>DE                            Zone 2</t>
  </si>
  <si>
    <t>DE                 Zone 3</t>
  </si>
  <si>
    <t>DE                 Zone 4</t>
  </si>
  <si>
    <t>DE                 Zone 5</t>
  </si>
  <si>
    <t>DE                 Zone 6</t>
  </si>
  <si>
    <t>DE                 Zone 7</t>
  </si>
  <si>
    <t>DE                 Zone 8</t>
  </si>
  <si>
    <t>BE</t>
  </si>
  <si>
    <t>IT                                 (1-5)</t>
  </si>
  <si>
    <t>PL                Wroclaw</t>
  </si>
  <si>
    <t>PL                        Lodz</t>
  </si>
  <si>
    <t>Full-Load</t>
  </si>
  <si>
    <t>Shipping from Nordhorn/Bad Bentheim</t>
  </si>
  <si>
    <t>Shipping from Barsinghausen/Groß Munzel</t>
  </si>
  <si>
    <t>Zone 1</t>
  </si>
  <si>
    <t>48, 49</t>
  </si>
  <si>
    <t xml:space="preserve">30  31                                         </t>
  </si>
  <si>
    <t>Zone 2</t>
  </si>
  <si>
    <t>32, 33, 44, 45, 46, 47, 58, 59</t>
  </si>
  <si>
    <t xml:space="preserve">32  33  37  38                                     </t>
  </si>
  <si>
    <t>Zone 3</t>
  </si>
  <si>
    <t>26, 27, 28, 30, 31, 40, 41, 42, 50, 51, 57</t>
  </si>
  <si>
    <t xml:space="preserve">28  29  34  39  48  49  59                               </t>
  </si>
  <si>
    <t>Zone 4</t>
  </si>
  <si>
    <t>20, 21, 22, 29, 34, 25, 37, 38, 52, 53, 56, 61, 65</t>
  </si>
  <si>
    <t xml:space="preserve">06  14  19  20  21  22  26  27  40  42  44  45  46  47  58  99             </t>
  </si>
  <si>
    <t>Zone 5</t>
  </si>
  <si>
    <t>06, 19, 23, 24, 36, 39, 54, 55, 60, 63, 64, 68, 98, 99</t>
  </si>
  <si>
    <t xml:space="preserve">04  07  08  16  23  24  25  35  36  41  50  51  52  53  54  55  56  57  65  98     </t>
  </si>
  <si>
    <t>Zone 6</t>
  </si>
  <si>
    <t>04, 07, 10, 12, 13, 14, 16, 25, 66, 67, 69, 74, 75, 76, 96, 97</t>
  </si>
  <si>
    <t xml:space="preserve">01  09  10  12  13  15  17  18  60  61  63  64  66  67  68  69  95  96  97       </t>
  </si>
  <si>
    <t>Zone 7</t>
  </si>
  <si>
    <t>01, 03, 08, 09, 15, 17, 18, 70, 71, 73, 77, 79, 90, 91, 92, 95</t>
  </si>
  <si>
    <t xml:space="preserve">02  03  70  71  73  74  75  76  77  90  91  92                     </t>
  </si>
  <si>
    <t>Zone 8</t>
  </si>
  <si>
    <t>02, 72, 78, 80, 81, 82, 83, 84, 85, 86, 87, 88, 89, 93, 94</t>
  </si>
  <si>
    <t xml:space="preserve">72  78  79  80  81  82  83  84  85  86  87  88  89  93  94               </t>
  </si>
  <si>
    <t>20’Container (unloading, palletizing)</t>
  </si>
  <si>
    <t>40’Container (unloading, palletizing)</t>
  </si>
  <si>
    <t>40`HC Container (unloading, palletzing):</t>
  </si>
  <si>
    <t>Pallets (unloading)</t>
  </si>
  <si>
    <t>per SKU/Line (SKU, Charge, BBD)</t>
  </si>
  <si>
    <t>per Container</t>
  </si>
  <si>
    <t>per Pallet</t>
  </si>
  <si>
    <t>per SKU</t>
  </si>
  <si>
    <t>Booking in Stock per Pallet (place Pal to stock)</t>
  </si>
  <si>
    <t>Booking in Stock per Carton (place Ctn to stock)</t>
  </si>
  <si>
    <t>per Carton</t>
  </si>
  <si>
    <t>Storage Pallets</t>
  </si>
  <si>
    <t>Storage Shelf-racks</t>
  </si>
  <si>
    <t>Storage GBS-coverage - stock insurance</t>
  </si>
  <si>
    <t>per Pal., per week, part of</t>
  </si>
  <si>
    <t>per shelf, per week</t>
  </si>
  <si>
    <t>per Pal. week, part of</t>
  </si>
  <si>
    <t>Admin fee per job</t>
  </si>
  <si>
    <t>Line-fee</t>
  </si>
  <si>
    <t>Picking</t>
  </si>
  <si>
    <t>Picking full-pallet (MONDAY Products only)</t>
  </si>
  <si>
    <t>Packing new shipping box</t>
  </si>
  <si>
    <t>Packing shipping pallet</t>
  </si>
  <si>
    <t>Packing in Polybag (Amazon)</t>
  </si>
  <si>
    <t>per job</t>
  </si>
  <si>
    <t>per SKU line in job</t>
  </si>
  <si>
    <t>per pick (carton or item)</t>
  </si>
  <si>
    <t>per full-pallet (Monday-Producs only)</t>
  </si>
  <si>
    <t>per box (without carton)</t>
  </si>
  <si>
    <t>per pallet (without pallet)</t>
  </si>
  <si>
    <t>per item (without polybag)</t>
  </si>
  <si>
    <t>Labelling Carton</t>
  </si>
  <si>
    <t>Labelling Single Item</t>
  </si>
  <si>
    <t>Labelling Pallet</t>
  </si>
  <si>
    <t>Labelling Shipping unit (Carton/Pallet)</t>
  </si>
  <si>
    <t>per Carton/item</t>
  </si>
  <si>
    <t>per Articel/item</t>
  </si>
  <si>
    <t>per Carton/Pallet</t>
  </si>
  <si>
    <t>Special-Rework (i.e:Display-Filling,Quality-Checks)</t>
  </si>
  <si>
    <t>Import customs-clearance</t>
  </si>
  <si>
    <t>Export customs-declaration</t>
  </si>
  <si>
    <t>Amazon-Vendor-Central Handling</t>
  </si>
  <si>
    <t>Online-Handling Mailorder clients (Otto, Baur, etc.)</t>
  </si>
  <si>
    <t>Mail-Order-Packing (Taping try-me-wholes)</t>
  </si>
  <si>
    <t>Mail-Order-Packing (items in Polybag)</t>
  </si>
  <si>
    <t>Ex work fee for pallet shipments</t>
  </si>
  <si>
    <t>Ex work fee for carton shipments</t>
  </si>
  <si>
    <t>per man-hour</t>
  </si>
  <si>
    <t>per clearance incl. 3 Positions</t>
  </si>
  <si>
    <t xml:space="preserve">per add. Position after 4th Pos. </t>
  </si>
  <si>
    <t>per declaration incl.  3 Pos.</t>
  </si>
  <si>
    <t>per add. Position after 4th Pos.</t>
  </si>
  <si>
    <t>per order</t>
  </si>
  <si>
    <t>per orderline</t>
  </si>
  <si>
    <t>per item</t>
  </si>
  <si>
    <t>per pallet</t>
  </si>
  <si>
    <t>per carton</t>
  </si>
  <si>
    <t>20’Container (unloading, palletizing):per Container</t>
  </si>
  <si>
    <t>40’Container (unloading, palletizing):per Container</t>
  </si>
  <si>
    <t>40`HC Container (unloading, palletzing)::per Container</t>
  </si>
  <si>
    <t>Pallets (unloading):per Pallet</t>
  </si>
  <si>
    <t>per SKU/Line (SKU, Charge, BBD):per SKU</t>
  </si>
  <si>
    <t>Booking in Stock per Pallet (place Pal to stock):per Pallet</t>
  </si>
  <si>
    <t>Booking in Stock per Carton (place Ctn to stock):per Carton</t>
  </si>
  <si>
    <t>Storage Pallets:per Pal., per week, part of</t>
  </si>
  <si>
    <t>Storage Shelf-racks:per shelf, per week</t>
  </si>
  <si>
    <t>Storage GBS-coverage - stock insurance:per Pal. week, part of</t>
  </si>
  <si>
    <t>Admin fee per job:per job</t>
  </si>
  <si>
    <t>Line-fee:per SKU line in job</t>
  </si>
  <si>
    <t>Picking:per pick (carton or item)</t>
  </si>
  <si>
    <t>Picking full-pallet (MONDAY Products only):per full-pallet (Monday-Producs only)</t>
  </si>
  <si>
    <t>Packing new shipping box:per box (without carton)</t>
  </si>
  <si>
    <t>Packing shipping pallet:per pallet (without pallet)</t>
  </si>
  <si>
    <t>Packing in Polybag (Amazon):per item (without polybag)</t>
  </si>
  <si>
    <t>Labelling Carton:per Carton/item</t>
  </si>
  <si>
    <t>Labelling Single Item:per Articel/item</t>
  </si>
  <si>
    <t>Labelling Pallet:per Pallet</t>
  </si>
  <si>
    <t>Labelling Shipping unit (Carton/Pallet):per Carton/Pallet</t>
  </si>
  <si>
    <t>Special-Rework (i.e:Display-Filling,Quality-Checks):per man-hour</t>
  </si>
  <si>
    <t>Import customs-clearance:per clearance incl. 3 Positions</t>
  </si>
  <si>
    <t xml:space="preserve">Import customs-clearance:per add. Position after 4th Pos. </t>
  </si>
  <si>
    <t>Export customs-declaration:per declaration incl.  3 Pos.</t>
  </si>
  <si>
    <t>Export customs-declaration:per add. Position after 4th Pos.</t>
  </si>
  <si>
    <t>Amazon-Vendor-Central Handling:per order</t>
  </si>
  <si>
    <t>Online-Handling Mailorder clients (Otto, Baur, etc.):per order</t>
  </si>
  <si>
    <t>Online-Handling Mailorder clients (Otto, Baur, etc.):per orderline</t>
  </si>
  <si>
    <t>Mail-Order-Packing (Taping try-me-wholes):per item</t>
  </si>
  <si>
    <t>Mail-Order-Packing (items in Polybag):per item</t>
  </si>
  <si>
    <t>Ex work fee for pallet shipments:per pallet</t>
  </si>
  <si>
    <t>Ex work fee for carton shipments:per carton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</si>
</sst>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  <numFmt numFmtId="173" formatCode="_([$€-2]\ * #,##0.00_);_([$€-2]\ * \(#,##0.00\);_([$€-2]\ * &quot;-&quot;??_);_(@_)"/>
    <numFmt numFmtId="174" formatCode="#,##0.00\ &quot;€&quot;;[Red]\-#,##0.00\ &quot;€&quot;"/>
    <numFmt numFmtId="175" formatCode="_-* #,##0.00\ &quot;€&quot;_-;\-* #,##0.00\ &quot;€&quot;_-;_-* &quot;-&quot;??\ &quot;€&quot;_-;_-@_-"/>
  </numFmts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3" fillId="0" borderId="0"/>
    <xf numFmtId="0" fontId="13" fillId="0" borderId="0"/>
    <xf numFmtId="175" fontId="12" fillId="0" borderId="0" applyFont="0" applyFill="0" applyBorder="0" applyAlignment="0" applyProtection="0"/>
  </cellStyleXfs>
  <cellXfs count="117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0" fillId="7" borderId="0" xfId="0" applyFill="1"/>
    <xf numFmtId="173" fontId="0" fillId="0" borderId="0" xfId="0" applyNumberFormat="1"/>
    <xf numFmtId="173" fontId="0" fillId="0" borderId="0" xfId="3" applyNumberFormat="1" applyFont="1"/>
    <xf numFmtId="173" fontId="0" fillId="0" borderId="0" xfId="2" applyNumberFormat="1" applyFont="1"/>
    <xf numFmtId="0" fontId="15" fillId="7" borderId="21" xfId="0" applyFont="1" applyFill="1" applyBorder="1" applyAlignment="1">
      <alignment horizontal="center" vertical="center"/>
    </xf>
    <xf numFmtId="0" fontId="15" fillId="7" borderId="22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5" fillId="7" borderId="23" xfId="0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/>
    </xf>
    <xf numFmtId="174" fontId="6" fillId="4" borderId="25" xfId="0" applyNumberFormat="1" applyFont="1" applyFill="1" applyBorder="1" applyAlignment="1">
      <alignment horizontal="center" vertical="center"/>
    </xf>
    <xf numFmtId="174" fontId="6" fillId="4" borderId="26" xfId="0" applyNumberFormat="1" applyFont="1" applyFill="1" applyBorder="1" applyAlignment="1">
      <alignment horizontal="center" vertical="center"/>
    </xf>
    <xf numFmtId="174" fontId="6" fillId="4" borderId="27" xfId="0" applyNumberFormat="1" applyFont="1" applyFill="1" applyBorder="1" applyAlignment="1">
      <alignment horizontal="center" vertical="center"/>
    </xf>
    <xf numFmtId="174" fontId="6" fillId="4" borderId="28" xfId="0" applyNumberFormat="1" applyFont="1" applyFill="1" applyBorder="1" applyAlignment="1">
      <alignment horizontal="center" vertical="center"/>
    </xf>
    <xf numFmtId="175" fontId="6" fillId="4" borderId="28" xfId="0" applyNumberFormat="1" applyFont="1" applyFill="1" applyBorder="1" applyAlignment="1">
      <alignment horizontal="center" vertical="center"/>
    </xf>
    <xf numFmtId="175" fontId="6" fillId="4" borderId="26" xfId="0" applyNumberFormat="1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174" fontId="6" fillId="4" borderId="16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 vertical="center"/>
    </xf>
    <xf numFmtId="174" fontId="6" fillId="4" borderId="17" xfId="0" applyNumberFormat="1" applyFont="1" applyFill="1" applyBorder="1" applyAlignment="1">
      <alignment horizontal="center" vertical="center"/>
    </xf>
    <xf numFmtId="174" fontId="6" fillId="4" borderId="30" xfId="0" applyNumberFormat="1" applyFont="1" applyFill="1" applyBorder="1" applyAlignment="1">
      <alignment horizontal="center" vertical="center"/>
    </xf>
    <xf numFmtId="175" fontId="6" fillId="4" borderId="30" xfId="0" applyNumberFormat="1" applyFont="1" applyFill="1" applyBorder="1" applyAlignment="1">
      <alignment horizontal="center" vertical="center"/>
    </xf>
    <xf numFmtId="175" fontId="6" fillId="4" borderId="1" xfId="0" applyNumberFormat="1" applyFont="1" applyFill="1" applyBorder="1" applyAlignment="1">
      <alignment horizontal="center" vertical="center"/>
    </xf>
    <xf numFmtId="0" fontId="17" fillId="4" borderId="29" xfId="0" applyFont="1" applyFill="1" applyBorder="1" applyAlignment="1">
      <alignment horizontal="center" vertical="center"/>
    </xf>
    <xf numFmtId="174" fontId="17" fillId="4" borderId="16" xfId="0" applyNumberFormat="1" applyFont="1" applyFill="1" applyBorder="1" applyAlignment="1">
      <alignment horizontal="center" vertical="center"/>
    </xf>
    <xf numFmtId="174" fontId="17" fillId="4" borderId="1" xfId="0" applyNumberFormat="1" applyFont="1" applyFill="1" applyBorder="1" applyAlignment="1">
      <alignment horizontal="center" vertical="center"/>
    </xf>
    <xf numFmtId="174" fontId="17" fillId="4" borderId="17" xfId="0" applyNumberFormat="1" applyFont="1" applyFill="1" applyBorder="1" applyAlignment="1">
      <alignment horizontal="center" vertical="center"/>
    </xf>
    <xf numFmtId="174" fontId="17" fillId="4" borderId="30" xfId="0" applyNumberFormat="1" applyFont="1" applyFill="1" applyBorder="1" applyAlignment="1">
      <alignment horizontal="center" vertical="center"/>
    </xf>
    <xf numFmtId="174" fontId="6" fillId="4" borderId="30" xfId="0" applyNumberFormat="1" applyFont="1" applyFill="1" applyBorder="1"/>
    <xf numFmtId="164" fontId="6" fillId="4" borderId="30" xfId="3" applyFont="1" applyFill="1" applyBorder="1"/>
    <xf numFmtId="174" fontId="6" fillId="4" borderId="1" xfId="0" applyNumberFormat="1" applyFont="1" applyFill="1" applyBorder="1"/>
    <xf numFmtId="164" fontId="6" fillId="4" borderId="17" xfId="3" applyFont="1" applyFill="1" applyBorder="1"/>
    <xf numFmtId="164" fontId="6" fillId="4" borderId="1" xfId="3" applyFont="1" applyFill="1" applyBorder="1"/>
    <xf numFmtId="0" fontId="17" fillId="4" borderId="31" xfId="0" applyFont="1" applyFill="1" applyBorder="1" applyAlignment="1">
      <alignment horizontal="center" vertical="center"/>
    </xf>
    <xf numFmtId="174" fontId="17" fillId="4" borderId="20" xfId="0" applyNumberFormat="1" applyFont="1" applyFill="1" applyBorder="1" applyAlignment="1">
      <alignment horizontal="center" vertical="center"/>
    </xf>
    <xf numFmtId="174" fontId="17" fillId="4" borderId="18" xfId="0" applyNumberFormat="1" applyFont="1" applyFill="1" applyBorder="1" applyAlignment="1">
      <alignment horizontal="center" vertical="center"/>
    </xf>
    <xf numFmtId="174" fontId="17" fillId="4" borderId="19" xfId="0" applyNumberFormat="1" applyFont="1" applyFill="1" applyBorder="1" applyAlignment="1">
      <alignment horizontal="center" vertical="center"/>
    </xf>
    <xf numFmtId="174" fontId="17" fillId="4" borderId="32" xfId="0" applyNumberFormat="1" applyFont="1" applyFill="1" applyBorder="1" applyAlignment="1">
      <alignment horizontal="center" vertical="center"/>
    </xf>
    <xf numFmtId="174" fontId="6" fillId="4" borderId="32" xfId="0" applyNumberFormat="1" applyFont="1" applyFill="1" applyBorder="1"/>
    <xf numFmtId="164" fontId="6" fillId="4" borderId="32" xfId="3" applyFont="1" applyFill="1" applyBorder="1"/>
    <xf numFmtId="174" fontId="6" fillId="4" borderId="18" xfId="0" applyNumberFormat="1" applyFont="1" applyFill="1" applyBorder="1"/>
    <xf numFmtId="164" fontId="6" fillId="4" borderId="19" xfId="3" applyFont="1" applyFill="1" applyBorder="1"/>
    <xf numFmtId="49" fontId="16" fillId="4" borderId="11" xfId="0" applyNumberFormat="1" applyFont="1" applyFill="1" applyBorder="1" applyAlignment="1">
      <alignment horizontal="left"/>
    </xf>
    <xf numFmtId="0" fontId="14" fillId="0" borderId="11" xfId="0" applyFont="1" applyBorder="1"/>
    <xf numFmtId="0" fontId="17" fillId="4" borderId="0" xfId="0" applyFont="1" applyFill="1"/>
    <xf numFmtId="0" fontId="6" fillId="4" borderId="0" xfId="0" applyFont="1" applyFill="1"/>
    <xf numFmtId="0" fontId="6" fillId="4" borderId="0" xfId="0" applyFont="1" applyFill="1" applyAlignment="1">
      <alignment vertical="center"/>
    </xf>
    <xf numFmtId="0" fontId="17" fillId="4" borderId="0" xfId="0" applyFont="1" applyFill="1" applyAlignment="1">
      <alignment vertical="center"/>
    </xf>
    <xf numFmtId="49" fontId="17" fillId="4" borderId="0" xfId="0" applyNumberFormat="1" applyFont="1" applyFill="1" applyAlignment="1"/>
    <xf numFmtId="0" fontId="0" fillId="4" borderId="0" xfId="0" applyFill="1" applyAlignment="1"/>
    <xf numFmtId="49" fontId="16" fillId="4" borderId="11" xfId="0" applyNumberFormat="1" applyFont="1" applyFill="1" applyBorder="1" applyAlignment="1"/>
    <xf numFmtId="0" fontId="14" fillId="0" borderId="11" xfId="0" applyFont="1" applyBorder="1" applyAlignment="1"/>
    <xf numFmtId="0" fontId="6" fillId="4" borderId="0" xfId="5" applyFont="1" applyFill="1"/>
    <xf numFmtId="0" fontId="12" fillId="0" borderId="0" xfId="0" applyNumberFormat="1" applyFont="1" applyFill="1" applyBorder="1" applyAlignment="1" applyProtection="1"/>
  </cellXfs>
  <cellStyles count="7">
    <cellStyle name="Comma" xfId="1" builtinId="3"/>
    <cellStyle name="Currency" xfId="3" builtinId="4"/>
    <cellStyle name="Euro" xfId="6" xr:uid="{C8121A4D-2408-4DC9-97E4-67C0109B345A}"/>
    <cellStyle name="Normal" xfId="0" builtinId="0"/>
    <cellStyle name="Normal 11 2" xfId="4" xr:uid="{98CAC3EE-B399-49E3-99A1-7493C98F706B}"/>
    <cellStyle name="Per cent" xfId="2" builtinId="5"/>
    <cellStyle name="Standard 2" xfId="5" xr:uid="{D03B3C0C-A981-4D75-A590-F4AA556D1945}"/>
  </cellStyles>
  <dxfs count="93"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68" formatCode="0.0%"/>
    </dxf>
    <dxf>
      <numFmt numFmtId="168" formatCode="0.0%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3" formatCode="#,##0"/>
    </dxf>
    <dxf>
      <numFmt numFmtId="3" formatCode="#,##0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68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_([$€-2]\ * #,##0.00_);_([$€-2]\ * \(#,##0.00\);_([$€-2]\ * &quot;-&quot;??_);_(@_)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92"/>
      <tableStyleElement type="headerRow" dxfId="91"/>
      <tableStyleElement type="total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200025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62AF442-CC83-4E8C-A504-84D63E8F4812}" autoFormatId="16" applyNumberFormats="0" applyBorderFormats="0" applyFontFormats="0" applyPatternFormats="0" applyAlignmentFormats="0" applyWidthHeightFormats="0">
  <queryTableRefresh nextId="35">
    <queryTableFields count="6">
      <queryTableField id="1" name="BRAND DESCRIPTION" tableColumnId="1"/>
      <queryTableField id="2" name="ITEM" tableColumnId="2"/>
      <queryTableField id="31" name="CH" tableColumnId="3"/>
      <queryTableField id="32" name="DE                 Zone 4" tableColumnId="4"/>
      <queryTableField id="33" name="DE                 Zone 7" tableColumnId="5"/>
      <queryTableField id="34" name="IT                                 (1-5)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71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69" name="AVG Number of Full Trucks" tableColumnId="9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D891464-61A7-454A-8315-A91D4A607510}" autoFormatId="16" applyNumberFormats="0" applyBorderFormats="0" applyFontFormats="0" applyPatternFormats="0" applyAlignmentFormats="0" applyWidthHeightFormats="0">
  <queryTableRefresh nextId="36">
    <queryTableFields count="28">
      <queryTableField id="1" name="To(Location)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35" name="Full-Load" tableColumnId="28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50" totalsRowShown="0" headerRowDxfId="89" headerRowBorderDxfId="88" tableBorderDxfId="87">
  <autoFilter ref="A2:I50" xr:uid="{D783FF8C-95BC-4C19-8AA3-19EE343E4106}"/>
  <tableColumns count="9">
    <tableColumn id="3" xr3:uid="{8C0D26FC-D8B5-41A8-BD03-2E92AFC7F277}" name="BRAND_x000a_DESCRIPTION" dataDxfId="86"/>
    <tableColumn id="6" xr3:uid="{76F975CA-4829-4C5B-AE97-8FE01F9B331D}" name="ITEM" dataDxfId="85"/>
    <tableColumn id="13" xr3:uid="{F7EBC377-1342-4B2D-8C3C-3E638309AE48}" name="MASTER SHIPPER _x000a_PKG WIDTH(CM)" dataDxfId="84"/>
    <tableColumn id="14" xr3:uid="{CF2A43AD-C57D-46A8-82A2-CD39BA393C06}" name="MASTER SHIPPER _x000a_PKG DEPTH(CM)" dataDxfId="83"/>
    <tableColumn id="15" xr3:uid="{259582FE-535C-4AC7-BEDC-43401EEAF9C7}" name="MASTER SHIPPER _x000a_PKG HEIGHT(CM)" dataDxfId="82"/>
    <tableColumn id="16" xr3:uid="{091A50C7-1D07-498B-BAEB-7F47FE7E5103}" name="MASTER SHIPPER _x000a_PKG GROSS WEIGHT(KG)" dataDxfId="81"/>
    <tableColumn id="5" xr3:uid="{DC74C2F9-071C-498A-812B-7E73D261AB28}" name="RETAIL UNITS _x000a_PER MASTER SHIPPER PKG" dataDxfId="80"/>
    <tableColumn id="8" xr3:uid="{60F4537D-1222-41C7-A203-6B21E96557B5}" name="Annual_x000a_Units" dataDxfId="79" dataCellStyle="Comma"/>
    <tableColumn id="18" xr3:uid="{AA678CF2-C24F-4C47-AE90-4FF0B8024E0D}" name="QUOTE USD" dataDxfId="78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77" dataDxfId="76">
  <autoFilter ref="K11:L25" xr:uid="{40DB4AE1-CB0F-4472-B087-C50B8E452B22}"/>
  <tableColumns count="2">
    <tableColumn id="1" xr3:uid="{FFE6682E-4525-4DEF-AF1B-12B612733AA6}" name="DESTINATION " dataDxfId="75"/>
    <tableColumn id="2" xr3:uid="{6E79F31D-8F2D-4724-92FE-755CF1184491}" name="%" dataDxfId="7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8" totalsRowShown="0" headerRowDxfId="73" dataDxfId="72">
  <autoFilter ref="N15:O28" xr:uid="{CB733BE7-32BB-4C71-851B-EAEDBBDBFEFB}"/>
  <tableColumns count="2">
    <tableColumn id="1" xr3:uid="{926DE0C5-E292-4888-B8A5-1AACBBA427AA}" name="Item" dataDxfId="71"/>
    <tableColumn id="2" xr3:uid="{9AD0AFB4-E00E-4521-B1D1-8FD6BFAB7BF1}" name="Value" dataDxfId="7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34" totalsRowShown="0" headerRowDxfId="69">
  <autoFilter ref="A1:D34" xr:uid="{27570EC2-4232-4313-87D2-1159E0E19652}"/>
  <sortState xmlns:xlrd2="http://schemas.microsoft.com/office/spreadsheetml/2017/richdata2" ref="A2:D34">
    <sortCondition ref="A1:A34"/>
  </sortState>
  <tableColumns count="4">
    <tableColumn id="1" xr3:uid="{06445078-A35A-404A-8B40-A0FCA128C778}" name="Description"/>
    <tableColumn id="2" xr3:uid="{1C93E017-008B-4193-B663-CA2801096BA9}" name="Rate" dataDxfId="68"/>
    <tableColumn id="3" xr3:uid="{71130363-6D85-452A-A33C-410D7B80AAE6}" name="Apply" dataDxfId="67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5" tableType="queryTable" totalsRowCount="1">
  <autoFilter ref="A1:F14" xr:uid="{62C2CBF8-5A10-4918-AF6F-1C35441D11F9}"/>
  <tableColumns count="6">
    <tableColumn id="1" xr3:uid="{642684A6-CBB5-4B9E-B6A1-87A431FB5156}" uniqueName="1" name="Stage" queryTableFieldId="1" dataDxfId="66"/>
    <tableColumn id="6" xr3:uid="{2CBF4B0D-BDB9-4BE9-BD1B-A07C087E6286}" uniqueName="6" name="Description" queryTableFieldId="6" dataDxfId="65"/>
    <tableColumn id="3" xr3:uid="{372262EF-8A6B-4F7D-9505-F2530E01F309}" uniqueName="3" name="Quantity" queryTableFieldId="3" dataDxfId="46" totalsRowDxfId="47"/>
    <tableColumn id="7" xr3:uid="{DD68A7F5-82A9-4EC1-9444-D8F814AEE740}" uniqueName="7" name="Rate" queryTableFieldId="7" dataDxfId="45" totalsRowDxfId="48"/>
    <tableColumn id="8" xr3:uid="{B97C0E14-2DA5-4C7A-BCD5-81C719961F46}" uniqueName="8" name="Total" totalsRowFunction="custom" queryTableFieldId="8" dataDxfId="44" totalsRowDxfId="49">
      <totalsRowFormula>SUM(E2:E14)</totalsRowFormula>
    </tableColumn>
    <tableColumn id="9" xr3:uid="{537DFAB7-4B81-4397-84EA-3715FAEDC048}" uniqueName="9" name="% of Total Cost" queryTableFieldId="10" dataDxfId="43" totalsRowDxfId="50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9" tableType="queryTable" totalsRowShown="0">
  <autoFilter ref="A1:F49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64"/>
    <tableColumn id="3" xr3:uid="{7C38B79D-1652-4F4D-98F7-97AC2113B9F7}" uniqueName="3" name="CH" queryTableFieldId="31"/>
    <tableColumn id="4" xr3:uid="{CB10B030-E540-45FA-8680-0D77C2078B19}" uniqueName="4" name="DE                 Zone 4" queryTableFieldId="32"/>
    <tableColumn id="5" xr3:uid="{310FE3D2-3D01-4C3C-B85F-A9437E5D63B9}" uniqueName="5" name="DE                 Zone 7" queryTableFieldId="33"/>
    <tableColumn id="6" xr3:uid="{4D55DC49-928B-4E78-BF7A-E81669290922}" uniqueName="6" name="IT                                 (1-5)" queryTableFieldId="34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34" totalsRowShown="0">
  <autoFilter ref="A1:D34" xr:uid="{15597CD3-C61E-4C6A-81DA-E59FA161495A}"/>
  <tableColumns count="4">
    <tableColumn id="1" xr3:uid="{A62366C3-2CC4-4B52-A891-98CFBAD9AC98}" name="Inbound" dataDxfId="63"/>
    <tableColumn id="2" xr3:uid="{A2316407-3212-4EF7-A0E7-F6FDF9CF03FA}" name="Rate UoM" dataDxfId="62"/>
    <tableColumn id="3" xr3:uid="{7AB4C4FC-E0EA-4E37-8EC6-A425DA7599F8}" name="Currency" dataDxfId="61"/>
    <tableColumn id="4" xr3:uid="{215E4D8A-E554-4DD0-AE99-17744FB855B7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O28" totalsRowShown="0">
  <tableColumns count="15">
    <tableColumn id="1" xr3:uid="{586A04DA-EC53-41FA-BD6B-32DA1CF8A499}" name="Pallets" dataDxfId="60"/>
    <tableColumn id="3" xr3:uid="{C267B484-5BF1-4B36-B391-126AB8BBD216}" name="DE                 Zone 1"/>
    <tableColumn id="4" xr3:uid="{DDF8F51B-EBEC-48F4-89CD-CB3DC2A8A6BE}" name="DE                            Zone 2"/>
    <tableColumn id="2" xr3:uid="{AE4B539D-D4E0-417E-8FE9-F612C286941B}" name="DE                 Zone 3"/>
    <tableColumn id="5" xr3:uid="{BE41F2D1-627C-4C30-85DC-DC1FB4462598}" name="DE                 Zone 4"/>
    <tableColumn id="6" xr3:uid="{86B69DF4-B60B-4A37-9137-B9FDB28CAA66}" name="DE                 Zone 5"/>
    <tableColumn id="7" xr3:uid="{DF419873-B7DF-40DD-9793-1FCD2418DDA4}" name="DE                 Zone 6"/>
    <tableColumn id="8" xr3:uid="{8C58BF85-DF9D-49AD-844D-53C9991A3E08}" name="DE                 Zone 7"/>
    <tableColumn id="9" xr3:uid="{040B0CEB-83E8-494E-A502-3DE0FA0D1AC4}" name="DE                 Zone 8"/>
    <tableColumn id="10" xr3:uid="{F4509C65-BED9-4632-8A90-46733D09BB0E}" name="NL"/>
    <tableColumn id="11" xr3:uid="{E27C342A-1950-46FA-9C62-F3A7E87437E6}" name="BE"/>
    <tableColumn id="12" xr3:uid="{EAE7C4C3-6F10-46FF-A06A-C5476AF0ADA0}" name="CH"/>
    <tableColumn id="13" xr3:uid="{4EE4FD60-0419-4B19-AA85-D8AA86C9CC65}" name="IT                                 (1-5)"/>
    <tableColumn id="14" xr3:uid="{96913105-E973-4086-8424-A73F3D39A6B1}" name="PL                Wroclaw"/>
    <tableColumn id="15" xr3:uid="{45DF03A5-254A-4620-A8B4-E7556561542B}" name="PL                        Lodz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59"/>
    <tableColumn id="2" xr3:uid="{2BF013A5-06BF-4D40-9C2F-8E48B9295396}" name="Country" dataDxfId="58"/>
    <tableColumn id="3" xr3:uid="{638DFD24-6A6D-406B-B067-680458B76405}" name="POL" dataDxfId="57"/>
    <tableColumn id="4" xr3:uid="{AB17D869-D727-4DDD-8C89-EE821ECDE18C}" name="POD" dataDxfId="56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55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54"/>
    <tableColumn id="13" xr3:uid="{586E52F4-E192-447A-9E97-82F55DF511A3}" name="Estimate Leadtime(Door to Door)Cover 80%-90% Shipments in Mar" dataDxfId="5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50" tableType="queryTable" totalsRowCount="1">
  <autoFilter ref="A1:AD49" xr:uid="{3C3DAF26-BE7B-4D17-AD2E-48E438E2A6C0}"/>
  <tableColumns count="30">
    <tableColumn id="1" xr3:uid="{05578B41-A01B-439C-9084-7A8CDF75F229}" uniqueName="1" name="BRAND_x000a_DESCRIPTION" queryTableFieldId="55" dataDxfId="21" dataCellStyle="Currency"/>
    <tableColumn id="3" xr3:uid="{BB787D81-FA37-48B9-AE91-AE1A456B7293}" uniqueName="3" name="ITEM" queryTableFieldId="3" dataDxfId="52"/>
    <tableColumn id="2" xr3:uid="{099E95C5-B24E-4E48-A998-EA439A18F82D}" uniqueName="2" name="WIDTH(CM)" queryTableFieldId="56" dataDxfId="20" totalsRowDxfId="22" dataCellStyle="Currency"/>
    <tableColumn id="4" xr3:uid="{26355AE5-9662-4910-81CD-9FDB6FEF1201}" uniqueName="4" name="DEPTH(CM)" queryTableFieldId="57" dataDxfId="19" totalsRowDxfId="23" dataCellStyle="Currency"/>
    <tableColumn id="5" xr3:uid="{E5EACCBC-B3FC-45E8-A9D8-1DD5410FA02B}" uniqueName="5" name="HEIGHT(CM)" queryTableFieldId="58" dataDxfId="18" totalsRowDxfId="24" dataCellStyle="Currency"/>
    <tableColumn id="6" xr3:uid="{166ABAC7-F99B-4DA3-9BC1-AF34A318000C}" uniqueName="6" name="WEIGHT(KG)" queryTableFieldId="59" dataDxfId="17" totalsRowDxfId="25" dataCellStyle="Currency"/>
    <tableColumn id="7" xr3:uid="{CFC69CAF-326B-444D-BA79-F462C10FD417}" uniqueName="7" name="RETAIL UNITS PER MASTER SHIPPER PKG" queryTableFieldId="60" dataDxfId="16" totalsRowDxfId="26" dataCellStyle="Currency"/>
    <tableColumn id="8" xr3:uid="{8FE3012C-6260-49C6-AC77-36354AC63093}" uniqueName="8" name="ANNUAL UNITS" queryTableFieldId="61" dataDxfId="15" totalsRowDxfId="27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SUM(J2:J49)</totalsRowFormula>
    </tableColumn>
    <tableColumn id="14" xr3:uid="{006AEFCB-A936-4AEF-9C0C-CDA2B592F1E4}" uniqueName="14" name="Estimated Cases per Pallet By Volume" queryTableFieldId="51" dataDxfId="14" totalsRowDxfId="28" dataCellStyle="Currency"/>
    <tableColumn id="15" xr3:uid="{79CEAD43-3249-44B1-9017-661252642DCA}" uniqueName="15" name="Pallet Quantity" totalsRowFunction="custom" queryTableFieldId="15">
      <totalsRowFormula>SUM(L2:L49)</totalsRowFormula>
    </tableColumn>
    <tableColumn id="16" xr3:uid="{79DF66F3-9B26-469A-8A91-A16D2EC0C3A5}" uniqueName="16" name="Monthly Sales" totalsRowFunction="custom" queryTableFieldId="16">
      <totalsRowFormula>SUM(M2:M49)</totalsRowFormula>
    </tableColumn>
    <tableColumn id="17" xr3:uid="{A860E39D-1BC7-4D9A-9818-C1CD114605F3}" uniqueName="17" name="Storage Requirement (Pallet)" queryTableFieldId="52" dataDxfId="13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12" totalsRowDxfId="29">
      <totalsRowFormula>SUM(P2:P49)</totalsRowFormula>
    </tableColumn>
    <tableColumn id="20" xr3:uid="{1B98898D-0082-40EC-A384-042C52D6E6C5}" uniqueName="20" name="Estimate Container QTY" totalsRowFunction="custom" queryTableFieldId="20" totalsRowDxfId="30">
      <totalsRowFormula>SUM(Q2:Q49)</totalsRowFormula>
    </tableColumn>
    <tableColumn id="21" xr3:uid="{CA79D92B-3050-4858-A52E-AC8909046E01}" uniqueName="21" name="Revenue" totalsRowFunction="custom" queryTableFieldId="21" dataDxfId="11" totalsRowDxfId="31" dataCellStyle="Currency">
      <totalsRowFormula>SUM(R2:R49)</totalsRowFormula>
    </tableColumn>
    <tableColumn id="22" xr3:uid="{071CFB14-D00B-4529-B8E8-D6EA4D4C5520}" uniqueName="22" name="Total % of Space" queryTableFieldId="22" dataDxfId="10" totalsRowDxfId="32" dataCellStyle="Per cent"/>
    <tableColumn id="28" xr3:uid="{2DE643E4-C8D1-4C6A-9D1E-0EA3C1CB83BE}" uniqueName="28" name="Total Weight" totalsRowFunction="custom" queryTableFieldId="28" dataDxfId="9" totalsRowDxfId="33">
      <totalsRowFormula>SUM(T2:T49)</totalsRowFormula>
    </tableColumn>
    <tableColumn id="9" xr3:uid="{1A103125-E646-447A-848C-524E5B2FE1B1}" uniqueName="9" name="AVG Number of Full Trucks" queryTableFieldId="69" dataCellStyle="Currency"/>
    <tableColumn id="29" xr3:uid="{E4AE9779-9F82-4D17-862F-7640DA7AED3E}" uniqueName="29" name="Annual Seafreight Cost" totalsRowFunction="custom" queryTableFieldId="30" dataDxfId="8" totalsRowDxfId="34">
      <totalsRowFormula>SUM(V2:V49)</totalsRowFormula>
    </tableColumn>
    <tableColumn id="30" xr3:uid="{28A38516-42A6-494A-A9EE-4BC8E48309A7}" uniqueName="30" name="Seafreight Cost per Unit" queryTableFieldId="31" dataDxfId="7" totalsRowDxfId="35"/>
    <tableColumn id="31" xr3:uid="{01F5312F-011E-4174-9C80-E4716CFC8C57}" uniqueName="31" name="Annual WH Cost" totalsRowFunction="custom" queryTableFieldId="32" dataDxfId="6" totalsRowDxfId="36">
      <totalsRowFormula>SUM(X2:X49)</totalsRowFormula>
    </tableColumn>
    <tableColumn id="32" xr3:uid="{25946182-31BF-46D8-93E6-C43FD86C7B71}" uniqueName="32" name="WH Cost per Unit" queryTableFieldId="33" dataDxfId="5" totalsRowDxfId="37"/>
    <tableColumn id="23" xr3:uid="{97C3EF99-7DB8-4F51-AE27-1EC72EF9D939}" uniqueName="23" name="Delivery Cost" totalsRowFunction="custom" queryTableFieldId="45" dataDxfId="4" totalsRowDxfId="38" dataCellStyle="Currency">
      <totalsRowFormula>SUM(Z2:Z49)</totalsRowFormula>
    </tableColumn>
    <tableColumn id="42" xr3:uid="{1CE7CBF6-3036-4B65-B49F-0CBBFC4AB2A2}" uniqueName="42" name="Delivery Cost per Unit" queryTableFieldId="43" dataDxfId="3" totalsRowDxfId="39"/>
    <tableColumn id="24" xr3:uid="{2B1FADBC-3AD9-4B97-814E-51915743937C}" uniqueName="24" name="Total Logistic Cost" totalsRowFunction="custom" queryTableFieldId="46" dataDxfId="2" totalsRowDxfId="40" dataCellStyle="Currency">
      <totalsRowFormula>SUM(AB2:AB49)</totalsRowFormula>
    </tableColumn>
    <tableColumn id="25" xr3:uid="{478C2A16-11B7-41F0-9A4B-64FCC95B8C0A}" uniqueName="25" name="Total Logistic Cost per Unit" queryTableFieldId="47" dataDxfId="1" totalsRowDxfId="41" dataCellStyle="Currency"/>
    <tableColumn id="41" xr3:uid="{2C1D7A41-F8B4-487F-88E9-1F21930A0F95}" uniqueName="41" name="% of Revenue" queryTableFieldId="42" dataDxfId="0" totalsRowDxfId="42" dataCellStyle="Per cent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27B77B-9348-46D3-B22E-0C8B1A623336}" name="TransportRate" displayName="TransportRate" ref="A1:AB15" tableType="queryTable" totalsRowShown="0">
  <autoFilter ref="A1:AB15" xr:uid="{8D27B77B-9348-46D3-B22E-0C8B1A623336}"/>
  <tableColumns count="28">
    <tableColumn id="1" xr3:uid="{91DDF5E2-5B06-41DF-9D36-6F0DD37BA54E}" uniqueName="1" name="To(Location)" queryTableFieldId="1" dataDxfId="51"/>
    <tableColumn id="2" xr3:uid="{B4544815-0E77-4524-A44A-19E1BF1A6CB9}" uniqueName="2" name="1" queryTableFieldId="2"/>
    <tableColumn id="3" xr3:uid="{EBBBFC48-F244-4FBD-9451-424B38E607DC}" uniqueName="3" name="2" queryTableFieldId="3"/>
    <tableColumn id="4" xr3:uid="{594923BE-4598-4F15-A15B-15EBCEA4FC2E}" uniqueName="4" name="3" queryTableFieldId="4"/>
    <tableColumn id="5" xr3:uid="{5914CEA2-BC4A-48C3-A290-95CD63E74DD5}" uniqueName="5" name="4" queryTableFieldId="5"/>
    <tableColumn id="6" xr3:uid="{82FE72E3-1948-4081-B25E-D59A229A0CDF}" uniqueName="6" name="5" queryTableFieldId="6"/>
    <tableColumn id="7" xr3:uid="{FB24BCC8-4AD6-4C6B-842C-E5C7EF37FCB3}" uniqueName="7" name="6" queryTableFieldId="7"/>
    <tableColumn id="8" xr3:uid="{12FC6711-1C4A-49A6-A0A5-A9F4A3598FC4}" uniqueName="8" name="7" queryTableFieldId="8"/>
    <tableColumn id="9" xr3:uid="{354D681F-3058-499E-B8DF-9E9B27EBEF0D}" uniqueName="9" name="8" queryTableFieldId="9"/>
    <tableColumn id="10" xr3:uid="{850FD170-23E3-4CDD-BABC-42B6511FFE7E}" uniqueName="10" name="9" queryTableFieldId="10"/>
    <tableColumn id="11" xr3:uid="{4BE56F44-68D8-44E7-9769-36B05D2D5D8F}" uniqueName="11" name="10" queryTableFieldId="11"/>
    <tableColumn id="12" xr3:uid="{E78F7C46-AA1D-4459-9A2F-200A622390D5}" uniqueName="12" name="11" queryTableFieldId="12"/>
    <tableColumn id="13" xr3:uid="{F1A2ECC4-9A82-414E-9922-FC0F240F1C01}" uniqueName="13" name="12" queryTableFieldId="13"/>
    <tableColumn id="14" xr3:uid="{B72768F7-03C4-4660-966C-3D4976F96AC1}" uniqueName="14" name="13" queryTableFieldId="14"/>
    <tableColumn id="15" xr3:uid="{B3D4C25D-A63B-4C92-B1C0-696B2ACDA38F}" uniqueName="15" name="14" queryTableFieldId="15"/>
    <tableColumn id="16" xr3:uid="{7801AF3A-926C-4632-BED9-7F5E71A510F3}" uniqueName="16" name="15" queryTableFieldId="16"/>
    <tableColumn id="17" xr3:uid="{DF487319-4A87-4C58-8896-8916436D03F0}" uniqueName="17" name="16" queryTableFieldId="17"/>
    <tableColumn id="18" xr3:uid="{BE37FA2B-4E2F-4EA1-8021-6936A3B32DBC}" uniqueName="18" name="17" queryTableFieldId="18"/>
    <tableColumn id="19" xr3:uid="{33292D7C-30FD-4B19-A992-6A382AEA4F2B}" uniqueName="19" name="18" queryTableFieldId="19"/>
    <tableColumn id="20" xr3:uid="{1436296F-B00E-4577-9749-122280E15038}" uniqueName="20" name="19" queryTableFieldId="20"/>
    <tableColumn id="21" xr3:uid="{72F11039-23DE-454D-8988-ACE0283487AA}" uniqueName="21" name="20" queryTableFieldId="21"/>
    <tableColumn id="22" xr3:uid="{6C55996D-3BD8-400C-A505-D9BE57834072}" uniqueName="22" name="21" queryTableFieldId="22"/>
    <tableColumn id="23" xr3:uid="{A0A24CBE-0209-4AA9-910B-9AEC015CF4A8}" uniqueName="23" name="22" queryTableFieldId="23"/>
    <tableColumn id="24" xr3:uid="{A309B753-52AE-405C-A14D-20FA6B003F0C}" uniqueName="24" name="23" queryTableFieldId="24"/>
    <tableColumn id="25" xr3:uid="{968C5A9C-7707-42BC-B4BD-721763F2318A}" uniqueName="25" name="24" queryTableFieldId="25"/>
    <tableColumn id="26" xr3:uid="{D4E7A8BB-A813-40AE-B67F-1F645FF6BFC2}" uniqueName="26" name="25" queryTableFieldId="26"/>
    <tableColumn id="27" xr3:uid="{26902328-1B38-4F17-BD97-1D67388D5EBE}" uniqueName="27" name="26" queryTableFieldId="27"/>
    <tableColumn id="28" xr3:uid="{CEC28B1D-9CB8-4EDA-8D35-EA1917C0F176}" uniqueName="28" name="Full-Load" queryTableFieldId="3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V241"/>
  <sheetViews>
    <sheetView zoomScale="70" zoomScaleNormal="70" workbookViewId="0">
      <selection activeCell="O22" sqref="O22"/>
    </sheetView>
    <sheetView workbookViewId="1">
      <selection activeCell="B16" sqref="B16"/>
    </sheetView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1" customWidth="1"/>
    <col min="11" max="11" width="15.81640625" style="11" customWidth="1"/>
    <col min="12" max="12" width="11.81640625" style="11" customWidth="1"/>
    <col min="13" max="13" width="7" style="11" customWidth="1"/>
    <col min="14" max="14" width="23.1796875" style="11" customWidth="1"/>
    <col min="15" max="15" width="9.7265625" style="11" customWidth="1"/>
    <col min="16" max="16" width="3" style="11" customWidth="1"/>
    <col min="17" max="16384" width="9.1796875" hidden="1"/>
  </cols>
  <sheetData>
    <row r="1" spans="1:19" ht="8.25" customHeight="1" thickBot="1" x14ac:dyDescent="0.4">
      <c r="A1" s="11"/>
      <c r="B1" s="11"/>
      <c r="C1" s="11"/>
      <c r="D1" s="11"/>
      <c r="E1" s="11"/>
      <c r="F1" s="11"/>
      <c r="G1" s="11"/>
      <c r="H1" s="11"/>
      <c r="I1" s="11"/>
    </row>
    <row r="2" spans="1:19" ht="112.5" customHeight="1" thickBot="1" x14ac:dyDescent="0.4">
      <c r="A2" s="23" t="s">
        <v>32</v>
      </c>
      <c r="B2" s="24" t="s">
        <v>30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7" t="s">
        <v>1</v>
      </c>
      <c r="I2" s="28" t="s">
        <v>29</v>
      </c>
      <c r="K2" s="29" t="s">
        <v>28</v>
      </c>
      <c r="L2" s="12"/>
      <c r="M2" s="13"/>
      <c r="N2" s="13"/>
      <c r="O2" s="14"/>
    </row>
    <row r="3" spans="1:19" ht="15" customHeight="1" x14ac:dyDescent="0.35">
      <c r="A3" t="s">
        <v>169</v>
      </c>
      <c r="B3" t="s">
        <v>170</v>
      </c>
      <c r="C3" s="56">
        <v>1</v>
      </c>
      <c r="D3" s="56">
        <v>1</v>
      </c>
      <c r="E3" s="56">
        <v>37284.543325526916</v>
      </c>
      <c r="F3" s="56">
        <v>14.660000000000004</v>
      </c>
      <c r="G3" s="58">
        <v>32</v>
      </c>
      <c r="H3" s="5">
        <v>27328</v>
      </c>
      <c r="I3" s="22">
        <v>0</v>
      </c>
      <c r="K3" s="19" t="s">
        <v>139</v>
      </c>
      <c r="L3" s="43"/>
      <c r="O3" s="15"/>
    </row>
    <row r="4" spans="1:19" x14ac:dyDescent="0.35">
      <c r="A4" t="s">
        <v>169</v>
      </c>
      <c r="B4" t="s">
        <v>171</v>
      </c>
      <c r="C4" s="56">
        <v>1</v>
      </c>
      <c r="D4" s="56">
        <v>1</v>
      </c>
      <c r="E4" s="56">
        <v>36000</v>
      </c>
      <c r="F4" s="56">
        <v>14.56</v>
      </c>
      <c r="G4" s="58">
        <v>32</v>
      </c>
      <c r="H4" s="5">
        <v>8</v>
      </c>
      <c r="I4" s="22"/>
      <c r="K4" s="16" t="s">
        <v>140</v>
      </c>
      <c r="L4" s="43"/>
      <c r="O4" s="15"/>
    </row>
    <row r="5" spans="1:19" x14ac:dyDescent="0.35">
      <c r="A5" t="s">
        <v>169</v>
      </c>
      <c r="B5" t="s">
        <v>172</v>
      </c>
      <c r="C5" s="56">
        <v>1</v>
      </c>
      <c r="D5" s="56">
        <v>1</v>
      </c>
      <c r="E5" s="56">
        <v>37285.343228200363</v>
      </c>
      <c r="F5" s="56">
        <v>14.559999999999999</v>
      </c>
      <c r="G5" s="58">
        <v>32</v>
      </c>
      <c r="H5" s="5">
        <v>21560</v>
      </c>
      <c r="I5" s="22"/>
      <c r="K5" s="36" t="s">
        <v>141</v>
      </c>
      <c r="L5" s="43"/>
      <c r="O5" s="15"/>
    </row>
    <row r="6" spans="1:19" x14ac:dyDescent="0.35">
      <c r="A6" s="54" t="s">
        <v>169</v>
      </c>
      <c r="B6" s="55" t="s">
        <v>173</v>
      </c>
      <c r="C6" s="57">
        <v>1</v>
      </c>
      <c r="D6" s="57">
        <v>1</v>
      </c>
      <c r="E6" s="57">
        <v>37285.509325681494</v>
      </c>
      <c r="F6" s="57">
        <v>14.559999999999999</v>
      </c>
      <c r="G6" s="58">
        <v>32</v>
      </c>
      <c r="H6" s="5">
        <v>44608</v>
      </c>
      <c r="I6" s="22"/>
      <c r="K6" s="36" t="s">
        <v>142</v>
      </c>
      <c r="L6" s="43"/>
      <c r="O6" s="15"/>
    </row>
    <row r="7" spans="1:19" x14ac:dyDescent="0.35">
      <c r="A7" s="54" t="s">
        <v>169</v>
      </c>
      <c r="B7" s="55" t="s">
        <v>174</v>
      </c>
      <c r="C7" s="57">
        <v>1</v>
      </c>
      <c r="D7" s="57">
        <v>1</v>
      </c>
      <c r="E7" s="57">
        <v>37285.930408472021</v>
      </c>
      <c r="F7" s="57">
        <v>14.659999999999998</v>
      </c>
      <c r="G7" s="58">
        <v>32</v>
      </c>
      <c r="H7" s="5">
        <v>42304</v>
      </c>
      <c r="I7" s="22"/>
      <c r="K7" s="16" t="s">
        <v>143</v>
      </c>
      <c r="O7" s="15"/>
    </row>
    <row r="8" spans="1:19" x14ac:dyDescent="0.35">
      <c r="A8" s="54" t="s">
        <v>169</v>
      </c>
      <c r="B8" s="55" t="s">
        <v>175</v>
      </c>
      <c r="C8" s="57">
        <v>1</v>
      </c>
      <c r="D8" s="57">
        <v>1</v>
      </c>
      <c r="E8" s="57">
        <v>37281.899109792277</v>
      </c>
      <c r="F8" s="57">
        <v>14.690000000000001</v>
      </c>
      <c r="G8" s="58">
        <v>32</v>
      </c>
      <c r="H8" s="5">
        <v>21568</v>
      </c>
      <c r="I8" s="22"/>
      <c r="K8" s="16" t="s">
        <v>144</v>
      </c>
      <c r="O8" s="15"/>
      <c r="S8" t="s">
        <v>26</v>
      </c>
    </row>
    <row r="9" spans="1:19" x14ac:dyDescent="0.35">
      <c r="A9" s="54" t="s">
        <v>169</v>
      </c>
      <c r="B9" s="55" t="s">
        <v>176</v>
      </c>
      <c r="C9" s="57">
        <v>1</v>
      </c>
      <c r="D9" s="57">
        <v>1</v>
      </c>
      <c r="E9" s="57">
        <v>37282.841823056282</v>
      </c>
      <c r="F9" s="57">
        <v>14.200000000000003</v>
      </c>
      <c r="G9" s="58">
        <v>32</v>
      </c>
      <c r="H9" s="59">
        <v>23872</v>
      </c>
      <c r="I9" s="60"/>
      <c r="K9" s="37" t="s">
        <v>145</v>
      </c>
      <c r="L9" s="17"/>
      <c r="M9" s="17"/>
      <c r="N9" s="17"/>
      <c r="O9" s="18"/>
      <c r="S9" t="s">
        <v>27</v>
      </c>
    </row>
    <row r="10" spans="1:19" x14ac:dyDescent="0.35">
      <c r="A10" s="54" t="s">
        <v>169</v>
      </c>
      <c r="B10" s="55" t="s">
        <v>177</v>
      </c>
      <c r="C10" s="57">
        <v>1</v>
      </c>
      <c r="D10" s="57">
        <v>1</v>
      </c>
      <c r="E10" s="57">
        <v>37284.053156146168</v>
      </c>
      <c r="F10" s="57">
        <v>14.14</v>
      </c>
      <c r="G10" s="58">
        <v>32</v>
      </c>
      <c r="H10" s="59">
        <v>19264</v>
      </c>
      <c r="I10" s="60"/>
    </row>
    <row r="11" spans="1:19" x14ac:dyDescent="0.35">
      <c r="A11" s="54" t="s">
        <v>169</v>
      </c>
      <c r="B11" s="55" t="s">
        <v>178</v>
      </c>
      <c r="C11" s="57">
        <v>1</v>
      </c>
      <c r="D11" s="57">
        <v>1</v>
      </c>
      <c r="E11" s="57">
        <v>40000</v>
      </c>
      <c r="F11" s="57">
        <v>14.2</v>
      </c>
      <c r="G11" s="58">
        <v>32</v>
      </c>
      <c r="H11" s="59">
        <v>4</v>
      </c>
      <c r="I11" s="60"/>
      <c r="K11" s="3" t="s">
        <v>33</v>
      </c>
      <c r="L11" s="3" t="s">
        <v>146</v>
      </c>
    </row>
    <row r="12" spans="1:19" x14ac:dyDescent="0.35">
      <c r="A12" s="54" t="s">
        <v>169</v>
      </c>
      <c r="B12" s="55" t="s">
        <v>179</v>
      </c>
      <c r="C12" s="57">
        <v>1</v>
      </c>
      <c r="D12" s="57">
        <v>1</v>
      </c>
      <c r="E12" s="57">
        <v>37285.776728735029</v>
      </c>
      <c r="F12" s="57">
        <v>14.200000000000001</v>
      </c>
      <c r="G12" s="58">
        <v>32</v>
      </c>
      <c r="H12" s="59">
        <v>45756</v>
      </c>
      <c r="I12" s="60"/>
      <c r="K12" s="35" t="s">
        <v>236</v>
      </c>
      <c r="L12" s="38">
        <v>0.03</v>
      </c>
    </row>
    <row r="13" spans="1:19" x14ac:dyDescent="0.35">
      <c r="A13" s="54" t="s">
        <v>169</v>
      </c>
      <c r="B13" s="55" t="s">
        <v>180</v>
      </c>
      <c r="C13" s="57">
        <v>1</v>
      </c>
      <c r="D13" s="57">
        <v>1</v>
      </c>
      <c r="E13" s="57">
        <v>37285.509325681494</v>
      </c>
      <c r="F13" s="57">
        <v>14.200000000000005</v>
      </c>
      <c r="G13" s="58">
        <v>32</v>
      </c>
      <c r="H13" s="59">
        <v>44608</v>
      </c>
      <c r="I13" s="60"/>
      <c r="K13" s="35" t="s">
        <v>252</v>
      </c>
      <c r="L13" s="38">
        <v>0.74</v>
      </c>
    </row>
    <row r="14" spans="1:19" x14ac:dyDescent="0.35">
      <c r="A14" s="54" t="s">
        <v>169</v>
      </c>
      <c r="B14" s="55" t="s">
        <v>181</v>
      </c>
      <c r="C14" s="57">
        <v>1</v>
      </c>
      <c r="D14" s="57">
        <v>1</v>
      </c>
      <c r="E14" s="57">
        <v>37281.690140845058</v>
      </c>
      <c r="F14" s="57">
        <v>14.200000000000003</v>
      </c>
      <c r="G14" s="58">
        <v>32</v>
      </c>
      <c r="H14" s="59">
        <v>22720</v>
      </c>
      <c r="I14" s="60"/>
      <c r="K14" s="35" t="s">
        <v>255</v>
      </c>
      <c r="L14" s="38">
        <v>0.15</v>
      </c>
      <c r="S14" s="1" t="s">
        <v>20</v>
      </c>
    </row>
    <row r="15" spans="1:19" x14ac:dyDescent="0.35">
      <c r="A15" s="54" t="s">
        <v>182</v>
      </c>
      <c r="B15" s="55" t="s">
        <v>183</v>
      </c>
      <c r="C15" s="57">
        <v>1</v>
      </c>
      <c r="D15" s="57">
        <v>1</v>
      </c>
      <c r="E15" s="57">
        <v>49556.701030927827</v>
      </c>
      <c r="F15" s="57">
        <v>15.21</v>
      </c>
      <c r="G15" s="58">
        <v>84</v>
      </c>
      <c r="H15" s="59">
        <v>8148</v>
      </c>
      <c r="I15" s="60"/>
      <c r="K15" s="35" t="s">
        <v>258</v>
      </c>
      <c r="L15" s="38">
        <v>0.08</v>
      </c>
      <c r="N15" s="3" t="s">
        <v>0</v>
      </c>
      <c r="O15" s="3" t="s">
        <v>36</v>
      </c>
      <c r="S15" s="2" t="s">
        <v>21</v>
      </c>
    </row>
    <row r="16" spans="1:19" x14ac:dyDescent="0.35">
      <c r="A16" s="54" t="s">
        <v>182</v>
      </c>
      <c r="B16" s="55" t="s">
        <v>184</v>
      </c>
      <c r="C16" s="57">
        <v>1</v>
      </c>
      <c r="D16" s="57">
        <v>1</v>
      </c>
      <c r="E16" s="57">
        <v>49560</v>
      </c>
      <c r="F16" s="57">
        <v>15.21</v>
      </c>
      <c r="G16" s="58">
        <v>84</v>
      </c>
      <c r="H16" s="59">
        <v>2100</v>
      </c>
      <c r="I16" s="60"/>
      <c r="K16" s="35"/>
      <c r="L16" s="38"/>
      <c r="N16" s="30" t="s">
        <v>18</v>
      </c>
      <c r="O16" s="30">
        <v>1.47</v>
      </c>
    </row>
    <row r="17" spans="1:15" x14ac:dyDescent="0.35">
      <c r="A17" s="54" t="s">
        <v>182</v>
      </c>
      <c r="B17" s="55" t="s">
        <v>185</v>
      </c>
      <c r="C17" s="57">
        <v>1</v>
      </c>
      <c r="D17" s="57">
        <v>1</v>
      </c>
      <c r="E17" s="57">
        <v>49556.701030927827</v>
      </c>
      <c r="F17" s="57">
        <v>15.21</v>
      </c>
      <c r="G17" s="58">
        <v>84</v>
      </c>
      <c r="H17" s="59">
        <v>8148</v>
      </c>
      <c r="I17" s="60"/>
      <c r="K17" s="35"/>
      <c r="L17" s="38"/>
      <c r="N17" s="31" t="s">
        <v>15</v>
      </c>
      <c r="O17" s="30">
        <v>1.94</v>
      </c>
    </row>
    <row r="18" spans="1:15" x14ac:dyDescent="0.35">
      <c r="A18" s="54" t="s">
        <v>182</v>
      </c>
      <c r="B18" s="55" t="s">
        <v>186</v>
      </c>
      <c r="C18" s="57">
        <v>1</v>
      </c>
      <c r="D18" s="57">
        <v>1</v>
      </c>
      <c r="E18" s="57">
        <v>50000</v>
      </c>
      <c r="F18" s="57">
        <v>15.21</v>
      </c>
      <c r="G18" s="58">
        <v>84</v>
      </c>
      <c r="H18" s="59">
        <v>84</v>
      </c>
      <c r="I18" s="60"/>
      <c r="K18" s="35"/>
      <c r="L18" s="38"/>
      <c r="N18" s="31" t="s">
        <v>19</v>
      </c>
      <c r="O18" s="30">
        <v>1.62</v>
      </c>
    </row>
    <row r="19" spans="1:15" x14ac:dyDescent="0.35">
      <c r="A19" s="54" t="s">
        <v>182</v>
      </c>
      <c r="B19" s="55" t="s">
        <v>187</v>
      </c>
      <c r="C19" s="57">
        <v>1</v>
      </c>
      <c r="D19" s="57">
        <v>1</v>
      </c>
      <c r="E19" s="57">
        <v>49542.857142857145</v>
      </c>
      <c r="F19" s="57">
        <v>15.21</v>
      </c>
      <c r="G19" s="58">
        <v>84</v>
      </c>
      <c r="H19" s="59">
        <v>8820</v>
      </c>
      <c r="I19" s="60"/>
      <c r="K19" s="35"/>
      <c r="L19" s="38"/>
      <c r="N19" s="30" t="s">
        <v>34</v>
      </c>
      <c r="O19" s="30">
        <v>3</v>
      </c>
    </row>
    <row r="20" spans="1:15" x14ac:dyDescent="0.35">
      <c r="A20" s="54" t="s">
        <v>182</v>
      </c>
      <c r="B20" s="55" t="s">
        <v>188</v>
      </c>
      <c r="C20" s="57">
        <v>1</v>
      </c>
      <c r="D20" s="57">
        <v>1</v>
      </c>
      <c r="E20" s="57">
        <v>50000</v>
      </c>
      <c r="F20" s="57">
        <v>15.21</v>
      </c>
      <c r="G20" s="58">
        <v>84</v>
      </c>
      <c r="H20" s="59">
        <v>84</v>
      </c>
      <c r="I20" s="60"/>
      <c r="K20" s="35"/>
      <c r="L20" s="38"/>
      <c r="N20" s="30" t="s">
        <v>35</v>
      </c>
      <c r="O20" s="30">
        <v>66</v>
      </c>
    </row>
    <row r="21" spans="1:15" x14ac:dyDescent="0.35">
      <c r="A21" s="54" t="s">
        <v>182</v>
      </c>
      <c r="B21" s="55" t="s">
        <v>189</v>
      </c>
      <c r="C21" s="57">
        <v>1</v>
      </c>
      <c r="D21" s="57">
        <v>1</v>
      </c>
      <c r="E21" s="57">
        <v>40082.474226804123</v>
      </c>
      <c r="F21" s="57">
        <v>10.65</v>
      </c>
      <c r="G21" s="58">
        <v>70</v>
      </c>
      <c r="H21" s="59">
        <v>6790</v>
      </c>
      <c r="I21" s="60"/>
      <c r="K21" s="35"/>
      <c r="L21" s="38"/>
      <c r="N21" s="30" t="s">
        <v>150</v>
      </c>
      <c r="O21" s="30">
        <v>24</v>
      </c>
    </row>
    <row r="22" spans="1:15" x14ac:dyDescent="0.35">
      <c r="A22" s="54" t="s">
        <v>182</v>
      </c>
      <c r="B22" s="55" t="s">
        <v>190</v>
      </c>
      <c r="C22" s="57">
        <v>1</v>
      </c>
      <c r="D22" s="57">
        <v>1</v>
      </c>
      <c r="E22" s="57">
        <v>40082.474226804123</v>
      </c>
      <c r="F22" s="57">
        <v>10.65</v>
      </c>
      <c r="G22" s="58">
        <v>70</v>
      </c>
      <c r="H22" s="59">
        <v>6790</v>
      </c>
      <c r="I22" s="60"/>
      <c r="K22" s="35"/>
      <c r="L22" s="38"/>
      <c r="N22" s="30" t="s">
        <v>25</v>
      </c>
      <c r="O22" s="34" t="s">
        <v>27</v>
      </c>
    </row>
    <row r="23" spans="1:15" x14ac:dyDescent="0.35">
      <c r="A23" s="54" t="s">
        <v>182</v>
      </c>
      <c r="B23" s="55" t="s">
        <v>191</v>
      </c>
      <c r="C23" s="57">
        <v>1</v>
      </c>
      <c r="D23" s="57">
        <v>1</v>
      </c>
      <c r="E23" s="57">
        <v>40000</v>
      </c>
      <c r="F23" s="57">
        <v>10.65</v>
      </c>
      <c r="G23" s="58">
        <v>70</v>
      </c>
      <c r="H23" s="59">
        <v>70</v>
      </c>
      <c r="I23" s="60"/>
      <c r="K23" s="35"/>
      <c r="L23" s="38"/>
      <c r="N23" s="32" t="s">
        <v>38</v>
      </c>
      <c r="O23" s="33" t="b">
        <v>0</v>
      </c>
    </row>
    <row r="24" spans="1:15" x14ac:dyDescent="0.35">
      <c r="A24" s="54" t="s">
        <v>182</v>
      </c>
      <c r="B24" s="55" t="s">
        <v>192</v>
      </c>
      <c r="C24" s="57">
        <v>1</v>
      </c>
      <c r="D24" s="57">
        <v>1</v>
      </c>
      <c r="E24" s="57">
        <v>40082.474226804123</v>
      </c>
      <c r="F24" s="57">
        <v>10.65</v>
      </c>
      <c r="G24" s="58">
        <v>70</v>
      </c>
      <c r="H24" s="59">
        <v>6790</v>
      </c>
      <c r="I24" s="60"/>
      <c r="K24" s="35"/>
      <c r="L24" s="38"/>
      <c r="N24" s="32" t="s">
        <v>39</v>
      </c>
      <c r="O24" s="33" t="b">
        <v>0</v>
      </c>
    </row>
    <row r="25" spans="1:15" x14ac:dyDescent="0.35">
      <c r="A25" s="54" t="s">
        <v>182</v>
      </c>
      <c r="B25" s="55" t="s">
        <v>193</v>
      </c>
      <c r="C25" s="57">
        <v>1</v>
      </c>
      <c r="D25" s="57">
        <v>1</v>
      </c>
      <c r="E25" s="57">
        <v>40000</v>
      </c>
      <c r="F25" s="57">
        <v>10.65</v>
      </c>
      <c r="G25" s="58">
        <v>70</v>
      </c>
      <c r="H25" s="59">
        <v>70</v>
      </c>
      <c r="I25" s="60"/>
      <c r="K25" s="35"/>
      <c r="L25" s="38"/>
      <c r="N25" s="32" t="s">
        <v>43</v>
      </c>
      <c r="O25" s="9" t="s">
        <v>20</v>
      </c>
    </row>
    <row r="26" spans="1:15" s="11" customFormat="1" x14ac:dyDescent="0.35">
      <c r="A26" s="54" t="s">
        <v>182</v>
      </c>
      <c r="B26" s="55" t="s">
        <v>194</v>
      </c>
      <c r="C26" s="57">
        <v>1</v>
      </c>
      <c r="D26" s="57">
        <v>1</v>
      </c>
      <c r="E26" s="57">
        <v>40082.474226804123</v>
      </c>
      <c r="F26" s="57">
        <v>10.65</v>
      </c>
      <c r="G26" s="58">
        <v>70</v>
      </c>
      <c r="H26" s="59">
        <v>6790</v>
      </c>
      <c r="I26" s="60"/>
      <c r="N26" s="32" t="s">
        <v>162</v>
      </c>
      <c r="O26" s="32">
        <v>0</v>
      </c>
    </row>
    <row r="27" spans="1:15" s="11" customFormat="1" x14ac:dyDescent="0.35">
      <c r="A27" s="54" t="s">
        <v>182</v>
      </c>
      <c r="B27" s="55" t="s">
        <v>195</v>
      </c>
      <c r="C27" s="57">
        <v>1</v>
      </c>
      <c r="D27" s="57">
        <v>1</v>
      </c>
      <c r="E27" s="57">
        <v>52000</v>
      </c>
      <c r="F27" s="57">
        <v>10.4</v>
      </c>
      <c r="G27" s="58">
        <v>72</v>
      </c>
      <c r="H27" s="59">
        <v>72</v>
      </c>
      <c r="I27" s="60"/>
      <c r="N27" s="32" t="s">
        <v>161</v>
      </c>
      <c r="O27" s="32">
        <v>1.55</v>
      </c>
    </row>
    <row r="28" spans="1:15" s="11" customFormat="1" x14ac:dyDescent="0.35">
      <c r="A28" s="54" t="s">
        <v>182</v>
      </c>
      <c r="B28" s="55" t="s">
        <v>196</v>
      </c>
      <c r="C28" s="57">
        <v>1</v>
      </c>
      <c r="D28" s="57">
        <v>1</v>
      </c>
      <c r="E28" s="57">
        <v>52000</v>
      </c>
      <c r="F28" s="57">
        <v>10.4</v>
      </c>
      <c r="G28" s="58">
        <v>72</v>
      </c>
      <c r="H28" s="59">
        <v>72</v>
      </c>
      <c r="I28" s="60"/>
      <c r="N28" s="32" t="s">
        <v>129</v>
      </c>
      <c r="O28" s="32" t="s">
        <v>100</v>
      </c>
    </row>
    <row r="29" spans="1:15" s="11" customFormat="1" x14ac:dyDescent="0.35">
      <c r="A29" s="54" t="s">
        <v>182</v>
      </c>
      <c r="B29" s="55" t="s">
        <v>197</v>
      </c>
      <c r="C29" s="57">
        <v>1</v>
      </c>
      <c r="D29" s="57">
        <v>1</v>
      </c>
      <c r="E29" s="57">
        <v>52000</v>
      </c>
      <c r="F29" s="57">
        <v>10.4</v>
      </c>
      <c r="G29" s="58">
        <v>72</v>
      </c>
      <c r="H29" s="59">
        <v>72</v>
      </c>
      <c r="I29" s="60"/>
    </row>
    <row r="30" spans="1:15" s="11" customFormat="1" x14ac:dyDescent="0.35">
      <c r="A30" s="54" t="s">
        <v>182</v>
      </c>
      <c r="B30" s="55" t="s">
        <v>198</v>
      </c>
      <c r="C30" s="57">
        <v>1</v>
      </c>
      <c r="D30" s="57">
        <v>1</v>
      </c>
      <c r="E30" s="57">
        <v>52000</v>
      </c>
      <c r="F30" s="57">
        <v>10.4</v>
      </c>
      <c r="G30" s="58">
        <v>72</v>
      </c>
      <c r="H30" s="59">
        <v>72</v>
      </c>
      <c r="I30" s="60"/>
    </row>
    <row r="31" spans="1:15" s="11" customFormat="1" x14ac:dyDescent="0.35">
      <c r="A31" s="54" t="s">
        <v>182</v>
      </c>
      <c r="B31" s="55" t="s">
        <v>199</v>
      </c>
      <c r="C31" s="57">
        <v>1</v>
      </c>
      <c r="D31" s="57">
        <v>1</v>
      </c>
      <c r="E31" s="57">
        <v>52000</v>
      </c>
      <c r="F31" s="57">
        <v>10.4</v>
      </c>
      <c r="G31" s="58">
        <v>72</v>
      </c>
      <c r="H31" s="59">
        <v>72</v>
      </c>
      <c r="I31" s="60"/>
    </row>
    <row r="32" spans="1:15" s="11" customFormat="1" x14ac:dyDescent="0.35">
      <c r="A32" s="54" t="s">
        <v>182</v>
      </c>
      <c r="B32" s="55" t="s">
        <v>200</v>
      </c>
      <c r="C32" s="57">
        <v>1</v>
      </c>
      <c r="D32" s="57">
        <v>1</v>
      </c>
      <c r="E32" s="57">
        <v>52000</v>
      </c>
      <c r="F32" s="57">
        <v>10.4</v>
      </c>
      <c r="G32" s="58">
        <v>72</v>
      </c>
      <c r="H32" s="59">
        <v>72</v>
      </c>
      <c r="I32" s="60"/>
    </row>
    <row r="33" spans="1:22" s="11" customFormat="1" x14ac:dyDescent="0.35">
      <c r="A33" s="54" t="s">
        <v>182</v>
      </c>
      <c r="B33" s="55" t="s">
        <v>201</v>
      </c>
      <c r="C33" s="57">
        <v>1</v>
      </c>
      <c r="D33" s="57">
        <v>1</v>
      </c>
      <c r="E33" s="57">
        <v>37060.377358490565</v>
      </c>
      <c r="F33" s="57">
        <v>13.790000000000001</v>
      </c>
      <c r="G33" s="58">
        <v>40</v>
      </c>
      <c r="H33" s="59">
        <v>10600</v>
      </c>
      <c r="I33" s="60"/>
    </row>
    <row r="34" spans="1:22" s="11" customFormat="1" x14ac:dyDescent="0.35">
      <c r="A34" s="54" t="s">
        <v>182</v>
      </c>
      <c r="B34" s="55" t="s">
        <v>202</v>
      </c>
      <c r="C34" s="57">
        <v>1</v>
      </c>
      <c r="D34" s="57">
        <v>1</v>
      </c>
      <c r="E34" s="57">
        <v>37000</v>
      </c>
      <c r="F34" s="57">
        <v>13.79</v>
      </c>
      <c r="G34" s="58">
        <v>40</v>
      </c>
      <c r="H34" s="59">
        <v>40</v>
      </c>
      <c r="I34" s="60"/>
    </row>
    <row r="35" spans="1:22" s="11" customFormat="1" x14ac:dyDescent="0.35">
      <c r="A35" s="54" t="s">
        <v>182</v>
      </c>
      <c r="B35" s="55" t="s">
        <v>203</v>
      </c>
      <c r="C35" s="57">
        <v>1</v>
      </c>
      <c r="D35" s="57">
        <v>1</v>
      </c>
      <c r="E35" s="57">
        <v>37000</v>
      </c>
      <c r="F35" s="57">
        <v>13.79</v>
      </c>
      <c r="G35" s="58">
        <v>40</v>
      </c>
      <c r="H35" s="59">
        <v>40</v>
      </c>
      <c r="I35" s="60"/>
      <c r="K35" s="112"/>
      <c r="L35" s="111"/>
      <c r="M35" s="112"/>
      <c r="N35" s="108"/>
      <c r="O35" s="108"/>
      <c r="P35" s="108"/>
      <c r="Q35" s="114"/>
      <c r="R35" s="107"/>
      <c r="S35" s="105" t="s">
        <v>263</v>
      </c>
      <c r="T35" s="106"/>
      <c r="U35" s="106"/>
      <c r="V35" s="106"/>
    </row>
    <row r="36" spans="1:22" s="11" customFormat="1" x14ac:dyDescent="0.35">
      <c r="A36" s="54" t="s">
        <v>182</v>
      </c>
      <c r="B36" s="55" t="s">
        <v>204</v>
      </c>
      <c r="C36" s="57">
        <v>1</v>
      </c>
      <c r="D36" s="57">
        <v>1</v>
      </c>
      <c r="E36" s="57">
        <v>37060.702875399358</v>
      </c>
      <c r="F36" s="57">
        <v>13.790000000000001</v>
      </c>
      <c r="G36" s="58">
        <v>40</v>
      </c>
      <c r="H36" s="59">
        <v>12520</v>
      </c>
      <c r="I36" s="60"/>
      <c r="K36" s="111"/>
      <c r="L36" s="112"/>
      <c r="M36" s="111"/>
      <c r="N36" s="114"/>
      <c r="O36" s="110"/>
      <c r="P36" s="110"/>
      <c r="Q36" s="108"/>
      <c r="R36" s="108"/>
      <c r="S36" s="108"/>
      <c r="T36" s="108"/>
      <c r="U36" s="108"/>
      <c r="V36" s="108"/>
    </row>
    <row r="37" spans="1:22" s="11" customFormat="1" x14ac:dyDescent="0.35">
      <c r="A37" s="54" t="s">
        <v>182</v>
      </c>
      <c r="B37" s="55" t="s">
        <v>205</v>
      </c>
      <c r="C37" s="57">
        <v>1</v>
      </c>
      <c r="D37" s="57">
        <v>1</v>
      </c>
      <c r="E37" s="57">
        <v>37000</v>
      </c>
      <c r="F37" s="57">
        <v>13.79</v>
      </c>
      <c r="G37" s="58">
        <v>40</v>
      </c>
      <c r="H37" s="59">
        <v>40</v>
      </c>
      <c r="I37" s="60"/>
      <c r="L37" s="113" t="s">
        <v>262</v>
      </c>
      <c r="M37" s="114"/>
      <c r="N37" s="108"/>
      <c r="O37" s="110"/>
      <c r="P37" s="110"/>
      <c r="Q37" s="110"/>
      <c r="R37" s="110"/>
      <c r="S37" s="108" t="s">
        <v>266</v>
      </c>
      <c r="T37" s="108"/>
      <c r="U37" s="108"/>
      <c r="V37" s="108"/>
    </row>
    <row r="38" spans="1:22" s="11" customFormat="1" x14ac:dyDescent="0.35">
      <c r="A38" s="54" t="s">
        <v>182</v>
      </c>
      <c r="B38" s="55" t="s">
        <v>206</v>
      </c>
      <c r="C38" s="57">
        <v>1</v>
      </c>
      <c r="D38" s="57">
        <v>1</v>
      </c>
      <c r="E38" s="57">
        <v>37058.171745152358</v>
      </c>
      <c r="F38" s="57">
        <v>13.790000000000001</v>
      </c>
      <c r="G38" s="58">
        <v>40</v>
      </c>
      <c r="H38" s="59">
        <v>14440</v>
      </c>
      <c r="I38" s="60"/>
      <c r="L38" s="108"/>
      <c r="M38" s="108"/>
      <c r="N38" s="110"/>
      <c r="O38" s="110"/>
      <c r="P38" s="110"/>
      <c r="Q38" s="110"/>
      <c r="R38" s="110"/>
      <c r="S38" s="108" t="s">
        <v>269</v>
      </c>
      <c r="T38" s="108"/>
      <c r="U38" s="108"/>
      <c r="V38" s="108"/>
    </row>
    <row r="39" spans="1:22" s="11" customFormat="1" x14ac:dyDescent="0.35">
      <c r="A39" s="54" t="s">
        <v>182</v>
      </c>
      <c r="B39" s="55" t="s">
        <v>207</v>
      </c>
      <c r="C39" s="57">
        <v>1</v>
      </c>
      <c r="D39" s="57">
        <v>1</v>
      </c>
      <c r="E39" s="57">
        <v>30181.818181818177</v>
      </c>
      <c r="F39" s="57">
        <v>14.950000000000001</v>
      </c>
      <c r="G39" s="58">
        <v>24</v>
      </c>
      <c r="H39" s="59">
        <v>12144</v>
      </c>
      <c r="I39" s="60"/>
      <c r="K39" s="109" t="s">
        <v>264</v>
      </c>
      <c r="L39" s="110" t="s">
        <v>265</v>
      </c>
      <c r="M39" s="110"/>
      <c r="N39" s="110"/>
      <c r="O39" s="110"/>
      <c r="P39" s="110"/>
      <c r="Q39" s="110"/>
      <c r="R39" s="110"/>
      <c r="S39" s="108" t="s">
        <v>272</v>
      </c>
      <c r="T39" s="108"/>
      <c r="U39" s="108"/>
      <c r="V39" s="108"/>
    </row>
    <row r="40" spans="1:22" s="11" customFormat="1" x14ac:dyDescent="0.35">
      <c r="A40" s="54" t="s">
        <v>182</v>
      </c>
      <c r="B40" s="55" t="s">
        <v>208</v>
      </c>
      <c r="C40" s="57">
        <v>1</v>
      </c>
      <c r="D40" s="57">
        <v>1</v>
      </c>
      <c r="E40" s="57">
        <v>30183.937823834196</v>
      </c>
      <c r="F40" s="57">
        <v>14.950000000000001</v>
      </c>
      <c r="G40" s="58">
        <v>24</v>
      </c>
      <c r="H40" s="59">
        <v>9264</v>
      </c>
      <c r="I40" s="60"/>
      <c r="K40" s="109" t="s">
        <v>267</v>
      </c>
      <c r="L40" s="110" t="s">
        <v>268</v>
      </c>
      <c r="M40" s="110"/>
      <c r="N40" s="110"/>
      <c r="O40" s="110"/>
      <c r="P40" s="110"/>
      <c r="Q40" s="110"/>
      <c r="R40" s="110"/>
      <c r="S40" s="108" t="s">
        <v>275</v>
      </c>
      <c r="T40" s="108"/>
      <c r="U40" s="108"/>
      <c r="V40" s="108"/>
    </row>
    <row r="41" spans="1:22" s="11" customFormat="1" x14ac:dyDescent="0.35">
      <c r="A41" s="54" t="s">
        <v>182</v>
      </c>
      <c r="B41" s="55" t="s">
        <v>209</v>
      </c>
      <c r="C41" s="57">
        <v>1</v>
      </c>
      <c r="D41" s="57">
        <v>1</v>
      </c>
      <c r="E41" s="57">
        <v>30000</v>
      </c>
      <c r="F41" s="57">
        <v>14.95</v>
      </c>
      <c r="G41" s="58">
        <v>24</v>
      </c>
      <c r="H41" s="59">
        <v>48</v>
      </c>
      <c r="I41" s="60"/>
      <c r="K41" s="109" t="s">
        <v>270</v>
      </c>
      <c r="L41" s="110" t="s">
        <v>271</v>
      </c>
      <c r="M41" s="110"/>
      <c r="N41" s="110"/>
      <c r="O41" s="110"/>
      <c r="P41" s="110"/>
      <c r="Q41" s="110"/>
      <c r="R41" s="110"/>
      <c r="S41" s="108" t="s">
        <v>278</v>
      </c>
      <c r="T41" s="108"/>
      <c r="U41" s="108"/>
      <c r="V41" s="108"/>
    </row>
    <row r="42" spans="1:22" s="11" customFormat="1" x14ac:dyDescent="0.35">
      <c r="A42" s="54" t="s">
        <v>182</v>
      </c>
      <c r="B42" s="55" t="s">
        <v>210</v>
      </c>
      <c r="C42" s="57">
        <v>1</v>
      </c>
      <c r="D42" s="57">
        <v>1</v>
      </c>
      <c r="E42" s="57">
        <v>30183.706070287539</v>
      </c>
      <c r="F42" s="57">
        <v>14.950000000000001</v>
      </c>
      <c r="G42" s="58">
        <v>24</v>
      </c>
      <c r="H42" s="59">
        <v>15024</v>
      </c>
      <c r="I42" s="60"/>
      <c r="K42" s="109" t="s">
        <v>273</v>
      </c>
      <c r="L42" s="110" t="s">
        <v>274</v>
      </c>
      <c r="M42" s="110"/>
      <c r="N42" s="110"/>
      <c r="O42" s="110"/>
      <c r="P42" s="110"/>
      <c r="Q42" s="110"/>
      <c r="R42" s="110"/>
      <c r="S42" s="108" t="s">
        <v>281</v>
      </c>
      <c r="T42" s="108"/>
      <c r="U42" s="108"/>
      <c r="V42" s="108"/>
    </row>
    <row r="43" spans="1:22" s="11" customFormat="1" x14ac:dyDescent="0.35">
      <c r="A43" s="54" t="s">
        <v>182</v>
      </c>
      <c r="B43" s="55" t="s">
        <v>211</v>
      </c>
      <c r="C43" s="57">
        <v>1</v>
      </c>
      <c r="D43" s="57">
        <v>1</v>
      </c>
      <c r="E43" s="57">
        <v>30000</v>
      </c>
      <c r="F43" s="57">
        <v>14.95</v>
      </c>
      <c r="G43" s="58">
        <v>24</v>
      </c>
      <c r="H43" s="59">
        <v>48</v>
      </c>
      <c r="I43" s="60"/>
      <c r="K43" s="109" t="s">
        <v>276</v>
      </c>
      <c r="L43" s="110" t="s">
        <v>277</v>
      </c>
      <c r="M43" s="110"/>
      <c r="N43" s="110"/>
      <c r="O43" s="110"/>
      <c r="P43" s="110"/>
      <c r="Q43" s="110"/>
      <c r="R43" s="110"/>
      <c r="S43" s="108" t="s">
        <v>284</v>
      </c>
      <c r="T43" s="108"/>
      <c r="U43" s="108"/>
      <c r="V43" s="108"/>
    </row>
    <row r="44" spans="1:22" s="11" customFormat="1" x14ac:dyDescent="0.35">
      <c r="A44" s="54" t="s">
        <v>182</v>
      </c>
      <c r="B44" s="55" t="s">
        <v>212</v>
      </c>
      <c r="C44" s="57">
        <v>1</v>
      </c>
      <c r="D44" s="57">
        <v>1</v>
      </c>
      <c r="E44" s="57">
        <v>30183.794466403164</v>
      </c>
      <c r="F44" s="57">
        <v>14.950000000000001</v>
      </c>
      <c r="G44" s="58">
        <v>24</v>
      </c>
      <c r="H44" s="59">
        <v>12144</v>
      </c>
      <c r="I44" s="60"/>
      <c r="K44" s="109" t="s">
        <v>279</v>
      </c>
      <c r="L44" s="110" t="s">
        <v>280</v>
      </c>
      <c r="M44" s="110"/>
      <c r="N44" s="110"/>
      <c r="Q44" s="110"/>
      <c r="R44" s="110"/>
      <c r="S44" s="108" t="s">
        <v>287</v>
      </c>
      <c r="T44" s="108"/>
      <c r="U44" s="108"/>
      <c r="V44" s="108"/>
    </row>
    <row r="45" spans="1:22" s="11" customFormat="1" x14ac:dyDescent="0.35">
      <c r="A45" s="54" t="s">
        <v>182</v>
      </c>
      <c r="B45" s="55" t="s">
        <v>213</v>
      </c>
      <c r="C45" s="57">
        <v>1</v>
      </c>
      <c r="D45" s="57">
        <v>1</v>
      </c>
      <c r="E45" s="57">
        <v>51000</v>
      </c>
      <c r="F45" s="57">
        <v>4.63</v>
      </c>
      <c r="G45" s="58">
        <v>84</v>
      </c>
      <c r="H45" s="59">
        <v>84</v>
      </c>
      <c r="I45" s="60"/>
      <c r="K45" s="109" t="s">
        <v>282</v>
      </c>
      <c r="L45" s="110" t="s">
        <v>283</v>
      </c>
      <c r="M45" s="110"/>
      <c r="N45" s="110"/>
    </row>
    <row r="46" spans="1:22" s="11" customFormat="1" x14ac:dyDescent="0.35">
      <c r="A46" s="54" t="s">
        <v>182</v>
      </c>
      <c r="B46" s="55" t="s">
        <v>214</v>
      </c>
      <c r="C46" s="57">
        <v>1</v>
      </c>
      <c r="D46" s="57">
        <v>1</v>
      </c>
      <c r="E46" s="57">
        <v>51000</v>
      </c>
      <c r="F46" s="57">
        <v>4.63</v>
      </c>
      <c r="G46" s="58">
        <v>84</v>
      </c>
      <c r="H46" s="59">
        <v>84</v>
      </c>
      <c r="I46" s="60"/>
      <c r="K46" s="109" t="s">
        <v>285</v>
      </c>
      <c r="L46" s="110" t="s">
        <v>286</v>
      </c>
      <c r="M46" s="110"/>
    </row>
    <row r="47" spans="1:22" s="11" customFormat="1" x14ac:dyDescent="0.35">
      <c r="A47" s="54" t="s">
        <v>182</v>
      </c>
      <c r="B47" s="55" t="s">
        <v>215</v>
      </c>
      <c r="C47" s="57">
        <v>1</v>
      </c>
      <c r="D47" s="57">
        <v>1</v>
      </c>
      <c r="E47" s="57">
        <v>51000</v>
      </c>
      <c r="F47" s="57">
        <v>4.63</v>
      </c>
      <c r="G47" s="58">
        <v>84</v>
      </c>
      <c r="H47" s="59">
        <v>84</v>
      </c>
      <c r="I47" s="60"/>
    </row>
    <row r="48" spans="1:22" s="11" customFormat="1" x14ac:dyDescent="0.35">
      <c r="A48" s="54" t="s">
        <v>182</v>
      </c>
      <c r="B48" s="55" t="s">
        <v>216</v>
      </c>
      <c r="C48" s="57">
        <v>1</v>
      </c>
      <c r="D48" s="57">
        <v>1</v>
      </c>
      <c r="E48" s="57">
        <v>51000</v>
      </c>
      <c r="F48" s="57">
        <v>4.63</v>
      </c>
      <c r="G48" s="58">
        <v>84</v>
      </c>
      <c r="H48" s="59">
        <v>84</v>
      </c>
      <c r="I48" s="60"/>
    </row>
    <row r="49" spans="1:15" s="11" customFormat="1" x14ac:dyDescent="0.35">
      <c r="A49" s="54" t="s">
        <v>182</v>
      </c>
      <c r="B49" s="55" t="s">
        <v>217</v>
      </c>
      <c r="C49" s="57">
        <v>1</v>
      </c>
      <c r="D49" s="57">
        <v>1</v>
      </c>
      <c r="E49" s="57">
        <v>51000</v>
      </c>
      <c r="F49" s="57">
        <v>4.63</v>
      </c>
      <c r="G49" s="58">
        <v>84</v>
      </c>
      <c r="H49" s="59">
        <v>84</v>
      </c>
      <c r="I49" s="60"/>
      <c r="L49" s="105" t="s">
        <v>263</v>
      </c>
      <c r="M49" s="106"/>
      <c r="N49" s="106"/>
      <c r="O49" s="106"/>
    </row>
    <row r="50" spans="1:15" s="11" customFormat="1" x14ac:dyDescent="0.35">
      <c r="A50" s="54" t="s">
        <v>182</v>
      </c>
      <c r="B50" s="55" t="s">
        <v>218</v>
      </c>
      <c r="C50" s="57">
        <v>1</v>
      </c>
      <c r="D50" s="57">
        <v>1</v>
      </c>
      <c r="E50" s="57">
        <v>51000</v>
      </c>
      <c r="F50" s="57">
        <v>4.63</v>
      </c>
      <c r="G50" s="58">
        <v>84</v>
      </c>
      <c r="H50" s="59">
        <v>84</v>
      </c>
      <c r="I50" s="60"/>
      <c r="L50" s="108"/>
      <c r="M50" s="108"/>
      <c r="N50" s="108"/>
      <c r="O50" s="108"/>
    </row>
    <row r="51" spans="1:15" s="11" customFormat="1" x14ac:dyDescent="0.35">
      <c r="A51"/>
      <c r="B51"/>
      <c r="C51"/>
      <c r="D51"/>
      <c r="E51"/>
      <c r="F51"/>
      <c r="G51"/>
      <c r="H51"/>
      <c r="I51"/>
      <c r="K51" s="109" t="s">
        <v>264</v>
      </c>
      <c r="L51" s="108" t="s">
        <v>266</v>
      </c>
      <c r="M51" s="108"/>
      <c r="N51" s="108"/>
      <c r="O51" s="108"/>
    </row>
    <row r="52" spans="1:15" s="11" customFormat="1" x14ac:dyDescent="0.35">
      <c r="A52"/>
      <c r="B52"/>
      <c r="C52"/>
      <c r="D52"/>
      <c r="E52"/>
      <c r="F52"/>
      <c r="G52"/>
      <c r="H52"/>
      <c r="I52"/>
      <c r="K52" s="109" t="s">
        <v>267</v>
      </c>
      <c r="L52" s="108" t="s">
        <v>269</v>
      </c>
      <c r="M52" s="108"/>
      <c r="N52" s="108"/>
      <c r="O52" s="108"/>
    </row>
    <row r="53" spans="1:15" s="11" customFormat="1" x14ac:dyDescent="0.35">
      <c r="A53"/>
      <c r="B53"/>
      <c r="C53"/>
      <c r="D53"/>
      <c r="E53"/>
      <c r="F53"/>
      <c r="G53"/>
      <c r="H53"/>
      <c r="I53"/>
      <c r="K53" s="109" t="s">
        <v>270</v>
      </c>
      <c r="L53" s="108" t="s">
        <v>272</v>
      </c>
      <c r="M53" s="108"/>
      <c r="N53" s="108"/>
      <c r="O53" s="108"/>
    </row>
    <row r="54" spans="1:15" s="11" customFormat="1" x14ac:dyDescent="0.35">
      <c r="A54"/>
      <c r="B54"/>
      <c r="C54"/>
      <c r="D54"/>
      <c r="E54"/>
      <c r="F54"/>
      <c r="G54"/>
      <c r="H54"/>
      <c r="I54"/>
      <c r="K54" s="109" t="s">
        <v>273</v>
      </c>
      <c r="L54" s="108" t="s">
        <v>275</v>
      </c>
      <c r="M54" s="108"/>
      <c r="N54" s="108"/>
      <c r="O54" s="108"/>
    </row>
    <row r="55" spans="1:15" s="11" customFormat="1" x14ac:dyDescent="0.35">
      <c r="A55"/>
      <c r="B55"/>
      <c r="C55"/>
      <c r="D55"/>
      <c r="E55"/>
      <c r="F55"/>
      <c r="G55"/>
      <c r="H55"/>
      <c r="I55"/>
      <c r="K55" s="109" t="s">
        <v>276</v>
      </c>
      <c r="L55" s="108" t="s">
        <v>278</v>
      </c>
      <c r="M55" s="108"/>
      <c r="N55" s="108"/>
      <c r="O55" s="108"/>
    </row>
    <row r="56" spans="1:15" s="11" customFormat="1" x14ac:dyDescent="0.35">
      <c r="A56"/>
      <c r="B56"/>
      <c r="C56"/>
      <c r="D56"/>
      <c r="E56"/>
      <c r="F56"/>
      <c r="G56"/>
      <c r="H56"/>
      <c r="I56"/>
      <c r="K56" s="109" t="s">
        <v>279</v>
      </c>
      <c r="L56" s="108" t="s">
        <v>281</v>
      </c>
      <c r="M56" s="108"/>
      <c r="N56" s="108"/>
      <c r="O56" s="108"/>
    </row>
    <row r="57" spans="1:15" s="11" customFormat="1" x14ac:dyDescent="0.35">
      <c r="A57"/>
      <c r="B57"/>
      <c r="C57"/>
      <c r="D57"/>
      <c r="E57"/>
      <c r="F57"/>
      <c r="G57"/>
      <c r="H57"/>
      <c r="I57"/>
      <c r="K57" s="109" t="s">
        <v>282</v>
      </c>
      <c r="L57" s="108" t="s">
        <v>284</v>
      </c>
      <c r="M57" s="108"/>
      <c r="N57" s="108"/>
      <c r="O57" s="108"/>
    </row>
    <row r="58" spans="1:15" s="11" customFormat="1" x14ac:dyDescent="0.35">
      <c r="A58"/>
      <c r="B58"/>
      <c r="C58"/>
      <c r="D58"/>
      <c r="E58"/>
      <c r="F58"/>
      <c r="G58"/>
      <c r="H58"/>
      <c r="I58"/>
      <c r="K58" s="109" t="s">
        <v>285</v>
      </c>
      <c r="L58" s="108" t="s">
        <v>287</v>
      </c>
      <c r="M58" s="108"/>
      <c r="N58" s="108"/>
      <c r="O58" s="108"/>
    </row>
    <row r="59" spans="1:15" s="11" customFormat="1" x14ac:dyDescent="0.35">
      <c r="A59"/>
      <c r="B59"/>
      <c r="C59"/>
      <c r="D59"/>
      <c r="E59"/>
      <c r="F59"/>
      <c r="G59"/>
      <c r="H59"/>
      <c r="I59"/>
    </row>
    <row r="60" spans="1:15" s="11" customFormat="1" x14ac:dyDescent="0.35">
      <c r="A60"/>
      <c r="B60"/>
      <c r="C60"/>
      <c r="D60"/>
      <c r="E60"/>
      <c r="F60"/>
      <c r="G60"/>
      <c r="H60"/>
      <c r="I60"/>
    </row>
    <row r="61" spans="1:15" s="11" customFormat="1" x14ac:dyDescent="0.35">
      <c r="A61"/>
      <c r="B61"/>
      <c r="C61"/>
      <c r="D61"/>
      <c r="E61"/>
      <c r="F61"/>
      <c r="G61"/>
      <c r="H61"/>
      <c r="I61"/>
    </row>
    <row r="62" spans="1:15" s="11" customFormat="1" x14ac:dyDescent="0.35">
      <c r="A62"/>
      <c r="B62"/>
      <c r="C62"/>
      <c r="D62"/>
      <c r="E62"/>
      <c r="F62"/>
      <c r="G62"/>
      <c r="H62"/>
      <c r="I62"/>
    </row>
    <row r="63" spans="1:15" s="11" customFormat="1" x14ac:dyDescent="0.35">
      <c r="A63"/>
      <c r="B63"/>
      <c r="C63"/>
      <c r="D63"/>
      <c r="E63"/>
      <c r="F63"/>
      <c r="G63"/>
      <c r="H63"/>
      <c r="I63"/>
    </row>
    <row r="64" spans="1:15" s="11" customFormat="1" x14ac:dyDescent="0.35">
      <c r="A64"/>
      <c r="B64"/>
      <c r="C64"/>
      <c r="D64"/>
      <c r="E64"/>
      <c r="F64"/>
      <c r="G64"/>
      <c r="H64"/>
      <c r="I64"/>
    </row>
    <row r="65" spans="1:9" s="11" customFormat="1" x14ac:dyDescent="0.35">
      <c r="A65"/>
      <c r="B65"/>
      <c r="C65"/>
      <c r="D65"/>
      <c r="E65"/>
      <c r="F65"/>
      <c r="G65"/>
      <c r="H65"/>
      <c r="I65"/>
    </row>
    <row r="66" spans="1:9" s="11" customFormat="1" x14ac:dyDescent="0.35">
      <c r="A66"/>
      <c r="B66"/>
      <c r="C66"/>
      <c r="D66"/>
      <c r="E66"/>
      <c r="F66"/>
      <c r="G66"/>
      <c r="H66"/>
      <c r="I66"/>
    </row>
    <row r="67" spans="1:9" s="11" customFormat="1" x14ac:dyDescent="0.35">
      <c r="A67"/>
      <c r="B67"/>
      <c r="C67"/>
      <c r="D67"/>
      <c r="E67"/>
      <c r="F67"/>
      <c r="G67"/>
      <c r="H67"/>
      <c r="I67"/>
    </row>
    <row r="68" spans="1:9" s="11" customFormat="1" x14ac:dyDescent="0.35">
      <c r="A68"/>
      <c r="B68"/>
      <c r="C68"/>
      <c r="D68"/>
      <c r="E68"/>
      <c r="F68"/>
      <c r="G68"/>
      <c r="H68"/>
      <c r="I68"/>
    </row>
    <row r="69" spans="1:9" s="11" customFormat="1" x14ac:dyDescent="0.35">
      <c r="A69"/>
      <c r="B69"/>
      <c r="C69"/>
      <c r="D69"/>
      <c r="E69"/>
      <c r="F69"/>
      <c r="G69"/>
      <c r="H69"/>
      <c r="I69"/>
    </row>
    <row r="70" spans="1:9" s="11" customFormat="1" x14ac:dyDescent="0.35">
      <c r="A70"/>
      <c r="B70"/>
      <c r="C70"/>
      <c r="D70"/>
      <c r="E70"/>
      <c r="F70"/>
      <c r="G70"/>
      <c r="H70"/>
      <c r="I70"/>
    </row>
    <row r="71" spans="1:9" s="11" customFormat="1" x14ac:dyDescent="0.35">
      <c r="A71"/>
      <c r="B71"/>
      <c r="C71"/>
      <c r="D71"/>
      <c r="E71"/>
      <c r="F71"/>
      <c r="G71"/>
      <c r="H71"/>
      <c r="I71"/>
    </row>
    <row r="72" spans="1:9" s="11" customFormat="1" x14ac:dyDescent="0.35">
      <c r="A72"/>
      <c r="B72"/>
      <c r="C72"/>
      <c r="D72"/>
      <c r="E72"/>
      <c r="F72"/>
      <c r="G72"/>
      <c r="H72"/>
      <c r="I72"/>
    </row>
    <row r="73" spans="1:9" s="11" customFormat="1" x14ac:dyDescent="0.35">
      <c r="A73"/>
      <c r="B73"/>
      <c r="C73"/>
      <c r="D73"/>
      <c r="E73"/>
      <c r="F73"/>
      <c r="G73"/>
      <c r="H73"/>
      <c r="I73"/>
    </row>
    <row r="74" spans="1:9" s="11" customFormat="1" x14ac:dyDescent="0.35">
      <c r="A74"/>
      <c r="B74"/>
      <c r="C74"/>
      <c r="D74"/>
      <c r="E74"/>
      <c r="F74"/>
      <c r="G74"/>
      <c r="H74"/>
      <c r="I74"/>
    </row>
    <row r="75" spans="1:9" s="11" customFormat="1" x14ac:dyDescent="0.35">
      <c r="A75"/>
      <c r="B75"/>
      <c r="C75"/>
      <c r="D75"/>
      <c r="E75"/>
      <c r="F75"/>
      <c r="G75"/>
      <c r="H75"/>
      <c r="I75"/>
    </row>
    <row r="76" spans="1:9" s="11" customFormat="1" x14ac:dyDescent="0.35">
      <c r="A76"/>
      <c r="B76"/>
      <c r="C76"/>
      <c r="D76"/>
      <c r="E76"/>
      <c r="F76"/>
      <c r="G76"/>
      <c r="H76"/>
      <c r="I76"/>
    </row>
    <row r="77" spans="1:9" s="11" customFormat="1" x14ac:dyDescent="0.35">
      <c r="A77"/>
      <c r="B77"/>
      <c r="C77"/>
      <c r="D77"/>
      <c r="E77"/>
      <c r="F77"/>
      <c r="G77"/>
      <c r="H77"/>
      <c r="I77"/>
    </row>
    <row r="78" spans="1:9" s="11" customFormat="1" x14ac:dyDescent="0.35">
      <c r="A78"/>
      <c r="B78"/>
      <c r="C78"/>
      <c r="D78"/>
      <c r="E78"/>
      <c r="F78"/>
      <c r="G78"/>
      <c r="H78"/>
      <c r="I78"/>
    </row>
    <row r="79" spans="1:9" s="11" customFormat="1" x14ac:dyDescent="0.35">
      <c r="A79"/>
      <c r="B79"/>
      <c r="C79"/>
      <c r="D79"/>
      <c r="E79"/>
      <c r="F79"/>
      <c r="G79"/>
      <c r="H79"/>
      <c r="I79"/>
    </row>
    <row r="80" spans="1:9" s="11" customFormat="1" x14ac:dyDescent="0.35">
      <c r="A80"/>
      <c r="B80"/>
      <c r="C80"/>
      <c r="D80"/>
      <c r="E80"/>
      <c r="F80"/>
      <c r="G80"/>
      <c r="H80"/>
      <c r="I80"/>
    </row>
    <row r="81" spans="1:9" s="11" customFormat="1" x14ac:dyDescent="0.35">
      <c r="A81"/>
      <c r="B81"/>
      <c r="C81"/>
      <c r="D81"/>
      <c r="E81"/>
      <c r="F81"/>
      <c r="G81"/>
      <c r="H81"/>
      <c r="I81"/>
    </row>
    <row r="82" spans="1:9" s="11" customFormat="1" x14ac:dyDescent="0.35">
      <c r="A82"/>
      <c r="B82"/>
      <c r="C82"/>
      <c r="D82"/>
      <c r="E82"/>
      <c r="F82"/>
      <c r="G82"/>
      <c r="H82"/>
      <c r="I82"/>
    </row>
    <row r="83" spans="1:9" s="11" customFormat="1" x14ac:dyDescent="0.35">
      <c r="A83"/>
      <c r="B83"/>
      <c r="C83"/>
      <c r="D83"/>
      <c r="E83"/>
      <c r="F83"/>
      <c r="G83"/>
      <c r="H83"/>
      <c r="I83"/>
    </row>
    <row r="84" spans="1:9" s="11" customFormat="1" x14ac:dyDescent="0.35">
      <c r="A84"/>
      <c r="B84"/>
      <c r="C84"/>
      <c r="D84"/>
      <c r="E84"/>
      <c r="F84"/>
      <c r="G84"/>
      <c r="H84"/>
      <c r="I84"/>
    </row>
    <row r="85" spans="1:9" s="11" customFormat="1" x14ac:dyDescent="0.35">
      <c r="A85"/>
      <c r="B85"/>
      <c r="C85"/>
      <c r="D85"/>
      <c r="E85"/>
      <c r="F85"/>
      <c r="G85"/>
      <c r="H85"/>
      <c r="I85"/>
    </row>
    <row r="86" spans="1:9" s="11" customFormat="1" x14ac:dyDescent="0.35">
      <c r="A86"/>
      <c r="B86"/>
      <c r="C86"/>
      <c r="D86"/>
      <c r="E86"/>
      <c r="F86"/>
      <c r="G86"/>
      <c r="H86"/>
      <c r="I86"/>
    </row>
    <row r="87" spans="1:9" s="11" customFormat="1" x14ac:dyDescent="0.35">
      <c r="A87"/>
      <c r="B87"/>
      <c r="C87"/>
      <c r="D87"/>
      <c r="E87"/>
      <c r="F87"/>
      <c r="G87"/>
      <c r="H87"/>
      <c r="I87"/>
    </row>
    <row r="88" spans="1:9" s="11" customFormat="1" x14ac:dyDescent="0.35">
      <c r="A88"/>
      <c r="B88"/>
      <c r="C88"/>
      <c r="D88"/>
      <c r="E88"/>
      <c r="F88"/>
      <c r="G88"/>
      <c r="H88"/>
      <c r="I88"/>
    </row>
    <row r="89" spans="1:9" s="11" customFormat="1" x14ac:dyDescent="0.35">
      <c r="A89"/>
      <c r="B89"/>
      <c r="C89"/>
      <c r="D89"/>
      <c r="E89"/>
      <c r="F89"/>
      <c r="G89"/>
      <c r="H89"/>
      <c r="I89"/>
    </row>
    <row r="90" spans="1:9" s="11" customFormat="1" x14ac:dyDescent="0.35">
      <c r="A90"/>
      <c r="B90"/>
      <c r="C90"/>
      <c r="D90"/>
      <c r="E90"/>
      <c r="F90"/>
      <c r="G90"/>
      <c r="H90"/>
      <c r="I90"/>
    </row>
    <row r="91" spans="1:9" s="11" customFormat="1" x14ac:dyDescent="0.35">
      <c r="A91"/>
      <c r="B91"/>
      <c r="C91"/>
      <c r="D91"/>
      <c r="E91"/>
      <c r="F91"/>
      <c r="G91"/>
      <c r="H91"/>
      <c r="I91"/>
    </row>
    <row r="92" spans="1:9" s="11" customFormat="1" x14ac:dyDescent="0.35">
      <c r="A92"/>
      <c r="B92"/>
      <c r="C92"/>
      <c r="D92"/>
      <c r="E92"/>
      <c r="F92"/>
      <c r="G92"/>
      <c r="H92"/>
      <c r="I92"/>
    </row>
    <row r="93" spans="1:9" s="11" customFormat="1" x14ac:dyDescent="0.35">
      <c r="A93"/>
      <c r="B93"/>
      <c r="C93"/>
      <c r="D93"/>
      <c r="E93"/>
      <c r="F93"/>
      <c r="G93"/>
      <c r="H93"/>
      <c r="I93"/>
    </row>
    <row r="94" spans="1:9" s="11" customFormat="1" x14ac:dyDescent="0.35">
      <c r="A94"/>
      <c r="B94"/>
      <c r="C94"/>
      <c r="D94"/>
      <c r="E94"/>
      <c r="F94"/>
      <c r="G94"/>
      <c r="H94"/>
      <c r="I94"/>
    </row>
    <row r="95" spans="1:9" s="11" customFormat="1" x14ac:dyDescent="0.35">
      <c r="A95"/>
      <c r="B95"/>
      <c r="C95"/>
      <c r="D95"/>
      <c r="E95"/>
      <c r="F95"/>
      <c r="G95"/>
      <c r="H95"/>
      <c r="I95"/>
    </row>
    <row r="96" spans="1:9" s="11" customFormat="1" x14ac:dyDescent="0.35">
      <c r="A96"/>
      <c r="B96"/>
      <c r="C96"/>
      <c r="D96"/>
      <c r="E96"/>
      <c r="F96"/>
      <c r="G96"/>
      <c r="H96"/>
      <c r="I96"/>
    </row>
    <row r="97" spans="1:9" s="11" customFormat="1" x14ac:dyDescent="0.35">
      <c r="A97"/>
      <c r="B97"/>
      <c r="C97"/>
      <c r="D97"/>
      <c r="E97"/>
      <c r="F97"/>
      <c r="G97"/>
      <c r="H97"/>
      <c r="I97"/>
    </row>
    <row r="98" spans="1:9" s="11" customFormat="1" x14ac:dyDescent="0.35">
      <c r="A98"/>
      <c r="B98"/>
      <c r="C98"/>
      <c r="D98"/>
      <c r="E98"/>
      <c r="F98"/>
      <c r="G98"/>
      <c r="H98"/>
      <c r="I98"/>
    </row>
    <row r="99" spans="1:9" s="11" customFormat="1" x14ac:dyDescent="0.35">
      <c r="A99"/>
      <c r="B99"/>
      <c r="C99"/>
      <c r="D99"/>
      <c r="E99"/>
      <c r="F99"/>
      <c r="G99"/>
      <c r="H99"/>
      <c r="I99"/>
    </row>
    <row r="100" spans="1:9" s="11" customFormat="1" x14ac:dyDescent="0.35">
      <c r="A100"/>
      <c r="B100"/>
      <c r="C100"/>
      <c r="D100"/>
      <c r="E100"/>
      <c r="F100"/>
      <c r="G100"/>
      <c r="H100"/>
      <c r="I100"/>
    </row>
    <row r="101" spans="1:9" s="11" customFormat="1" x14ac:dyDescent="0.35">
      <c r="A101"/>
      <c r="B101"/>
      <c r="C101"/>
      <c r="D101"/>
      <c r="E101"/>
      <c r="F101"/>
      <c r="G101"/>
      <c r="H101"/>
      <c r="I101"/>
    </row>
    <row r="102" spans="1:9" s="11" customFormat="1" x14ac:dyDescent="0.35">
      <c r="A102"/>
      <c r="B102"/>
      <c r="C102"/>
      <c r="D102"/>
      <c r="E102"/>
      <c r="F102"/>
      <c r="G102"/>
      <c r="H102"/>
      <c r="I102"/>
    </row>
    <row r="103" spans="1:9" s="11" customFormat="1" x14ac:dyDescent="0.35">
      <c r="A103"/>
      <c r="B103"/>
      <c r="C103"/>
      <c r="D103"/>
      <c r="E103"/>
      <c r="F103"/>
      <c r="G103"/>
      <c r="H103"/>
      <c r="I103"/>
    </row>
    <row r="104" spans="1:9" s="11" customFormat="1" x14ac:dyDescent="0.35">
      <c r="A104"/>
      <c r="B104"/>
      <c r="C104"/>
      <c r="D104"/>
      <c r="E104"/>
      <c r="F104"/>
      <c r="G104"/>
      <c r="H104"/>
      <c r="I104"/>
    </row>
    <row r="105" spans="1:9" s="11" customFormat="1" x14ac:dyDescent="0.35">
      <c r="A105"/>
      <c r="B105"/>
      <c r="C105"/>
      <c r="D105"/>
      <c r="E105"/>
      <c r="F105"/>
      <c r="G105"/>
      <c r="H105"/>
      <c r="I105"/>
    </row>
    <row r="106" spans="1:9" s="11" customFormat="1" x14ac:dyDescent="0.35">
      <c r="A106"/>
      <c r="B106"/>
      <c r="C106"/>
      <c r="D106"/>
      <c r="E106"/>
      <c r="F106"/>
      <c r="G106"/>
      <c r="H106"/>
      <c r="I106"/>
    </row>
    <row r="107" spans="1:9" s="11" customFormat="1" x14ac:dyDescent="0.35">
      <c r="A107"/>
      <c r="B107"/>
      <c r="C107"/>
      <c r="D107"/>
      <c r="E107"/>
      <c r="F107"/>
      <c r="G107"/>
      <c r="H107"/>
      <c r="I107"/>
    </row>
    <row r="108" spans="1:9" s="11" customFormat="1" x14ac:dyDescent="0.35">
      <c r="A108"/>
      <c r="B108"/>
      <c r="C108"/>
      <c r="D108"/>
      <c r="E108"/>
      <c r="F108"/>
      <c r="G108"/>
      <c r="H108"/>
      <c r="I108"/>
    </row>
    <row r="109" spans="1:9" s="11" customFormat="1" x14ac:dyDescent="0.35">
      <c r="A109"/>
      <c r="B109"/>
      <c r="C109"/>
      <c r="D109"/>
      <c r="E109"/>
      <c r="F109"/>
      <c r="G109"/>
      <c r="H109"/>
      <c r="I109"/>
    </row>
    <row r="110" spans="1:9" s="11" customFormat="1" x14ac:dyDescent="0.35">
      <c r="A110"/>
      <c r="B110"/>
      <c r="C110"/>
      <c r="D110"/>
      <c r="E110"/>
      <c r="F110"/>
      <c r="G110"/>
      <c r="H110"/>
      <c r="I110"/>
    </row>
    <row r="111" spans="1:9" s="11" customFormat="1" x14ac:dyDescent="0.35">
      <c r="A111"/>
      <c r="B111"/>
      <c r="C111"/>
      <c r="D111"/>
      <c r="E111"/>
      <c r="F111"/>
      <c r="G111"/>
      <c r="H111"/>
      <c r="I111"/>
    </row>
    <row r="112" spans="1:9" s="11" customFormat="1" x14ac:dyDescent="0.35">
      <c r="A112"/>
      <c r="B112"/>
      <c r="C112"/>
      <c r="D112"/>
      <c r="E112"/>
      <c r="F112"/>
      <c r="G112"/>
      <c r="H112"/>
      <c r="I112"/>
    </row>
    <row r="113" spans="1:9" s="11" customFormat="1" x14ac:dyDescent="0.35">
      <c r="A113"/>
      <c r="B113"/>
      <c r="C113"/>
      <c r="D113"/>
      <c r="E113"/>
      <c r="F113"/>
      <c r="G113"/>
      <c r="H113"/>
      <c r="I113"/>
    </row>
    <row r="114" spans="1:9" s="11" customFormat="1" x14ac:dyDescent="0.35">
      <c r="A114"/>
      <c r="B114"/>
      <c r="C114"/>
      <c r="D114"/>
      <c r="E114"/>
      <c r="F114"/>
      <c r="G114"/>
      <c r="H114"/>
      <c r="I114"/>
    </row>
    <row r="115" spans="1:9" s="11" customFormat="1" x14ac:dyDescent="0.35">
      <c r="A115"/>
      <c r="B115"/>
      <c r="C115"/>
      <c r="D115"/>
      <c r="E115"/>
      <c r="F115"/>
      <c r="G115"/>
      <c r="H115"/>
      <c r="I115"/>
    </row>
    <row r="116" spans="1:9" s="11" customFormat="1" x14ac:dyDescent="0.35">
      <c r="A116"/>
      <c r="B116"/>
      <c r="C116"/>
      <c r="D116"/>
      <c r="E116"/>
      <c r="F116"/>
      <c r="G116"/>
      <c r="H116"/>
      <c r="I116"/>
    </row>
    <row r="117" spans="1:9" s="11" customFormat="1" x14ac:dyDescent="0.35">
      <c r="A117"/>
      <c r="B117"/>
      <c r="C117"/>
      <c r="D117"/>
      <c r="E117"/>
      <c r="F117"/>
      <c r="G117"/>
      <c r="H117"/>
      <c r="I117"/>
    </row>
    <row r="118" spans="1:9" s="11" customFormat="1" x14ac:dyDescent="0.35">
      <c r="A118"/>
      <c r="B118"/>
      <c r="C118"/>
      <c r="D118"/>
      <c r="E118"/>
      <c r="F118"/>
      <c r="G118"/>
      <c r="H118"/>
      <c r="I118"/>
    </row>
    <row r="119" spans="1:9" s="11" customFormat="1" x14ac:dyDescent="0.35">
      <c r="A119"/>
      <c r="B119"/>
      <c r="C119"/>
      <c r="D119"/>
      <c r="E119"/>
      <c r="F119"/>
      <c r="G119"/>
      <c r="H119"/>
      <c r="I119"/>
    </row>
    <row r="120" spans="1:9" s="11" customFormat="1" x14ac:dyDescent="0.35">
      <c r="A120"/>
      <c r="B120"/>
      <c r="C120"/>
      <c r="D120"/>
      <c r="E120"/>
      <c r="F120"/>
      <c r="G120"/>
      <c r="H120"/>
      <c r="I120"/>
    </row>
    <row r="121" spans="1:9" s="11" customFormat="1" x14ac:dyDescent="0.35">
      <c r="A121"/>
      <c r="B121"/>
      <c r="C121"/>
      <c r="D121"/>
      <c r="E121"/>
      <c r="F121"/>
      <c r="G121"/>
      <c r="H121"/>
      <c r="I121"/>
    </row>
    <row r="122" spans="1:9" s="11" customFormat="1" x14ac:dyDescent="0.35">
      <c r="A122"/>
      <c r="B122"/>
      <c r="C122"/>
      <c r="D122"/>
      <c r="E122"/>
      <c r="F122"/>
      <c r="G122"/>
      <c r="H122"/>
      <c r="I122"/>
    </row>
    <row r="123" spans="1:9" s="11" customFormat="1" x14ac:dyDescent="0.35">
      <c r="A123"/>
      <c r="B123"/>
      <c r="C123"/>
      <c r="D123"/>
      <c r="E123"/>
      <c r="F123"/>
      <c r="G123"/>
      <c r="H123"/>
      <c r="I123"/>
    </row>
    <row r="124" spans="1:9" s="11" customFormat="1" x14ac:dyDescent="0.35">
      <c r="A124"/>
      <c r="B124"/>
      <c r="C124"/>
      <c r="D124"/>
      <c r="E124"/>
      <c r="F124"/>
      <c r="G124"/>
      <c r="H124"/>
      <c r="I124"/>
    </row>
    <row r="125" spans="1:9" s="11" customFormat="1" x14ac:dyDescent="0.35">
      <c r="A125"/>
      <c r="B125"/>
      <c r="C125"/>
      <c r="D125"/>
      <c r="E125"/>
      <c r="F125"/>
      <c r="G125"/>
      <c r="H125"/>
      <c r="I125"/>
    </row>
    <row r="126" spans="1:9" s="11" customFormat="1" x14ac:dyDescent="0.35">
      <c r="A126"/>
      <c r="B126"/>
      <c r="C126"/>
      <c r="D126"/>
      <c r="E126"/>
      <c r="F126"/>
      <c r="G126"/>
      <c r="H126"/>
      <c r="I126"/>
    </row>
    <row r="127" spans="1:9" s="11" customFormat="1" x14ac:dyDescent="0.35">
      <c r="A127"/>
      <c r="B127"/>
      <c r="C127"/>
      <c r="D127"/>
      <c r="E127"/>
      <c r="F127"/>
      <c r="G127"/>
      <c r="H127"/>
      <c r="I127"/>
    </row>
    <row r="128" spans="1:9" s="11" customFormat="1" x14ac:dyDescent="0.35">
      <c r="A128"/>
      <c r="B128"/>
      <c r="C128"/>
      <c r="D128"/>
      <c r="E128"/>
      <c r="F128"/>
      <c r="G128"/>
      <c r="H128"/>
      <c r="I128"/>
    </row>
    <row r="129" spans="1:9" s="11" customFormat="1" x14ac:dyDescent="0.35">
      <c r="A129"/>
      <c r="B129"/>
      <c r="C129"/>
      <c r="D129"/>
      <c r="E129"/>
      <c r="F129"/>
      <c r="G129"/>
      <c r="H129"/>
      <c r="I129"/>
    </row>
    <row r="130" spans="1:9" s="11" customFormat="1" x14ac:dyDescent="0.35">
      <c r="A130"/>
      <c r="B130"/>
      <c r="C130"/>
      <c r="D130"/>
      <c r="E130"/>
      <c r="F130"/>
      <c r="G130"/>
      <c r="H130"/>
      <c r="I130"/>
    </row>
    <row r="131" spans="1:9" s="11" customFormat="1" x14ac:dyDescent="0.35">
      <c r="A131"/>
      <c r="B131"/>
      <c r="C131"/>
      <c r="D131"/>
      <c r="E131"/>
      <c r="F131"/>
      <c r="G131"/>
      <c r="H131"/>
      <c r="I131"/>
    </row>
    <row r="132" spans="1:9" s="11" customFormat="1" x14ac:dyDescent="0.35">
      <c r="A132"/>
      <c r="B132"/>
      <c r="C132"/>
      <c r="D132"/>
      <c r="E132"/>
      <c r="F132"/>
      <c r="G132"/>
      <c r="H132"/>
      <c r="I132"/>
    </row>
    <row r="133" spans="1:9" s="11" customFormat="1" x14ac:dyDescent="0.35">
      <c r="A133"/>
      <c r="B133"/>
      <c r="C133"/>
      <c r="D133"/>
      <c r="E133"/>
      <c r="F133"/>
      <c r="G133"/>
      <c r="H133"/>
      <c r="I133"/>
    </row>
    <row r="134" spans="1:9" s="11" customFormat="1" x14ac:dyDescent="0.35">
      <c r="A134"/>
      <c r="B134"/>
      <c r="C134"/>
      <c r="D134"/>
      <c r="E134"/>
      <c r="F134"/>
      <c r="G134"/>
      <c r="H134"/>
      <c r="I134"/>
    </row>
    <row r="135" spans="1:9" s="11" customFormat="1" x14ac:dyDescent="0.35">
      <c r="A135"/>
      <c r="B135"/>
      <c r="C135"/>
      <c r="D135"/>
      <c r="E135"/>
      <c r="F135"/>
      <c r="G135"/>
      <c r="H135"/>
      <c r="I135"/>
    </row>
    <row r="136" spans="1:9" s="11" customFormat="1" x14ac:dyDescent="0.35">
      <c r="A136"/>
      <c r="B136"/>
      <c r="C136"/>
      <c r="D136"/>
      <c r="E136"/>
      <c r="F136"/>
      <c r="G136"/>
      <c r="H136"/>
      <c r="I136"/>
    </row>
    <row r="137" spans="1:9" s="11" customFormat="1" x14ac:dyDescent="0.35">
      <c r="A137"/>
      <c r="B137"/>
      <c r="C137"/>
      <c r="D137"/>
      <c r="E137"/>
      <c r="F137"/>
      <c r="G137"/>
      <c r="H137"/>
      <c r="I137"/>
    </row>
    <row r="138" spans="1:9" s="11" customFormat="1" x14ac:dyDescent="0.35">
      <c r="A138"/>
      <c r="B138"/>
      <c r="C138"/>
      <c r="D138"/>
      <c r="E138"/>
      <c r="F138"/>
      <c r="G138"/>
      <c r="H138"/>
      <c r="I138"/>
    </row>
    <row r="139" spans="1:9" s="11" customFormat="1" x14ac:dyDescent="0.35">
      <c r="A139"/>
      <c r="B139"/>
      <c r="C139"/>
      <c r="D139"/>
      <c r="E139"/>
      <c r="F139"/>
      <c r="G139"/>
      <c r="H139"/>
      <c r="I139"/>
    </row>
    <row r="140" spans="1:9" s="11" customFormat="1" x14ac:dyDescent="0.35">
      <c r="A140"/>
      <c r="B140"/>
      <c r="C140"/>
      <c r="D140"/>
      <c r="E140"/>
      <c r="F140"/>
      <c r="G140"/>
      <c r="H140"/>
      <c r="I140"/>
    </row>
    <row r="141" spans="1:9" s="11" customFormat="1" x14ac:dyDescent="0.35">
      <c r="A141"/>
      <c r="B141"/>
      <c r="C141"/>
      <c r="D141"/>
      <c r="E141"/>
      <c r="F141"/>
      <c r="G141"/>
      <c r="H141"/>
      <c r="I141"/>
    </row>
    <row r="142" spans="1:9" s="11" customFormat="1" x14ac:dyDescent="0.35">
      <c r="A142"/>
      <c r="B142"/>
      <c r="C142"/>
      <c r="D142"/>
      <c r="E142"/>
      <c r="F142"/>
      <c r="G142"/>
      <c r="H142"/>
      <c r="I142"/>
    </row>
    <row r="143" spans="1:9" s="11" customFormat="1" x14ac:dyDescent="0.35">
      <c r="A143"/>
      <c r="B143"/>
      <c r="C143"/>
      <c r="D143"/>
      <c r="E143"/>
      <c r="F143"/>
      <c r="G143"/>
      <c r="H143"/>
      <c r="I143"/>
    </row>
    <row r="144" spans="1:9" s="11" customFormat="1" x14ac:dyDescent="0.35">
      <c r="A144"/>
      <c r="B144"/>
      <c r="C144"/>
      <c r="D144"/>
      <c r="E144"/>
      <c r="F144"/>
      <c r="G144"/>
      <c r="H144"/>
      <c r="I144"/>
    </row>
    <row r="145" spans="1:9" s="11" customFormat="1" x14ac:dyDescent="0.35">
      <c r="A145"/>
      <c r="B145"/>
      <c r="C145"/>
      <c r="D145"/>
      <c r="E145"/>
      <c r="F145"/>
      <c r="G145"/>
      <c r="H145"/>
      <c r="I145"/>
    </row>
    <row r="146" spans="1:9" s="11" customFormat="1" x14ac:dyDescent="0.35">
      <c r="A146"/>
      <c r="B146"/>
      <c r="C146"/>
      <c r="D146"/>
      <c r="E146"/>
      <c r="F146"/>
      <c r="G146"/>
      <c r="H146"/>
      <c r="I146"/>
    </row>
    <row r="147" spans="1:9" s="11" customFormat="1" x14ac:dyDescent="0.35">
      <c r="A147"/>
      <c r="B147"/>
      <c r="C147"/>
      <c r="D147"/>
      <c r="E147"/>
      <c r="F147"/>
      <c r="G147"/>
      <c r="H147"/>
      <c r="I147"/>
    </row>
    <row r="148" spans="1:9" s="11" customFormat="1" x14ac:dyDescent="0.35">
      <c r="A148"/>
      <c r="B148"/>
      <c r="C148"/>
      <c r="D148"/>
      <c r="E148"/>
      <c r="F148"/>
      <c r="G148"/>
      <c r="H148"/>
      <c r="I148"/>
    </row>
    <row r="149" spans="1:9" s="11" customFormat="1" x14ac:dyDescent="0.35">
      <c r="A149"/>
      <c r="B149"/>
      <c r="C149"/>
      <c r="D149"/>
      <c r="E149"/>
      <c r="F149"/>
      <c r="G149"/>
      <c r="H149"/>
      <c r="I149"/>
    </row>
    <row r="150" spans="1:9" s="11" customFormat="1" x14ac:dyDescent="0.35">
      <c r="A150"/>
      <c r="B150"/>
      <c r="C150"/>
      <c r="D150"/>
      <c r="E150"/>
      <c r="F150"/>
      <c r="G150"/>
      <c r="H150"/>
      <c r="I150"/>
    </row>
    <row r="151" spans="1:9" s="11" customFormat="1" x14ac:dyDescent="0.35">
      <c r="A151"/>
      <c r="B151"/>
      <c r="C151"/>
      <c r="D151"/>
      <c r="E151"/>
      <c r="F151"/>
      <c r="G151"/>
      <c r="H151"/>
      <c r="I151"/>
    </row>
    <row r="152" spans="1:9" s="11" customFormat="1" x14ac:dyDescent="0.35">
      <c r="A152"/>
      <c r="B152"/>
      <c r="C152"/>
      <c r="D152"/>
      <c r="E152"/>
      <c r="F152"/>
      <c r="G152"/>
      <c r="H152"/>
      <c r="I152"/>
    </row>
    <row r="153" spans="1:9" s="11" customFormat="1" x14ac:dyDescent="0.35">
      <c r="A153"/>
      <c r="B153"/>
      <c r="C153"/>
      <c r="D153"/>
      <c r="E153"/>
      <c r="F153"/>
      <c r="G153"/>
      <c r="H153"/>
      <c r="I153"/>
    </row>
    <row r="154" spans="1:9" s="11" customFormat="1" x14ac:dyDescent="0.35">
      <c r="A154"/>
      <c r="B154"/>
      <c r="C154"/>
      <c r="D154"/>
      <c r="E154"/>
      <c r="F154"/>
      <c r="G154"/>
      <c r="H154"/>
      <c r="I154"/>
    </row>
    <row r="155" spans="1:9" s="11" customFormat="1" x14ac:dyDescent="0.35">
      <c r="A155"/>
      <c r="B155"/>
      <c r="C155"/>
      <c r="D155"/>
      <c r="E155"/>
      <c r="F155"/>
      <c r="G155"/>
      <c r="H155"/>
      <c r="I155"/>
    </row>
    <row r="156" spans="1:9" s="11" customFormat="1" x14ac:dyDescent="0.35">
      <c r="A156"/>
      <c r="B156"/>
      <c r="C156"/>
      <c r="D156"/>
      <c r="E156"/>
      <c r="F156"/>
      <c r="G156"/>
      <c r="H156"/>
      <c r="I156"/>
    </row>
    <row r="157" spans="1:9" s="11" customFormat="1" x14ac:dyDescent="0.35">
      <c r="A157"/>
      <c r="B157"/>
      <c r="C157"/>
      <c r="D157"/>
      <c r="E157"/>
      <c r="F157"/>
      <c r="G157"/>
      <c r="H157"/>
      <c r="I157"/>
    </row>
    <row r="158" spans="1:9" s="11" customFormat="1" x14ac:dyDescent="0.35">
      <c r="A158"/>
      <c r="B158"/>
      <c r="C158"/>
      <c r="D158"/>
      <c r="E158"/>
      <c r="F158"/>
      <c r="G158"/>
      <c r="H158"/>
      <c r="I158"/>
    </row>
    <row r="159" spans="1:9" s="11" customFormat="1" x14ac:dyDescent="0.35">
      <c r="A159"/>
      <c r="B159"/>
      <c r="C159"/>
      <c r="D159"/>
      <c r="E159"/>
      <c r="F159"/>
      <c r="G159"/>
      <c r="H159"/>
      <c r="I159"/>
    </row>
    <row r="160" spans="1:9" s="11" customFormat="1" x14ac:dyDescent="0.35">
      <c r="A160"/>
      <c r="B160"/>
      <c r="C160"/>
      <c r="D160"/>
      <c r="E160"/>
      <c r="F160"/>
      <c r="G160"/>
      <c r="H160"/>
      <c r="I160"/>
    </row>
    <row r="161" spans="1:9" s="11" customFormat="1" x14ac:dyDescent="0.35">
      <c r="A161"/>
      <c r="B161"/>
      <c r="C161"/>
      <c r="D161"/>
      <c r="E161"/>
      <c r="F161"/>
      <c r="G161"/>
      <c r="H161"/>
      <c r="I161"/>
    </row>
    <row r="162" spans="1:9" s="11" customFormat="1" x14ac:dyDescent="0.35">
      <c r="A162"/>
      <c r="B162"/>
      <c r="C162"/>
      <c r="D162"/>
      <c r="E162"/>
      <c r="F162"/>
      <c r="G162"/>
      <c r="H162"/>
      <c r="I162"/>
    </row>
    <row r="163" spans="1:9" s="11" customFormat="1" x14ac:dyDescent="0.35">
      <c r="A163"/>
      <c r="B163"/>
      <c r="C163"/>
      <c r="D163"/>
      <c r="E163"/>
      <c r="F163"/>
      <c r="G163"/>
      <c r="H163"/>
      <c r="I163"/>
    </row>
    <row r="164" spans="1:9" s="11" customFormat="1" x14ac:dyDescent="0.35">
      <c r="A164"/>
      <c r="B164"/>
      <c r="C164"/>
      <c r="D164"/>
      <c r="E164"/>
      <c r="F164"/>
      <c r="G164"/>
      <c r="H164"/>
      <c r="I164"/>
    </row>
    <row r="165" spans="1:9" s="11" customFormat="1" x14ac:dyDescent="0.35">
      <c r="A165"/>
      <c r="B165"/>
      <c r="C165"/>
      <c r="D165"/>
      <c r="E165"/>
      <c r="F165"/>
      <c r="G165"/>
      <c r="H165"/>
      <c r="I165"/>
    </row>
    <row r="166" spans="1:9" s="11" customFormat="1" x14ac:dyDescent="0.35">
      <c r="A166"/>
      <c r="B166"/>
      <c r="C166"/>
      <c r="D166"/>
      <c r="E166"/>
      <c r="F166"/>
      <c r="G166"/>
      <c r="H166"/>
      <c r="I166"/>
    </row>
    <row r="167" spans="1:9" s="11" customFormat="1" x14ac:dyDescent="0.35">
      <c r="A167"/>
      <c r="B167"/>
      <c r="C167"/>
      <c r="D167"/>
      <c r="E167"/>
      <c r="F167"/>
      <c r="G167"/>
      <c r="H167"/>
      <c r="I167"/>
    </row>
    <row r="168" spans="1:9" s="11" customFormat="1" x14ac:dyDescent="0.35">
      <c r="A168"/>
      <c r="B168"/>
      <c r="C168"/>
      <c r="D168"/>
      <c r="E168"/>
      <c r="F168"/>
      <c r="G168"/>
      <c r="H168"/>
      <c r="I168"/>
    </row>
    <row r="169" spans="1:9" s="11" customFormat="1" x14ac:dyDescent="0.35">
      <c r="A169"/>
      <c r="B169"/>
      <c r="C169"/>
      <c r="D169"/>
      <c r="E169"/>
      <c r="F169"/>
      <c r="G169"/>
      <c r="H169"/>
      <c r="I169"/>
    </row>
    <row r="170" spans="1:9" s="11" customFormat="1" x14ac:dyDescent="0.35">
      <c r="A170"/>
      <c r="B170"/>
      <c r="C170"/>
      <c r="D170"/>
      <c r="E170"/>
      <c r="F170"/>
      <c r="G170"/>
      <c r="H170"/>
      <c r="I170"/>
    </row>
    <row r="171" spans="1:9" s="11" customFormat="1" x14ac:dyDescent="0.35">
      <c r="A171"/>
      <c r="B171"/>
      <c r="C171"/>
      <c r="D171"/>
      <c r="E171"/>
      <c r="F171"/>
      <c r="G171"/>
      <c r="H171"/>
      <c r="I171"/>
    </row>
    <row r="172" spans="1:9" s="11" customFormat="1" x14ac:dyDescent="0.35">
      <c r="A172"/>
      <c r="B172"/>
      <c r="C172"/>
      <c r="D172"/>
      <c r="E172"/>
      <c r="F172"/>
      <c r="G172"/>
      <c r="H172"/>
      <c r="I172"/>
    </row>
    <row r="173" spans="1:9" s="11" customFormat="1" x14ac:dyDescent="0.35">
      <c r="A173"/>
      <c r="B173"/>
      <c r="C173"/>
      <c r="D173"/>
      <c r="E173"/>
      <c r="F173"/>
      <c r="G173"/>
      <c r="H173"/>
      <c r="I173"/>
    </row>
    <row r="174" spans="1:9" s="11" customFormat="1" x14ac:dyDescent="0.35">
      <c r="A174"/>
      <c r="B174"/>
      <c r="C174"/>
      <c r="D174"/>
      <c r="E174"/>
      <c r="F174"/>
      <c r="G174"/>
      <c r="H174"/>
      <c r="I174"/>
    </row>
    <row r="175" spans="1:9" s="11" customFormat="1" x14ac:dyDescent="0.35">
      <c r="A175"/>
      <c r="B175"/>
      <c r="C175"/>
      <c r="D175"/>
      <c r="E175"/>
      <c r="F175"/>
      <c r="G175"/>
      <c r="H175"/>
      <c r="I175"/>
    </row>
    <row r="176" spans="1:9" s="11" customFormat="1" x14ac:dyDescent="0.35">
      <c r="A176"/>
      <c r="B176"/>
      <c r="C176"/>
      <c r="D176"/>
      <c r="E176"/>
      <c r="F176"/>
      <c r="G176"/>
      <c r="H176"/>
      <c r="I176"/>
    </row>
    <row r="177" spans="1:9" s="11" customFormat="1" x14ac:dyDescent="0.35">
      <c r="A177"/>
      <c r="B177"/>
      <c r="C177"/>
      <c r="D177"/>
      <c r="E177"/>
      <c r="F177"/>
      <c r="G177"/>
      <c r="H177"/>
      <c r="I177"/>
    </row>
    <row r="178" spans="1:9" s="11" customFormat="1" x14ac:dyDescent="0.35">
      <c r="A178"/>
      <c r="B178"/>
      <c r="C178"/>
      <c r="D178"/>
      <c r="E178"/>
      <c r="F178"/>
      <c r="G178"/>
      <c r="H178"/>
      <c r="I178"/>
    </row>
    <row r="179" spans="1:9" s="11" customFormat="1" x14ac:dyDescent="0.35">
      <c r="A179"/>
      <c r="B179"/>
      <c r="C179"/>
      <c r="D179"/>
      <c r="E179"/>
      <c r="F179"/>
      <c r="G179"/>
      <c r="H179"/>
      <c r="I179"/>
    </row>
    <row r="180" spans="1:9" s="11" customFormat="1" x14ac:dyDescent="0.35">
      <c r="A180"/>
      <c r="B180"/>
      <c r="C180"/>
      <c r="D180"/>
      <c r="E180"/>
      <c r="F180"/>
      <c r="G180"/>
      <c r="H180"/>
      <c r="I180"/>
    </row>
    <row r="181" spans="1:9" s="11" customFormat="1" x14ac:dyDescent="0.35">
      <c r="A181"/>
      <c r="B181"/>
      <c r="C181"/>
      <c r="D181"/>
      <c r="E181"/>
      <c r="F181"/>
      <c r="G181"/>
      <c r="H181"/>
      <c r="I181"/>
    </row>
    <row r="182" spans="1:9" s="11" customFormat="1" x14ac:dyDescent="0.35">
      <c r="A182"/>
      <c r="B182"/>
      <c r="C182"/>
      <c r="D182"/>
      <c r="E182"/>
      <c r="F182"/>
      <c r="G182"/>
      <c r="H182"/>
      <c r="I182"/>
    </row>
    <row r="183" spans="1:9" s="11" customFormat="1" x14ac:dyDescent="0.35">
      <c r="A183"/>
      <c r="B183"/>
      <c r="C183"/>
      <c r="D183"/>
      <c r="E183"/>
      <c r="F183"/>
      <c r="G183"/>
      <c r="H183"/>
      <c r="I183"/>
    </row>
    <row r="184" spans="1:9" s="11" customFormat="1" x14ac:dyDescent="0.35">
      <c r="A184"/>
      <c r="B184"/>
      <c r="C184"/>
      <c r="D184"/>
      <c r="E184"/>
      <c r="F184"/>
      <c r="G184"/>
      <c r="H184"/>
      <c r="I184"/>
    </row>
    <row r="185" spans="1:9" s="11" customFormat="1" x14ac:dyDescent="0.35">
      <c r="A185"/>
      <c r="B185"/>
      <c r="C185"/>
      <c r="D185"/>
      <c r="E185"/>
      <c r="F185"/>
      <c r="G185"/>
      <c r="H185"/>
      <c r="I185"/>
    </row>
    <row r="186" spans="1:9" s="11" customFormat="1" x14ac:dyDescent="0.35">
      <c r="A186"/>
      <c r="B186"/>
      <c r="C186"/>
      <c r="D186"/>
      <c r="E186"/>
      <c r="F186"/>
      <c r="G186"/>
      <c r="H186"/>
      <c r="I186"/>
    </row>
    <row r="187" spans="1:9" s="11" customFormat="1" x14ac:dyDescent="0.35">
      <c r="A187"/>
      <c r="B187"/>
      <c r="C187"/>
      <c r="D187"/>
      <c r="E187"/>
      <c r="F187"/>
      <c r="G187"/>
      <c r="H187"/>
      <c r="I187"/>
    </row>
    <row r="188" spans="1:9" s="11" customFormat="1" x14ac:dyDescent="0.35">
      <c r="A188"/>
      <c r="B188"/>
      <c r="C188"/>
      <c r="D188"/>
      <c r="E188"/>
      <c r="F188"/>
      <c r="G188"/>
      <c r="H188"/>
      <c r="I188"/>
    </row>
    <row r="189" spans="1:9" s="11" customFormat="1" x14ac:dyDescent="0.35">
      <c r="A189"/>
      <c r="B189"/>
      <c r="C189"/>
      <c r="D189"/>
      <c r="E189"/>
      <c r="F189"/>
      <c r="G189"/>
      <c r="H189"/>
      <c r="I189"/>
    </row>
    <row r="190" spans="1:9" s="11" customFormat="1" x14ac:dyDescent="0.35">
      <c r="A190"/>
      <c r="B190"/>
      <c r="C190"/>
      <c r="D190"/>
      <c r="E190"/>
      <c r="F190"/>
      <c r="G190"/>
      <c r="H190"/>
      <c r="I190"/>
    </row>
    <row r="191" spans="1:9" s="11" customFormat="1" x14ac:dyDescent="0.35">
      <c r="A191"/>
      <c r="B191"/>
      <c r="C191"/>
      <c r="D191"/>
      <c r="E191"/>
      <c r="F191"/>
      <c r="G191"/>
      <c r="H191"/>
      <c r="I191"/>
    </row>
    <row r="192" spans="1:9" s="11" customFormat="1" x14ac:dyDescent="0.35">
      <c r="A192"/>
      <c r="B192"/>
      <c r="C192"/>
      <c r="D192"/>
      <c r="E192"/>
      <c r="F192"/>
      <c r="G192"/>
      <c r="H192"/>
      <c r="I192"/>
    </row>
    <row r="193" spans="1:9" s="11" customFormat="1" x14ac:dyDescent="0.35">
      <c r="A193"/>
      <c r="B193"/>
      <c r="C193"/>
      <c r="D193"/>
      <c r="E193"/>
      <c r="F193"/>
      <c r="G193"/>
      <c r="H193"/>
      <c r="I193"/>
    </row>
    <row r="194" spans="1:9" s="11" customFormat="1" x14ac:dyDescent="0.35">
      <c r="A194"/>
      <c r="B194"/>
      <c r="C194"/>
      <c r="D194"/>
      <c r="E194"/>
      <c r="F194"/>
      <c r="G194"/>
      <c r="H194"/>
      <c r="I194"/>
    </row>
    <row r="195" spans="1:9" s="11" customFormat="1" x14ac:dyDescent="0.35">
      <c r="A195"/>
      <c r="B195"/>
      <c r="C195"/>
      <c r="D195"/>
      <c r="E195"/>
      <c r="F195"/>
      <c r="G195"/>
      <c r="H195"/>
      <c r="I195"/>
    </row>
    <row r="196" spans="1:9" s="11" customFormat="1" x14ac:dyDescent="0.35">
      <c r="A196"/>
      <c r="B196"/>
      <c r="C196"/>
      <c r="D196"/>
      <c r="E196"/>
      <c r="F196"/>
      <c r="G196"/>
      <c r="H196"/>
      <c r="I196"/>
    </row>
    <row r="197" spans="1:9" s="11" customFormat="1" x14ac:dyDescent="0.35">
      <c r="A197"/>
      <c r="B197"/>
      <c r="C197"/>
      <c r="D197"/>
      <c r="E197"/>
      <c r="F197"/>
      <c r="G197"/>
      <c r="H197"/>
      <c r="I197"/>
    </row>
    <row r="198" spans="1:9" s="11" customFormat="1" x14ac:dyDescent="0.35">
      <c r="A198"/>
      <c r="B198"/>
      <c r="C198"/>
      <c r="D198"/>
      <c r="E198"/>
      <c r="F198"/>
      <c r="G198"/>
      <c r="H198"/>
      <c r="I198"/>
    </row>
    <row r="199" spans="1:9" s="11" customFormat="1" x14ac:dyDescent="0.35">
      <c r="A199"/>
      <c r="B199"/>
      <c r="C199"/>
      <c r="D199"/>
      <c r="E199"/>
      <c r="F199"/>
      <c r="G199"/>
      <c r="H199"/>
      <c r="I199"/>
    </row>
    <row r="200" spans="1:9" s="11" customFormat="1" x14ac:dyDescent="0.35">
      <c r="A200"/>
      <c r="B200"/>
      <c r="C200"/>
      <c r="D200"/>
      <c r="E200"/>
      <c r="F200"/>
      <c r="G200"/>
      <c r="H200"/>
      <c r="I200"/>
    </row>
    <row r="201" spans="1:9" s="11" customFormat="1" x14ac:dyDescent="0.35">
      <c r="A201"/>
      <c r="B201"/>
      <c r="C201"/>
      <c r="D201"/>
      <c r="E201"/>
      <c r="F201"/>
      <c r="G201"/>
      <c r="H201"/>
      <c r="I201"/>
    </row>
    <row r="202" spans="1:9" s="11" customFormat="1" x14ac:dyDescent="0.35">
      <c r="A202"/>
      <c r="B202"/>
      <c r="C202"/>
      <c r="D202"/>
      <c r="E202"/>
      <c r="F202"/>
      <c r="G202"/>
      <c r="H202"/>
      <c r="I202"/>
    </row>
    <row r="203" spans="1:9" s="11" customFormat="1" x14ac:dyDescent="0.35">
      <c r="A203"/>
      <c r="B203"/>
      <c r="C203"/>
      <c r="D203"/>
      <c r="E203"/>
      <c r="F203"/>
      <c r="G203"/>
      <c r="H203"/>
      <c r="I203"/>
    </row>
    <row r="204" spans="1:9" s="11" customFormat="1" x14ac:dyDescent="0.35">
      <c r="A204"/>
      <c r="B204"/>
      <c r="C204"/>
      <c r="D204"/>
      <c r="E204"/>
      <c r="F204"/>
      <c r="G204"/>
      <c r="H204"/>
      <c r="I204"/>
    </row>
    <row r="205" spans="1:9" s="11" customFormat="1" x14ac:dyDescent="0.35">
      <c r="A205"/>
      <c r="B205"/>
      <c r="C205"/>
      <c r="D205"/>
      <c r="E205"/>
      <c r="F205"/>
      <c r="G205"/>
      <c r="H205"/>
      <c r="I205"/>
    </row>
    <row r="206" spans="1:9" s="11" customFormat="1" x14ac:dyDescent="0.35">
      <c r="A206"/>
      <c r="B206"/>
      <c r="C206"/>
      <c r="D206"/>
      <c r="E206"/>
      <c r="F206"/>
      <c r="G206"/>
      <c r="H206"/>
      <c r="I206"/>
    </row>
    <row r="207" spans="1:9" s="11" customFormat="1" x14ac:dyDescent="0.35">
      <c r="A207"/>
      <c r="B207"/>
      <c r="C207"/>
      <c r="D207"/>
      <c r="E207"/>
      <c r="F207"/>
      <c r="G207"/>
      <c r="H207"/>
      <c r="I207"/>
    </row>
    <row r="208" spans="1:9" s="11" customFormat="1" x14ac:dyDescent="0.35">
      <c r="A208"/>
      <c r="B208"/>
      <c r="C208"/>
      <c r="D208"/>
      <c r="E208"/>
      <c r="F208"/>
      <c r="G208"/>
      <c r="H208"/>
      <c r="I208"/>
    </row>
    <row r="209" spans="1:9" s="11" customFormat="1" x14ac:dyDescent="0.35">
      <c r="A209"/>
      <c r="B209"/>
      <c r="C209"/>
      <c r="D209"/>
      <c r="E209"/>
      <c r="F209"/>
      <c r="G209"/>
      <c r="H209"/>
      <c r="I209"/>
    </row>
    <row r="210" spans="1:9" s="11" customFormat="1" x14ac:dyDescent="0.35">
      <c r="A210"/>
      <c r="B210"/>
      <c r="C210"/>
      <c r="D210"/>
      <c r="E210"/>
      <c r="F210"/>
      <c r="G210"/>
      <c r="H210"/>
      <c r="I210"/>
    </row>
    <row r="211" spans="1:9" s="11" customFormat="1" x14ac:dyDescent="0.35">
      <c r="A211"/>
      <c r="B211"/>
      <c r="C211"/>
      <c r="D211"/>
      <c r="E211"/>
      <c r="F211"/>
      <c r="G211"/>
      <c r="H211"/>
      <c r="I211"/>
    </row>
    <row r="212" spans="1:9" s="11" customFormat="1" x14ac:dyDescent="0.35">
      <c r="A212"/>
      <c r="B212"/>
      <c r="C212"/>
      <c r="D212"/>
      <c r="E212"/>
      <c r="F212"/>
      <c r="G212"/>
      <c r="H212"/>
      <c r="I212"/>
    </row>
    <row r="213" spans="1:9" s="11" customFormat="1" x14ac:dyDescent="0.35">
      <c r="A213"/>
      <c r="B213"/>
      <c r="C213"/>
      <c r="D213"/>
      <c r="E213"/>
      <c r="F213"/>
      <c r="G213"/>
      <c r="H213"/>
      <c r="I213"/>
    </row>
    <row r="214" spans="1:9" s="11" customFormat="1" x14ac:dyDescent="0.35">
      <c r="A214"/>
      <c r="B214"/>
      <c r="C214"/>
      <c r="D214"/>
      <c r="E214"/>
      <c r="F214"/>
      <c r="G214"/>
      <c r="H214"/>
      <c r="I214"/>
    </row>
    <row r="215" spans="1:9" s="11" customFormat="1" x14ac:dyDescent="0.35">
      <c r="A215"/>
      <c r="B215"/>
      <c r="C215"/>
      <c r="D215"/>
      <c r="E215"/>
      <c r="F215"/>
      <c r="G215"/>
      <c r="H215"/>
      <c r="I215"/>
    </row>
    <row r="216" spans="1:9" s="11" customFormat="1" x14ac:dyDescent="0.35">
      <c r="A216"/>
      <c r="B216"/>
      <c r="C216"/>
      <c r="D216"/>
      <c r="E216"/>
      <c r="F216"/>
      <c r="G216"/>
      <c r="H216"/>
      <c r="I216"/>
    </row>
    <row r="217" spans="1:9" s="11" customFormat="1" x14ac:dyDescent="0.35">
      <c r="A217"/>
      <c r="B217"/>
      <c r="C217"/>
      <c r="D217"/>
      <c r="E217"/>
      <c r="F217"/>
      <c r="G217"/>
      <c r="H217"/>
      <c r="I217"/>
    </row>
    <row r="218" spans="1:9" s="11" customFormat="1" x14ac:dyDescent="0.35">
      <c r="A218"/>
      <c r="B218"/>
      <c r="C218"/>
      <c r="D218"/>
      <c r="E218"/>
      <c r="F218"/>
      <c r="G218"/>
      <c r="H218"/>
      <c r="I218"/>
    </row>
    <row r="219" spans="1:9" s="11" customFormat="1" x14ac:dyDescent="0.35">
      <c r="A219"/>
      <c r="B219"/>
      <c r="C219"/>
      <c r="D219"/>
      <c r="E219"/>
      <c r="F219"/>
      <c r="G219"/>
      <c r="H219"/>
      <c r="I219"/>
    </row>
    <row r="220" spans="1:9" s="11" customFormat="1" x14ac:dyDescent="0.35">
      <c r="A220"/>
      <c r="B220"/>
      <c r="C220"/>
      <c r="D220"/>
      <c r="E220"/>
      <c r="F220"/>
      <c r="G220"/>
      <c r="H220"/>
      <c r="I220"/>
    </row>
    <row r="221" spans="1:9" s="11" customFormat="1" x14ac:dyDescent="0.35">
      <c r="A221"/>
      <c r="B221"/>
      <c r="C221"/>
      <c r="D221"/>
      <c r="E221"/>
      <c r="F221"/>
      <c r="G221"/>
      <c r="H221"/>
      <c r="I221"/>
    </row>
    <row r="222" spans="1:9" s="11" customFormat="1" x14ac:dyDescent="0.35">
      <c r="A222"/>
      <c r="B222"/>
      <c r="C222"/>
      <c r="D222"/>
      <c r="E222"/>
      <c r="F222"/>
      <c r="G222"/>
      <c r="H222"/>
      <c r="I222"/>
    </row>
    <row r="223" spans="1:9" s="11" customFormat="1" x14ac:dyDescent="0.35">
      <c r="A223"/>
      <c r="B223"/>
      <c r="C223"/>
      <c r="D223"/>
      <c r="E223"/>
      <c r="F223"/>
      <c r="G223"/>
      <c r="H223"/>
      <c r="I223"/>
    </row>
    <row r="224" spans="1:9" s="11" customFormat="1" x14ac:dyDescent="0.35">
      <c r="A224"/>
      <c r="B224"/>
      <c r="C224"/>
      <c r="D224"/>
      <c r="E224"/>
      <c r="F224"/>
      <c r="G224"/>
      <c r="H224"/>
      <c r="I224"/>
    </row>
    <row r="225" spans="1:9" s="11" customFormat="1" x14ac:dyDescent="0.35">
      <c r="A225"/>
      <c r="B225"/>
      <c r="C225"/>
      <c r="D225"/>
      <c r="E225"/>
      <c r="F225"/>
      <c r="G225"/>
      <c r="H225"/>
      <c r="I225"/>
    </row>
    <row r="226" spans="1:9" s="11" customFormat="1" x14ac:dyDescent="0.35">
      <c r="A226"/>
      <c r="B226"/>
      <c r="C226"/>
      <c r="D226"/>
      <c r="E226"/>
      <c r="F226"/>
      <c r="G226"/>
      <c r="H226"/>
      <c r="I226"/>
    </row>
    <row r="227" spans="1:9" s="11" customFormat="1" x14ac:dyDescent="0.35">
      <c r="A227"/>
      <c r="B227"/>
      <c r="C227"/>
      <c r="D227"/>
      <c r="E227"/>
      <c r="F227"/>
      <c r="G227"/>
      <c r="H227"/>
      <c r="I227"/>
    </row>
    <row r="228" spans="1:9" s="11" customFormat="1" x14ac:dyDescent="0.35">
      <c r="A228"/>
      <c r="B228"/>
      <c r="C228"/>
      <c r="D228"/>
      <c r="E228"/>
      <c r="F228"/>
      <c r="G228"/>
      <c r="H228"/>
      <c r="I228"/>
    </row>
    <row r="229" spans="1:9" s="11" customFormat="1" x14ac:dyDescent="0.35">
      <c r="A229"/>
      <c r="B229"/>
      <c r="C229"/>
      <c r="D229"/>
      <c r="E229"/>
      <c r="F229"/>
      <c r="G229"/>
      <c r="H229"/>
      <c r="I229"/>
    </row>
    <row r="230" spans="1:9" s="11" customFormat="1" x14ac:dyDescent="0.35">
      <c r="A230"/>
      <c r="B230"/>
      <c r="C230"/>
      <c r="D230"/>
      <c r="E230"/>
      <c r="F230"/>
      <c r="G230"/>
      <c r="H230"/>
      <c r="I230"/>
    </row>
    <row r="231" spans="1:9" s="11" customFormat="1" x14ac:dyDescent="0.35">
      <c r="A231"/>
      <c r="B231"/>
      <c r="C231"/>
      <c r="D231"/>
      <c r="E231"/>
      <c r="F231"/>
      <c r="G231"/>
      <c r="H231"/>
      <c r="I231"/>
    </row>
    <row r="232" spans="1:9" s="11" customFormat="1" x14ac:dyDescent="0.35">
      <c r="A232"/>
      <c r="B232"/>
      <c r="C232"/>
      <c r="D232"/>
      <c r="E232"/>
      <c r="F232"/>
      <c r="G232"/>
      <c r="H232"/>
      <c r="I232"/>
    </row>
    <row r="233" spans="1:9" s="11" customFormat="1" x14ac:dyDescent="0.35">
      <c r="A233"/>
      <c r="B233"/>
      <c r="C233"/>
      <c r="D233"/>
      <c r="E233"/>
      <c r="F233"/>
      <c r="G233"/>
      <c r="H233"/>
      <c r="I233"/>
    </row>
    <row r="234" spans="1:9" s="11" customFormat="1" x14ac:dyDescent="0.35">
      <c r="A234"/>
      <c r="B234"/>
      <c r="C234"/>
      <c r="D234"/>
      <c r="E234"/>
      <c r="F234"/>
      <c r="G234"/>
      <c r="H234"/>
      <c r="I234"/>
    </row>
    <row r="235" spans="1:9" s="11" customFormat="1" x14ac:dyDescent="0.35">
      <c r="A235"/>
      <c r="B235"/>
      <c r="C235"/>
      <c r="D235"/>
      <c r="E235"/>
      <c r="F235"/>
      <c r="G235"/>
      <c r="H235"/>
      <c r="I235"/>
    </row>
    <row r="236" spans="1:9" s="11" customFormat="1" x14ac:dyDescent="0.35">
      <c r="A236"/>
      <c r="B236"/>
      <c r="C236"/>
      <c r="D236"/>
      <c r="E236"/>
      <c r="F236"/>
      <c r="G236"/>
      <c r="H236"/>
      <c r="I236"/>
    </row>
    <row r="237" spans="1:9" s="11" customFormat="1" x14ac:dyDescent="0.35">
      <c r="A237"/>
      <c r="B237"/>
      <c r="C237"/>
      <c r="D237"/>
      <c r="E237"/>
      <c r="F237"/>
      <c r="G237"/>
      <c r="H237"/>
      <c r="I237"/>
    </row>
    <row r="238" spans="1:9" s="11" customFormat="1" x14ac:dyDescent="0.35">
      <c r="A238"/>
      <c r="B238"/>
      <c r="C238"/>
      <c r="D238"/>
      <c r="E238"/>
      <c r="F238"/>
      <c r="G238"/>
      <c r="H238"/>
      <c r="I238"/>
    </row>
    <row r="239" spans="1:9" s="11" customFormat="1" x14ac:dyDescent="0.35">
      <c r="A239"/>
      <c r="B239"/>
      <c r="C239"/>
      <c r="D239"/>
      <c r="E239"/>
      <c r="F239"/>
      <c r="G239"/>
      <c r="H239"/>
      <c r="I239"/>
    </row>
    <row r="240" spans="1:9" s="11" customFormat="1" x14ac:dyDescent="0.35">
      <c r="A240"/>
      <c r="B240"/>
      <c r="C240"/>
      <c r="D240"/>
      <c r="E240"/>
      <c r="F240"/>
      <c r="G240"/>
      <c r="H240"/>
      <c r="I240"/>
    </row>
    <row r="241" spans="1:9" s="11" customFormat="1" x14ac:dyDescent="0.35">
      <c r="A241"/>
      <c r="B241"/>
      <c r="C241"/>
      <c r="D241"/>
      <c r="E241"/>
      <c r="F241"/>
      <c r="G241"/>
      <c r="H241"/>
      <c r="I241"/>
    </row>
  </sheetData>
  <mergeCells count="2">
    <mergeCell ref="L49:O49"/>
    <mergeCell ref="S35:V35"/>
  </mergeCells>
  <phoneticPr fontId="1" type="noConversion"/>
  <dataValidations count="3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  <dataValidation type="list" allowBlank="1" showInputMessage="1" showErrorMessage="1" sqref="K16:K25" xr:uid="{4EEE06A4-0704-4188-8FE2-3C5881C75CCE}">
      <formula1>#REF!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4D96983-A1A7-4B8D-89C8-4AF6C419FD1C}">
          <x14:formula1>
            <xm:f>'seafreight forecast'!$D$2:$D$35</xm:f>
          </x14:formula1>
          <xm:sqref>O28</xm:sqref>
        </x14:dataValidation>
        <x14:dataValidation type="list" allowBlank="1" showInputMessage="1" showErrorMessage="1" xr:uid="{36DF7114-692B-4168-A06C-316205FE542B}">
          <x14:formula1>
            <xm:f>TransportRate!$A$2:$A$15</xm:f>
          </x14:formula1>
          <xm:sqref>K12:K15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34"/>
  <sheetViews>
    <sheetView workbookViewId="0">
      <selection activeCell="G33" sqref="G33"/>
    </sheetView>
    <sheetView workbookViewId="1">
      <selection activeCell="C19" sqref="C19"/>
    </sheetView>
  </sheetViews>
  <sheetFormatPr defaultColWidth="0" defaultRowHeight="14.5" x14ac:dyDescent="0.35"/>
  <cols>
    <col min="1" max="1" width="77.7265625" bestFit="1" customWidth="1"/>
    <col min="2" max="2" width="11.54296875" style="62" bestFit="1" customWidth="1"/>
    <col min="3" max="3" width="8.26953125" bestFit="1" customWidth="1"/>
    <col min="4" max="4" width="9.26953125" bestFit="1" customWidth="1"/>
    <col min="5" max="7" width="9.1796875" style="11" customWidth="1"/>
    <col min="8" max="16384" width="9.1796875" hidden="1"/>
  </cols>
  <sheetData>
    <row r="1" spans="1:4" x14ac:dyDescent="0.35">
      <c r="A1" s="7" t="s">
        <v>16</v>
      </c>
      <c r="B1" s="7" t="s">
        <v>17</v>
      </c>
      <c r="C1" s="7" t="s">
        <v>37</v>
      </c>
      <c r="D1" s="7" t="s">
        <v>46</v>
      </c>
    </row>
    <row r="2" spans="1:4" x14ac:dyDescent="0.35">
      <c r="A2" s="116" t="s">
        <v>345</v>
      </c>
      <c r="B2" s="116">
        <v>215</v>
      </c>
      <c r="C2" s="6" t="b">
        <v>0</v>
      </c>
      <c r="D2" s="4">
        <f>AVERAGE(AU[Estimate Container QTY])</f>
        <v>8</v>
      </c>
    </row>
    <row r="3" spans="1:4" x14ac:dyDescent="0.35">
      <c r="A3" s="116" t="s">
        <v>346</v>
      </c>
      <c r="B3" s="116">
        <v>325</v>
      </c>
      <c r="C3" s="6" t="b">
        <v>1</v>
      </c>
      <c r="D3" s="4">
        <f>AVERAGE(AU[Estimate Container QTY])</f>
        <v>8</v>
      </c>
    </row>
    <row r="4" spans="1:4" x14ac:dyDescent="0.35">
      <c r="A4" s="116" t="s">
        <v>347</v>
      </c>
      <c r="B4" s="116">
        <v>335</v>
      </c>
      <c r="C4" s="6" t="b">
        <v>0</v>
      </c>
      <c r="D4" s="4">
        <f>AVERAGE(AU[Estimate Container QTY])</f>
        <v>8</v>
      </c>
    </row>
    <row r="5" spans="1:4" x14ac:dyDescent="0.35">
      <c r="A5" s="116" t="s">
        <v>348</v>
      </c>
      <c r="B5" s="116">
        <v>2.2899999999999996</v>
      </c>
      <c r="C5" s="6" t="b">
        <v>1</v>
      </c>
      <c r="D5">
        <f>SUM(AU[Pallet Quantity])</f>
        <v>353</v>
      </c>
    </row>
    <row r="6" spans="1:4" x14ac:dyDescent="0.35">
      <c r="A6" s="116" t="s">
        <v>349</v>
      </c>
      <c r="B6" s="116">
        <v>3.36</v>
      </c>
      <c r="C6" s="6" t="b">
        <v>0</v>
      </c>
      <c r="D6" s="4"/>
    </row>
    <row r="7" spans="1:4" x14ac:dyDescent="0.35">
      <c r="A7" s="116" t="s">
        <v>350</v>
      </c>
      <c r="B7" s="116">
        <v>2.4900000000000002</v>
      </c>
      <c r="C7" s="6" t="b">
        <v>0</v>
      </c>
      <c r="D7">
        <f>SUM(AU[Pallet Quantity])</f>
        <v>353</v>
      </c>
    </row>
    <row r="8" spans="1:4" x14ac:dyDescent="0.35">
      <c r="A8" s="116" t="s">
        <v>351</v>
      </c>
      <c r="B8" s="116">
        <v>0.28000000000000003</v>
      </c>
      <c r="C8" s="6" t="b">
        <v>1</v>
      </c>
      <c r="D8">
        <f>SUM(AU[Annual Case Quantity])</f>
        <v>13500</v>
      </c>
    </row>
    <row r="9" spans="1:4" x14ac:dyDescent="0.35">
      <c r="A9" s="116" t="s">
        <v>352</v>
      </c>
      <c r="B9" s="116">
        <v>1.61</v>
      </c>
      <c r="C9" s="6" t="b">
        <v>0</v>
      </c>
      <c r="D9">
        <v>52</v>
      </c>
    </row>
    <row r="10" spans="1:4" x14ac:dyDescent="0.35">
      <c r="A10" s="116" t="s">
        <v>353</v>
      </c>
      <c r="B10" s="116">
        <v>0.34</v>
      </c>
      <c r="C10" s="6" t="b">
        <v>0</v>
      </c>
      <c r="D10">
        <v>52</v>
      </c>
    </row>
    <row r="11" spans="1:4" x14ac:dyDescent="0.35">
      <c r="A11" s="116" t="s">
        <v>354</v>
      </c>
      <c r="B11" s="116">
        <v>0.11</v>
      </c>
      <c r="C11" s="6" t="b">
        <v>0</v>
      </c>
      <c r="D11">
        <v>52</v>
      </c>
    </row>
    <row r="12" spans="1:4" x14ac:dyDescent="0.35">
      <c r="A12" s="116" t="s">
        <v>355</v>
      </c>
      <c r="B12" s="116">
        <v>4.3599999999999994</v>
      </c>
      <c r="C12" s="6" t="b">
        <v>1</v>
      </c>
      <c r="D12" s="4">
        <f>AVERAGE(AU[Estimate Container QTY])</f>
        <v>8</v>
      </c>
    </row>
    <row r="13" spans="1:4" x14ac:dyDescent="0.35">
      <c r="A13" s="116" t="s">
        <v>356</v>
      </c>
      <c r="B13" s="116">
        <v>0.62</v>
      </c>
      <c r="C13" s="6" t="b">
        <v>0</v>
      </c>
      <c r="D13">
        <f>COUNTA(Table10[ITEM])</f>
        <v>48</v>
      </c>
    </row>
    <row r="14" spans="1:4" x14ac:dyDescent="0.35">
      <c r="A14" s="116" t="s">
        <v>357</v>
      </c>
      <c r="B14" s="116">
        <v>0.34</v>
      </c>
      <c r="C14" s="6" t="b">
        <v>0</v>
      </c>
      <c r="D14">
        <f>SUM(AU[Annual Case Quantity])</f>
        <v>13500</v>
      </c>
    </row>
    <row r="15" spans="1:4" x14ac:dyDescent="0.35">
      <c r="A15" s="116" t="s">
        <v>358</v>
      </c>
      <c r="B15" s="116">
        <v>4.25</v>
      </c>
      <c r="C15" s="6" t="b">
        <v>0</v>
      </c>
      <c r="D15">
        <f>SUM(AU[Pallet Quantity])</f>
        <v>353</v>
      </c>
    </row>
    <row r="16" spans="1:4" x14ac:dyDescent="0.35">
      <c r="A16" s="116" t="s">
        <v>359</v>
      </c>
      <c r="B16" s="116">
        <v>2.1599999999999997</v>
      </c>
      <c r="C16" s="6" t="b">
        <v>1</v>
      </c>
      <c r="D16">
        <f>SUM(AU[Annual Case Quantity])</f>
        <v>13500</v>
      </c>
    </row>
    <row r="17" spans="1:4" x14ac:dyDescent="0.35">
      <c r="A17" s="116" t="s">
        <v>360</v>
      </c>
      <c r="B17" s="116">
        <v>5.5</v>
      </c>
      <c r="C17" s="6" t="b">
        <v>0</v>
      </c>
      <c r="D17">
        <f>SUM(AU[Pallet Quantity])</f>
        <v>353</v>
      </c>
    </row>
    <row r="18" spans="1:4" x14ac:dyDescent="0.35">
      <c r="A18" s="116" t="s">
        <v>361</v>
      </c>
      <c r="B18" s="116">
        <v>0.36</v>
      </c>
      <c r="C18" s="6" t="b">
        <v>0</v>
      </c>
    </row>
    <row r="19" spans="1:4" x14ac:dyDescent="0.35">
      <c r="A19" s="116" t="s">
        <v>362</v>
      </c>
      <c r="B19" s="116">
        <v>0.25</v>
      </c>
      <c r="C19" s="6" t="b">
        <v>1</v>
      </c>
      <c r="D19">
        <f>SUM(AU[Annual Case Quantity])</f>
        <v>13500</v>
      </c>
    </row>
    <row r="20" spans="1:4" x14ac:dyDescent="0.35">
      <c r="A20" s="116" t="s">
        <v>363</v>
      </c>
      <c r="B20" s="116">
        <v>0.25</v>
      </c>
      <c r="C20" s="6" t="b">
        <v>0</v>
      </c>
      <c r="D20">
        <f>SUM(AU[Pallet Quantity])</f>
        <v>353</v>
      </c>
    </row>
    <row r="21" spans="1:4" x14ac:dyDescent="0.35">
      <c r="A21" s="116" t="s">
        <v>364</v>
      </c>
      <c r="B21" s="116">
        <v>0.25</v>
      </c>
      <c r="C21" s="6" t="b">
        <v>0</v>
      </c>
      <c r="D21">
        <f>SUM(AU[Pallet Quantity])</f>
        <v>353</v>
      </c>
    </row>
    <row r="22" spans="1:4" x14ac:dyDescent="0.35">
      <c r="A22" s="116" t="s">
        <v>365</v>
      </c>
      <c r="B22" s="116">
        <v>0.25</v>
      </c>
      <c r="C22" s="6" t="b">
        <v>1</v>
      </c>
      <c r="D22">
        <f>SUM(AU[Pallet Quantity])</f>
        <v>353</v>
      </c>
    </row>
    <row r="23" spans="1:4" x14ac:dyDescent="0.35">
      <c r="A23" s="116" t="s">
        <v>366</v>
      </c>
      <c r="B23" s="116">
        <v>31.5</v>
      </c>
      <c r="C23" s="6" t="b">
        <v>0</v>
      </c>
      <c r="D23" s="4">
        <f>AVERAGE(AU[Estimate Container QTY])</f>
        <v>8</v>
      </c>
    </row>
    <row r="24" spans="1:4" x14ac:dyDescent="0.35">
      <c r="A24" s="116" t="s">
        <v>367</v>
      </c>
      <c r="B24" s="116">
        <v>82.6</v>
      </c>
      <c r="C24" s="6" t="b">
        <v>0</v>
      </c>
      <c r="D24" s="4">
        <f>AVERAGE(AU[Estimate Container QTY])</f>
        <v>8</v>
      </c>
    </row>
    <row r="25" spans="1:4" x14ac:dyDescent="0.35">
      <c r="A25" s="116" t="s">
        <v>368</v>
      </c>
      <c r="B25" s="116">
        <v>8.65</v>
      </c>
      <c r="C25" s="6" t="b">
        <v>0</v>
      </c>
      <c r="D25" s="4">
        <f>AVERAGE(AU[Estimate Container QTY])</f>
        <v>8</v>
      </c>
    </row>
    <row r="26" spans="1:4" x14ac:dyDescent="0.35">
      <c r="A26" s="116" t="s">
        <v>369</v>
      </c>
      <c r="B26" s="116">
        <v>21.5</v>
      </c>
      <c r="C26" s="6" t="b">
        <v>0</v>
      </c>
    </row>
    <row r="27" spans="1:4" x14ac:dyDescent="0.35">
      <c r="A27" s="116" t="s">
        <v>370</v>
      </c>
      <c r="B27" s="116">
        <v>2.75</v>
      </c>
      <c r="C27" s="6" t="b">
        <v>0</v>
      </c>
    </row>
    <row r="28" spans="1:4" x14ac:dyDescent="0.35">
      <c r="A28" s="116" t="s">
        <v>371</v>
      </c>
      <c r="B28" s="116">
        <v>4.4000000000000004</v>
      </c>
      <c r="C28" s="6" t="b">
        <v>0</v>
      </c>
    </row>
    <row r="29" spans="1:4" x14ac:dyDescent="0.35">
      <c r="A29" s="116" t="s">
        <v>372</v>
      </c>
      <c r="B29" s="116">
        <v>3.9</v>
      </c>
      <c r="C29" s="6" t="b">
        <v>0</v>
      </c>
      <c r="D29" s="10"/>
    </row>
    <row r="30" spans="1:4" x14ac:dyDescent="0.35">
      <c r="A30" s="116" t="s">
        <v>373</v>
      </c>
      <c r="B30" s="116">
        <v>0.28000000000000003</v>
      </c>
      <c r="C30" s="6" t="b">
        <v>0</v>
      </c>
      <c r="D30" s="10"/>
    </row>
    <row r="31" spans="1:4" x14ac:dyDescent="0.35">
      <c r="A31" s="116" t="s">
        <v>374</v>
      </c>
      <c r="B31" s="116">
        <v>0.12</v>
      </c>
      <c r="C31" s="6" t="b">
        <v>0</v>
      </c>
    </row>
    <row r="32" spans="1:4" x14ac:dyDescent="0.35">
      <c r="A32" s="116" t="s">
        <v>375</v>
      </c>
      <c r="B32" s="116">
        <v>0.26</v>
      </c>
      <c r="C32" s="6" t="b">
        <v>0</v>
      </c>
      <c r="D32" s="10"/>
    </row>
    <row r="33" spans="1:4" x14ac:dyDescent="0.35">
      <c r="A33" s="116" t="s">
        <v>376</v>
      </c>
      <c r="B33" s="116">
        <v>3.86</v>
      </c>
      <c r="C33" s="6" t="b">
        <v>0</v>
      </c>
    </row>
    <row r="34" spans="1:4" x14ac:dyDescent="0.35">
      <c r="A34" s="116" t="s">
        <v>377</v>
      </c>
      <c r="B34" s="116">
        <v>0.28000000000000003</v>
      </c>
      <c r="C34" s="6" t="b">
        <v>0</v>
      </c>
      <c r="D34" s="10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17"/>
  <sheetViews>
    <sheetView workbookViewId="0">
      <selection activeCell="B24" sqref="B24"/>
    </sheetView>
    <sheetView workbookViewId="1">
      <selection activeCell="D11" sqref="D11:D14"/>
    </sheetView>
  </sheetViews>
  <sheetFormatPr defaultColWidth="0" defaultRowHeight="14.5" x14ac:dyDescent="0.35"/>
  <cols>
    <col min="1" max="1" width="10.6328125" bestFit="1" customWidth="1"/>
    <col min="2" max="2" width="51" bestFit="1" customWidth="1"/>
    <col min="3" max="3" width="10.36328125" style="21" bestFit="1" customWidth="1"/>
    <col min="4" max="4" width="10.54296875" style="62" bestFit="1" customWidth="1"/>
    <col min="5" max="5" width="12.54296875" style="62" bestFit="1" customWidth="1"/>
    <col min="6" max="6" width="15.6328125" style="8" bestFit="1" customWidth="1"/>
    <col min="7" max="7" width="0.453125" style="52" customWidth="1"/>
    <col min="8" max="9" width="12" style="21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44</v>
      </c>
      <c r="B1" t="s">
        <v>16</v>
      </c>
      <c r="C1" s="21" t="s">
        <v>149</v>
      </c>
      <c r="D1" s="62" t="s">
        <v>17</v>
      </c>
      <c r="E1" s="62" t="s">
        <v>147</v>
      </c>
      <c r="F1" s="8" t="s">
        <v>48</v>
      </c>
      <c r="G1" s="11"/>
      <c r="H1"/>
      <c r="I1"/>
    </row>
    <row r="2" spans="1:9" x14ac:dyDescent="0.35">
      <c r="A2" s="61" t="s">
        <v>40</v>
      </c>
      <c r="B2" t="s">
        <v>41</v>
      </c>
      <c r="C2" s="21">
        <v>8</v>
      </c>
      <c r="D2" s="62">
        <v>4336.5</v>
      </c>
      <c r="E2" s="62">
        <v>34692</v>
      </c>
      <c r="F2" s="8">
        <v>0.27991121460263202</v>
      </c>
      <c r="G2" s="51"/>
      <c r="H2"/>
      <c r="I2"/>
    </row>
    <row r="3" spans="1:9" x14ac:dyDescent="0.35">
      <c r="A3" s="61" t="s">
        <v>40</v>
      </c>
      <c r="B3" t="s">
        <v>42</v>
      </c>
      <c r="C3" s="21">
        <v>8</v>
      </c>
      <c r="D3" s="62">
        <v>1984.5</v>
      </c>
      <c r="E3" s="62">
        <v>15876</v>
      </c>
      <c r="F3" s="8">
        <v>0.128094962614764</v>
      </c>
      <c r="G3" s="51"/>
      <c r="H3"/>
      <c r="I3"/>
    </row>
    <row r="4" spans="1:9" x14ac:dyDescent="0.35">
      <c r="A4" t="s">
        <v>45</v>
      </c>
      <c r="B4" t="s">
        <v>346</v>
      </c>
      <c r="C4" s="21">
        <v>8</v>
      </c>
      <c r="D4" s="62">
        <v>325</v>
      </c>
      <c r="E4" s="62">
        <v>2600</v>
      </c>
      <c r="F4" s="8">
        <v>2.0978011010228399E-2</v>
      </c>
      <c r="G4" s="51"/>
      <c r="H4"/>
      <c r="I4"/>
    </row>
    <row r="5" spans="1:9" x14ac:dyDescent="0.35">
      <c r="A5" t="s">
        <v>45</v>
      </c>
      <c r="B5" t="s">
        <v>348</v>
      </c>
      <c r="C5" s="21">
        <v>353</v>
      </c>
      <c r="D5" s="62">
        <v>2.2899999999999996</v>
      </c>
      <c r="E5" s="62">
        <v>808.36999999999989</v>
      </c>
      <c r="F5" s="8">
        <v>6.5223056770531999E-3</v>
      </c>
      <c r="G5" s="51"/>
      <c r="H5"/>
      <c r="I5"/>
    </row>
    <row r="6" spans="1:9" x14ac:dyDescent="0.35">
      <c r="A6" t="s">
        <v>45</v>
      </c>
      <c r="B6" t="s">
        <v>351</v>
      </c>
      <c r="C6" s="21">
        <v>13500</v>
      </c>
      <c r="D6" s="62">
        <v>0.28000000000000003</v>
      </c>
      <c r="E6" s="62">
        <v>3780.0000000000005</v>
      </c>
      <c r="F6" s="8">
        <v>3.0498800622562799E-2</v>
      </c>
      <c r="G6" s="51"/>
      <c r="H6"/>
      <c r="I6"/>
    </row>
    <row r="7" spans="1:9" x14ac:dyDescent="0.35">
      <c r="A7" t="s">
        <v>45</v>
      </c>
      <c r="B7" t="s">
        <v>355</v>
      </c>
      <c r="C7" s="21">
        <v>8</v>
      </c>
      <c r="D7" s="62">
        <v>4.3599999999999994</v>
      </c>
      <c r="E7" s="62">
        <v>34.879999999999995</v>
      </c>
      <c r="F7" s="8">
        <v>2.8142808616798699E-4</v>
      </c>
      <c r="G7" s="51"/>
      <c r="H7"/>
      <c r="I7"/>
    </row>
    <row r="8" spans="1:9" x14ac:dyDescent="0.35">
      <c r="A8" t="s">
        <v>45</v>
      </c>
      <c r="B8" t="s">
        <v>359</v>
      </c>
      <c r="C8" s="21">
        <v>13500</v>
      </c>
      <c r="D8" s="62">
        <v>2.1599999999999997</v>
      </c>
      <c r="E8" s="62">
        <v>29159.999999999996</v>
      </c>
      <c r="F8" s="8">
        <v>0.23527646194548499</v>
      </c>
      <c r="G8" s="51"/>
      <c r="H8"/>
      <c r="I8"/>
    </row>
    <row r="9" spans="1:9" x14ac:dyDescent="0.35">
      <c r="A9" t="s">
        <v>45</v>
      </c>
      <c r="B9" t="s">
        <v>362</v>
      </c>
      <c r="C9" s="21">
        <v>13500</v>
      </c>
      <c r="D9" s="62">
        <v>0.25</v>
      </c>
      <c r="E9" s="62">
        <v>3375</v>
      </c>
      <c r="F9" s="8">
        <v>2.7231071984431102E-2</v>
      </c>
      <c r="G9" s="51"/>
      <c r="H9"/>
      <c r="I9"/>
    </row>
    <row r="10" spans="1:9" x14ac:dyDescent="0.35">
      <c r="A10" t="s">
        <v>45</v>
      </c>
      <c r="B10" t="s">
        <v>365</v>
      </c>
      <c r="C10" s="21">
        <v>353</v>
      </c>
      <c r="D10" s="62">
        <v>0.25</v>
      </c>
      <c r="E10" s="62">
        <v>88.25</v>
      </c>
      <c r="F10" s="8">
        <v>7.1204210448179103E-4</v>
      </c>
      <c r="G10" s="51"/>
      <c r="H10"/>
      <c r="I10"/>
    </row>
    <row r="11" spans="1:9" x14ac:dyDescent="0.35">
      <c r="A11" t="s">
        <v>47</v>
      </c>
      <c r="B11" t="s">
        <v>236</v>
      </c>
      <c r="C11" s="21">
        <v>11</v>
      </c>
      <c r="D11" s="62">
        <v>1</v>
      </c>
      <c r="E11" s="62">
        <v>2091.1</v>
      </c>
      <c r="F11" s="8">
        <v>1.6871968778264801E-2</v>
      </c>
      <c r="G11" s="51"/>
      <c r="H11"/>
      <c r="I11"/>
    </row>
    <row r="12" spans="1:9" x14ac:dyDescent="0.35">
      <c r="A12" t="s">
        <v>47</v>
      </c>
      <c r="B12" t="s">
        <v>252</v>
      </c>
      <c r="C12" s="21">
        <v>52</v>
      </c>
      <c r="D12" s="62">
        <v>6</v>
      </c>
      <c r="E12" s="62">
        <v>16281.2</v>
      </c>
      <c r="F12" s="8">
        <v>0.13136430494605</v>
      </c>
      <c r="G12" s="51"/>
      <c r="H12"/>
      <c r="I12"/>
    </row>
    <row r="13" spans="1:9" x14ac:dyDescent="0.35">
      <c r="A13" t="s">
        <v>47</v>
      </c>
      <c r="B13" t="s">
        <v>255</v>
      </c>
      <c r="C13" s="21">
        <v>52</v>
      </c>
      <c r="D13" s="62">
        <v>2</v>
      </c>
      <c r="E13" s="62">
        <v>9500.4</v>
      </c>
      <c r="F13" s="8">
        <v>7.6653652231374603E-2</v>
      </c>
      <c r="G13" s="51"/>
      <c r="H13"/>
      <c r="I13"/>
    </row>
    <row r="14" spans="1:9" x14ac:dyDescent="0.35">
      <c r="A14" t="s">
        <v>47</v>
      </c>
      <c r="B14" t="s">
        <v>258</v>
      </c>
      <c r="C14" s="21">
        <v>29</v>
      </c>
      <c r="D14" s="62">
        <v>1</v>
      </c>
      <c r="E14" s="62">
        <v>5652.1</v>
      </c>
      <c r="F14" s="8">
        <v>4.5603775396504599E-2</v>
      </c>
      <c r="G14" s="51"/>
      <c r="H14"/>
      <c r="I14"/>
    </row>
    <row r="15" spans="1:9" x14ac:dyDescent="0.35">
      <c r="E15" s="62">
        <f>SUM(E2:E14)</f>
        <v>123939.3</v>
      </c>
      <c r="F15" s="44"/>
      <c r="G15" s="11"/>
      <c r="H15"/>
      <c r="I15"/>
    </row>
    <row r="16" spans="1:9" x14ac:dyDescent="0.35">
      <c r="G16" s="11"/>
      <c r="H16"/>
      <c r="I16"/>
    </row>
    <row r="17" spans="7:9" x14ac:dyDescent="0.35">
      <c r="G17" s="11"/>
      <c r="H17"/>
      <c r="I17"/>
    </row>
  </sheetData>
  <phoneticPr fontId="1" type="noConversion"/>
  <conditionalFormatting sqref="F2:F132">
    <cfRule type="colorScale" priority="120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X350"/>
  <sheetViews>
    <sheetView tabSelected="1" workbookViewId="0">
      <selection sqref="A1:F49"/>
    </sheetView>
    <sheetView workbookViewId="1">
      <selection activeCell="C1" sqref="C1:F1048576"/>
    </sheetView>
  </sheetViews>
  <sheetFormatPr defaultRowHeight="14.5" x14ac:dyDescent="0.35"/>
  <cols>
    <col min="1" max="1" width="21" bestFit="1" customWidth="1"/>
    <col min="2" max="2" width="44.1796875" bestFit="1" customWidth="1"/>
    <col min="3" max="3" width="11.81640625" bestFit="1" customWidth="1"/>
    <col min="4" max="5" width="18" bestFit="1" customWidth="1"/>
    <col min="6" max="6" width="22.453125" bestFit="1" customWidth="1"/>
    <col min="7" max="7" width="22.36328125" bestFit="1" customWidth="1"/>
    <col min="8" max="8" width="13.1796875" bestFit="1" customWidth="1"/>
    <col min="9" max="9" width="33.6328125" bestFit="1" customWidth="1"/>
    <col min="10" max="10" width="18.81640625" bestFit="1" customWidth="1"/>
    <col min="11" max="11" width="11.81640625" bestFit="1" customWidth="1"/>
    <col min="12" max="12" width="15" bestFit="1" customWidth="1"/>
    <col min="13" max="13" width="15.08984375" bestFit="1" customWidth="1"/>
    <col min="14" max="14" width="21.36328125" bestFit="1" customWidth="1"/>
    <col min="15" max="15" width="13.6328125" bestFit="1" customWidth="1"/>
    <col min="16" max="16" width="8.54296875" bestFit="1" customWidth="1"/>
    <col min="17" max="17" width="11.81640625" bestFit="1" customWidth="1"/>
    <col min="18" max="18" width="14.1796875" bestFit="1" customWidth="1"/>
    <col min="19" max="19" width="10" bestFit="1" customWidth="1"/>
    <col min="20" max="20" width="11.81640625" bestFit="1" customWidth="1"/>
    <col min="21" max="21" width="14.1796875" bestFit="1" customWidth="1"/>
    <col min="22" max="22" width="8.81640625" bestFit="1" customWidth="1"/>
    <col min="23" max="24" width="10" bestFit="1" customWidth="1"/>
  </cols>
  <sheetData>
    <row r="1" spans="1:12" x14ac:dyDescent="0.35">
      <c r="A1" t="s">
        <v>31</v>
      </c>
      <c r="B1" t="s">
        <v>30</v>
      </c>
      <c r="C1" t="s">
        <v>236</v>
      </c>
      <c r="D1" t="s">
        <v>252</v>
      </c>
      <c r="E1" t="s">
        <v>255</v>
      </c>
      <c r="F1" t="s">
        <v>258</v>
      </c>
    </row>
    <row r="2" spans="1:12" x14ac:dyDescent="0.35">
      <c r="A2" t="s">
        <v>169</v>
      </c>
      <c r="B2" t="s">
        <v>177</v>
      </c>
      <c r="C2">
        <v>4.9308777590218837E-3</v>
      </c>
      <c r="D2">
        <v>3.8391567581745063E-2</v>
      </c>
      <c r="E2">
        <v>2.2402233782129743E-2</v>
      </c>
      <c r="F2">
        <v>1.3327824676853136E-2</v>
      </c>
    </row>
    <row r="3" spans="1:12" x14ac:dyDescent="0.35">
      <c r="A3" t="s">
        <v>169</v>
      </c>
      <c r="B3" t="s">
        <v>178</v>
      </c>
      <c r="C3">
        <v>4.2329959514170019E-2</v>
      </c>
      <c r="D3">
        <v>0.32957894736842092</v>
      </c>
      <c r="E3">
        <v>0.19231578947368411</v>
      </c>
      <c r="F3">
        <v>0.11441497975708496</v>
      </c>
      <c r="G3" s="40"/>
    </row>
    <row r="4" spans="1:12" x14ac:dyDescent="0.35">
      <c r="A4" t="s">
        <v>169</v>
      </c>
      <c r="B4" t="s">
        <v>179</v>
      </c>
      <c r="C4">
        <v>4.9327595097813431E-3</v>
      </c>
      <c r="D4">
        <v>3.8406218799030174E-2</v>
      </c>
      <c r="E4">
        <v>2.2410783055199016E-2</v>
      </c>
      <c r="F4">
        <v>1.3332910920202347E-2</v>
      </c>
      <c r="G4" s="40"/>
    </row>
    <row r="5" spans="1:12" x14ac:dyDescent="0.35">
      <c r="A5" t="s">
        <v>169</v>
      </c>
      <c r="B5" t="s">
        <v>180</v>
      </c>
      <c r="C5">
        <v>4.9325486359992647E-3</v>
      </c>
      <c r="D5">
        <v>3.8404576946311143E-2</v>
      </c>
      <c r="E5">
        <v>2.240982500188772E-2</v>
      </c>
      <c r="F5">
        <v>1.3332340942820259E-2</v>
      </c>
      <c r="G5" s="40"/>
    </row>
    <row r="6" spans="1:12" x14ac:dyDescent="0.35">
      <c r="A6" t="s">
        <v>169</v>
      </c>
      <c r="B6" t="s">
        <v>181</v>
      </c>
      <c r="C6">
        <v>4.9316638571306375E-3</v>
      </c>
      <c r="D6">
        <v>3.8397688102297996E-2</v>
      </c>
      <c r="E6">
        <v>2.2405805226093402E-2</v>
      </c>
      <c r="F6">
        <v>1.3329949446170953E-2</v>
      </c>
      <c r="G6" s="40"/>
    </row>
    <row r="7" spans="1:12" x14ac:dyDescent="0.35">
      <c r="A7" t="s">
        <v>169</v>
      </c>
      <c r="B7" t="s">
        <v>176</v>
      </c>
      <c r="C7">
        <v>4.9312842413248474E-3</v>
      </c>
      <c r="D7">
        <v>3.8394732432623077E-2</v>
      </c>
      <c r="E7">
        <v>2.2404080534781972E-2</v>
      </c>
      <c r="F7">
        <v>1.3328923370662415E-2</v>
      </c>
      <c r="G7" s="40"/>
    </row>
    <row r="8" spans="1:12" x14ac:dyDescent="0.35">
      <c r="A8" t="s">
        <v>169</v>
      </c>
      <c r="B8" t="s">
        <v>171</v>
      </c>
      <c r="C8">
        <v>2.116497975708501E-2</v>
      </c>
      <c r="D8">
        <v>0.16478947368421046</v>
      </c>
      <c r="E8">
        <v>9.6157894736842053E-2</v>
      </c>
      <c r="F8">
        <v>5.7207489878542482E-2</v>
      </c>
      <c r="G8" s="40"/>
    </row>
    <row r="9" spans="1:12" x14ac:dyDescent="0.35">
      <c r="A9" t="s">
        <v>169</v>
      </c>
      <c r="B9" t="s">
        <v>172</v>
      </c>
      <c r="C9">
        <v>4.9339141122035808E-3</v>
      </c>
      <c r="D9">
        <v>3.841520847573475E-2</v>
      </c>
      <c r="E9">
        <v>2.2416028708133948E-2</v>
      </c>
      <c r="F9">
        <v>1.3336031731426458E-2</v>
      </c>
      <c r="G9" s="40"/>
      <c r="H9" s="40"/>
      <c r="I9" s="40"/>
      <c r="J9" s="40"/>
      <c r="K9" s="40"/>
      <c r="L9" s="40"/>
    </row>
    <row r="10" spans="1:12" x14ac:dyDescent="0.35">
      <c r="A10" t="s">
        <v>169</v>
      </c>
      <c r="B10" t="s">
        <v>173</v>
      </c>
      <c r="C10">
        <v>4.9325486359992647E-3</v>
      </c>
      <c r="D10">
        <v>3.8404576946311143E-2</v>
      </c>
      <c r="E10">
        <v>2.240982500188772E-2</v>
      </c>
      <c r="F10">
        <v>1.3332340942820259E-2</v>
      </c>
      <c r="G10" s="40"/>
      <c r="H10" s="40"/>
      <c r="I10" s="40"/>
      <c r="J10" s="40"/>
      <c r="K10" s="40"/>
      <c r="L10" s="40"/>
    </row>
    <row r="11" spans="1:12" x14ac:dyDescent="0.35">
      <c r="A11" t="s">
        <v>169</v>
      </c>
      <c r="B11" t="s">
        <v>174</v>
      </c>
      <c r="C11">
        <v>4.9320246417677753E-3</v>
      </c>
      <c r="D11">
        <v>3.8400497153435756E-2</v>
      </c>
      <c r="E11">
        <v>2.2407444362608473E-2</v>
      </c>
      <c r="F11">
        <v>1.3330924622321098E-2</v>
      </c>
      <c r="G11" s="40"/>
      <c r="H11" s="40"/>
      <c r="I11" s="40"/>
      <c r="J11" s="40"/>
      <c r="K11" s="40"/>
      <c r="L11" s="40"/>
    </row>
    <row r="12" spans="1:12" x14ac:dyDescent="0.35">
      <c r="A12" t="s">
        <v>169</v>
      </c>
      <c r="B12" t="s">
        <v>175</v>
      </c>
      <c r="C12">
        <v>4.9320840253667102E-3</v>
      </c>
      <c r="D12">
        <v>3.8400959511166601E-2</v>
      </c>
      <c r="E12">
        <v>2.2407714157426182E-2</v>
      </c>
      <c r="F12">
        <v>1.3331085132119546E-2</v>
      </c>
      <c r="G12" s="40"/>
      <c r="H12" s="40"/>
      <c r="I12" s="40"/>
      <c r="J12" s="40"/>
      <c r="K12" s="40"/>
      <c r="L12" s="40"/>
    </row>
    <row r="13" spans="1:12" x14ac:dyDescent="0.35">
      <c r="A13" t="s">
        <v>169</v>
      </c>
      <c r="B13" t="s">
        <v>170</v>
      </c>
      <c r="C13">
        <v>4.9318863836767153E-3</v>
      </c>
      <c r="D13">
        <v>3.8399420682854644E-2</v>
      </c>
      <c r="E13">
        <v>2.240681622088005E-2</v>
      </c>
      <c r="F13">
        <v>1.3330550920175585E-2</v>
      </c>
      <c r="G13" s="40"/>
      <c r="H13" s="40"/>
      <c r="I13" s="40"/>
      <c r="J13" s="40"/>
      <c r="K13" s="40"/>
      <c r="L13" s="40"/>
    </row>
    <row r="14" spans="1:12" x14ac:dyDescent="0.35">
      <c r="A14" t="s">
        <v>182</v>
      </c>
      <c r="B14" t="s">
        <v>193</v>
      </c>
      <c r="C14">
        <v>2.4188548293811439E-3</v>
      </c>
      <c r="D14">
        <v>1.883308270676691E-2</v>
      </c>
      <c r="E14">
        <v>1.0989473684210521E-2</v>
      </c>
      <c r="F14">
        <v>6.5379988432619981E-3</v>
      </c>
      <c r="G14" s="40"/>
      <c r="H14" s="40"/>
      <c r="I14" s="40"/>
      <c r="J14" s="40"/>
      <c r="K14" s="40"/>
      <c r="L14" s="40"/>
    </row>
    <row r="15" spans="1:12" x14ac:dyDescent="0.35">
      <c r="A15" t="s">
        <v>182</v>
      </c>
      <c r="B15" t="s">
        <v>189</v>
      </c>
      <c r="C15">
        <v>2.4250889913125374E-3</v>
      </c>
      <c r="D15">
        <v>1.888162157972249E-2</v>
      </c>
      <c r="E15">
        <v>1.1017797069994565E-2</v>
      </c>
      <c r="F15">
        <v>6.5548493557446305E-3</v>
      </c>
      <c r="G15" s="40"/>
      <c r="H15" s="40"/>
      <c r="I15" s="40"/>
      <c r="J15" s="40"/>
      <c r="K15" s="40"/>
      <c r="L15" s="40"/>
    </row>
    <row r="16" spans="1:12" x14ac:dyDescent="0.35">
      <c r="A16" t="s">
        <v>182</v>
      </c>
      <c r="B16" t="s">
        <v>194</v>
      </c>
      <c r="C16">
        <v>2.4250889913125374E-3</v>
      </c>
      <c r="D16">
        <v>1.888162157972249E-2</v>
      </c>
      <c r="E16">
        <v>1.1017797069994565E-2</v>
      </c>
      <c r="F16">
        <v>6.5548493557446305E-3</v>
      </c>
      <c r="G16" s="40"/>
      <c r="H16" s="40"/>
      <c r="I16" s="40"/>
      <c r="J16" s="40"/>
      <c r="K16" s="40"/>
      <c r="L16" s="40"/>
    </row>
    <row r="17" spans="1:13" x14ac:dyDescent="0.35">
      <c r="A17" t="s">
        <v>182</v>
      </c>
      <c r="B17" t="s">
        <v>191</v>
      </c>
      <c r="C17">
        <v>2.4188548293811439E-3</v>
      </c>
      <c r="D17">
        <v>1.883308270676691E-2</v>
      </c>
      <c r="E17">
        <v>1.0989473684210521E-2</v>
      </c>
      <c r="F17">
        <v>6.5379988432619981E-3</v>
      </c>
      <c r="G17" s="40"/>
      <c r="H17" s="40"/>
      <c r="I17" s="40"/>
      <c r="J17" s="40"/>
      <c r="K17" s="40"/>
      <c r="L17" s="40"/>
    </row>
    <row r="18" spans="1:13" x14ac:dyDescent="0.35">
      <c r="A18" t="s">
        <v>182</v>
      </c>
      <c r="B18" t="s">
        <v>190</v>
      </c>
      <c r="C18">
        <v>2.4250889913125374E-3</v>
      </c>
      <c r="D18">
        <v>1.888162157972249E-2</v>
      </c>
      <c r="E18">
        <v>1.1017797069994565E-2</v>
      </c>
      <c r="F18">
        <v>6.5548493557446305E-3</v>
      </c>
      <c r="G18" s="40"/>
      <c r="H18" s="40"/>
      <c r="I18" s="40"/>
      <c r="J18" s="40"/>
      <c r="K18" s="40"/>
      <c r="L18" s="40"/>
    </row>
    <row r="19" spans="1:13" x14ac:dyDescent="0.35">
      <c r="A19" t="s">
        <v>182</v>
      </c>
      <c r="B19" t="s">
        <v>192</v>
      </c>
      <c r="C19">
        <v>2.4250889913125374E-3</v>
      </c>
      <c r="D19">
        <v>1.888162157972249E-2</v>
      </c>
      <c r="E19">
        <v>1.1017797069994565E-2</v>
      </c>
      <c r="F19">
        <v>6.5548493557446305E-3</v>
      </c>
      <c r="G19" s="40"/>
      <c r="H19" s="40"/>
      <c r="I19" s="40"/>
      <c r="J19" s="40"/>
      <c r="K19" s="40"/>
      <c r="L19" s="40"/>
    </row>
    <row r="20" spans="1:13" x14ac:dyDescent="0.35">
      <c r="A20" t="s">
        <v>182</v>
      </c>
      <c r="B20" t="s">
        <v>200</v>
      </c>
      <c r="C20">
        <v>2.9395805218173513E-3</v>
      </c>
      <c r="D20">
        <v>2.2887426900584699E-2</v>
      </c>
      <c r="E20">
        <v>1.3355263157894679E-2</v>
      </c>
      <c r="F20">
        <v>7.9454847053530946E-3</v>
      </c>
      <c r="G20" s="40"/>
      <c r="H20" s="40"/>
      <c r="I20" s="40"/>
      <c r="J20" s="40"/>
      <c r="K20" s="40"/>
      <c r="L20" s="40"/>
    </row>
    <row r="21" spans="1:13" x14ac:dyDescent="0.35">
      <c r="A21" t="s">
        <v>182</v>
      </c>
      <c r="B21" t="s">
        <v>197</v>
      </c>
      <c r="C21">
        <v>2.9395805218173513E-3</v>
      </c>
      <c r="D21">
        <v>2.2887426900584699E-2</v>
      </c>
      <c r="E21">
        <v>1.3355263157894679E-2</v>
      </c>
      <c r="F21">
        <v>7.9454847053530946E-3</v>
      </c>
      <c r="G21" s="40"/>
      <c r="H21" s="40"/>
      <c r="I21" s="40"/>
      <c r="J21" s="40"/>
      <c r="K21" s="40"/>
      <c r="L21" s="40"/>
    </row>
    <row r="22" spans="1:13" x14ac:dyDescent="0.35">
      <c r="A22" t="s">
        <v>182</v>
      </c>
      <c r="B22" t="s">
        <v>196</v>
      </c>
      <c r="C22">
        <v>2.9395805218173513E-3</v>
      </c>
      <c r="D22">
        <v>2.2887426900584699E-2</v>
      </c>
      <c r="E22">
        <v>1.3355263157894679E-2</v>
      </c>
      <c r="F22">
        <v>7.9454847053530946E-3</v>
      </c>
      <c r="G22" s="40"/>
      <c r="H22" s="40"/>
      <c r="I22" s="40"/>
      <c r="J22" s="40"/>
      <c r="K22" s="40"/>
      <c r="L22" s="40"/>
    </row>
    <row r="23" spans="1:13" x14ac:dyDescent="0.35">
      <c r="A23" t="s">
        <v>182</v>
      </c>
      <c r="B23" t="s">
        <v>199</v>
      </c>
      <c r="C23">
        <v>2.9395805218173513E-3</v>
      </c>
      <c r="D23">
        <v>2.2887426900584699E-2</v>
      </c>
      <c r="E23">
        <v>1.3355263157894679E-2</v>
      </c>
      <c r="F23">
        <v>7.9454847053530946E-3</v>
      </c>
      <c r="G23" s="40"/>
      <c r="H23" s="40"/>
      <c r="I23" s="40"/>
      <c r="J23" s="40"/>
      <c r="K23" s="40"/>
      <c r="L23" s="40"/>
    </row>
    <row r="24" spans="1:13" x14ac:dyDescent="0.35">
      <c r="A24" t="s">
        <v>182</v>
      </c>
      <c r="B24" t="s">
        <v>195</v>
      </c>
      <c r="C24">
        <v>2.9395805218173513E-3</v>
      </c>
      <c r="D24">
        <v>2.2887426900584699E-2</v>
      </c>
      <c r="E24">
        <v>1.3355263157894679E-2</v>
      </c>
      <c r="F24">
        <v>7.9454847053530946E-3</v>
      </c>
      <c r="G24" s="40"/>
      <c r="H24" s="40"/>
      <c r="I24" s="40"/>
      <c r="J24" s="40"/>
      <c r="K24" s="40"/>
      <c r="L24" s="40"/>
    </row>
    <row r="25" spans="1:13" x14ac:dyDescent="0.35">
      <c r="A25" t="s">
        <v>182</v>
      </c>
      <c r="B25" t="s">
        <v>198</v>
      </c>
      <c r="C25">
        <v>2.9395805218173513E-3</v>
      </c>
      <c r="D25">
        <v>2.2887426900584699E-2</v>
      </c>
      <c r="E25">
        <v>1.3355263157894679E-2</v>
      </c>
      <c r="F25">
        <v>7.9454847053530946E-3</v>
      </c>
      <c r="G25" s="40"/>
      <c r="H25" s="40"/>
      <c r="I25" s="40"/>
      <c r="J25" s="40"/>
      <c r="K25" s="40"/>
      <c r="L25" s="40"/>
      <c r="M25" s="40"/>
    </row>
    <row r="26" spans="1:13" x14ac:dyDescent="0.35">
      <c r="A26" t="s">
        <v>182</v>
      </c>
      <c r="B26" t="s">
        <v>208</v>
      </c>
      <c r="C26">
        <v>5.3232300123065724E-3</v>
      </c>
      <c r="D26">
        <v>4.1446402599763649E-2</v>
      </c>
      <c r="E26">
        <v>2.4184790019089169E-2</v>
      </c>
      <c r="F26">
        <v>1.4388325930160194E-2</v>
      </c>
      <c r="G26" s="40"/>
      <c r="H26" s="40"/>
      <c r="I26" s="40"/>
      <c r="J26" s="40"/>
      <c r="K26" s="40"/>
      <c r="L26" s="40"/>
      <c r="M26" s="40"/>
    </row>
    <row r="27" spans="1:13" x14ac:dyDescent="0.35">
      <c r="A27" t="s">
        <v>182</v>
      </c>
      <c r="B27" t="s">
        <v>207</v>
      </c>
      <c r="C27">
        <v>5.3226159566977689E-3</v>
      </c>
      <c r="D27">
        <v>4.144162159350951E-2</v>
      </c>
      <c r="E27">
        <v>2.4182000208029981E-2</v>
      </c>
      <c r="F27">
        <v>1.4386666179929926E-2</v>
      </c>
      <c r="G27" s="40"/>
      <c r="H27" s="40"/>
      <c r="I27" s="40"/>
      <c r="J27" s="40"/>
      <c r="K27" s="40"/>
      <c r="L27" s="40"/>
      <c r="M27" s="40"/>
    </row>
    <row r="28" spans="1:13" x14ac:dyDescent="0.35">
      <c r="A28" t="s">
        <v>182</v>
      </c>
      <c r="B28" t="s">
        <v>209</v>
      </c>
      <c r="C28">
        <v>5.2912449392712325E-3</v>
      </c>
      <c r="D28">
        <v>4.1197368421052455E-2</v>
      </c>
      <c r="E28">
        <v>2.4039473684210423E-2</v>
      </c>
      <c r="F28">
        <v>1.4301872469635568E-2</v>
      </c>
      <c r="G28" s="40"/>
      <c r="H28" s="40"/>
      <c r="I28" s="40"/>
      <c r="J28" s="40"/>
      <c r="K28" s="40"/>
      <c r="L28" s="40"/>
      <c r="M28" s="40"/>
    </row>
    <row r="29" spans="1:13" x14ac:dyDescent="0.35">
      <c r="A29" t="s">
        <v>182</v>
      </c>
      <c r="B29" t="s">
        <v>212</v>
      </c>
      <c r="C29">
        <v>5.3226159566977689E-3</v>
      </c>
      <c r="D29">
        <v>4.144162159350951E-2</v>
      </c>
      <c r="E29">
        <v>2.4182000208029981E-2</v>
      </c>
      <c r="F29">
        <v>1.4386666179929926E-2</v>
      </c>
      <c r="G29" s="40"/>
      <c r="H29" s="40"/>
      <c r="I29" s="40"/>
      <c r="J29" s="40"/>
      <c r="K29" s="40"/>
      <c r="L29" s="40"/>
      <c r="M29" s="40"/>
    </row>
    <row r="30" spans="1:13" x14ac:dyDescent="0.35">
      <c r="A30" t="s">
        <v>182</v>
      </c>
      <c r="B30" t="s">
        <v>211</v>
      </c>
      <c r="C30">
        <v>5.2912449392712325E-3</v>
      </c>
      <c r="D30">
        <v>4.1197368421052455E-2</v>
      </c>
      <c r="E30">
        <v>2.4039473684210423E-2</v>
      </c>
      <c r="F30">
        <v>1.4301872469635568E-2</v>
      </c>
      <c r="G30" s="40"/>
      <c r="H30" s="40"/>
      <c r="I30" s="40"/>
      <c r="J30" s="40"/>
      <c r="K30" s="40"/>
      <c r="L30" s="40"/>
      <c r="M30" s="40"/>
    </row>
    <row r="31" spans="1:13" x14ac:dyDescent="0.35">
      <c r="A31" t="s">
        <v>182</v>
      </c>
      <c r="B31" t="s">
        <v>210</v>
      </c>
      <c r="C31">
        <v>5.3250548110876858E-3</v>
      </c>
      <c r="D31">
        <v>4.1460610391794196E-2</v>
      </c>
      <c r="E31">
        <v>2.4193080544812517E-2</v>
      </c>
      <c r="F31">
        <v>1.4393258236214776E-2</v>
      </c>
      <c r="G31" s="40"/>
      <c r="H31" s="40"/>
      <c r="I31" s="40"/>
      <c r="J31" s="40"/>
      <c r="K31" s="40"/>
      <c r="L31" s="40"/>
      <c r="M31" s="40"/>
    </row>
    <row r="32" spans="1:13" x14ac:dyDescent="0.35">
      <c r="A32" t="s">
        <v>182</v>
      </c>
      <c r="B32" t="s">
        <v>202</v>
      </c>
      <c r="C32">
        <v>4.2329959514170014E-3</v>
      </c>
      <c r="D32">
        <v>3.2957894736842089E-2</v>
      </c>
      <c r="E32">
        <v>1.9231578947368412E-2</v>
      </c>
      <c r="F32">
        <v>1.1441497975708497E-2</v>
      </c>
      <c r="G32" s="40"/>
      <c r="H32" s="40"/>
      <c r="I32" s="40"/>
      <c r="J32" s="40"/>
      <c r="K32" s="40"/>
      <c r="L32" s="40"/>
      <c r="M32" s="40"/>
    </row>
    <row r="33" spans="1:13" x14ac:dyDescent="0.35">
      <c r="A33" t="s">
        <v>182</v>
      </c>
      <c r="B33" t="s">
        <v>204</v>
      </c>
      <c r="C33">
        <v>3.9219451307058468E-3</v>
      </c>
      <c r="D33">
        <v>3.0536068606019817E-2</v>
      </c>
      <c r="E33">
        <v>1.781839582983015E-2</v>
      </c>
      <c r="F33">
        <v>1.0600748923180393E-2</v>
      </c>
      <c r="G33" s="40"/>
      <c r="H33" s="40"/>
      <c r="I33" s="40"/>
      <c r="J33" s="40"/>
      <c r="K33" s="40"/>
      <c r="L33" s="40"/>
      <c r="M33" s="40"/>
    </row>
    <row r="34" spans="1:13" x14ac:dyDescent="0.35">
      <c r="A34" t="s">
        <v>182</v>
      </c>
      <c r="B34" t="s">
        <v>203</v>
      </c>
      <c r="C34">
        <v>4.2329959514170014E-3</v>
      </c>
      <c r="D34">
        <v>3.2957894736842089E-2</v>
      </c>
      <c r="E34">
        <v>1.9231578947368412E-2</v>
      </c>
      <c r="F34">
        <v>1.1441497975708497E-2</v>
      </c>
      <c r="G34" s="40"/>
      <c r="H34" s="40"/>
      <c r="I34" s="40"/>
      <c r="J34" s="40"/>
      <c r="K34" s="40"/>
      <c r="L34" s="40"/>
      <c r="M34" s="40"/>
    </row>
    <row r="35" spans="1:13" x14ac:dyDescent="0.35">
      <c r="A35" t="s">
        <v>182</v>
      </c>
      <c r="B35" t="s">
        <v>206</v>
      </c>
      <c r="C35">
        <v>3.9222635616315482E-3</v>
      </c>
      <c r="D35">
        <v>3.0538547893278926E-2</v>
      </c>
      <c r="E35">
        <v>1.7819842542644713E-2</v>
      </c>
      <c r="F35">
        <v>1.060160962015096E-2</v>
      </c>
      <c r="G35" s="40"/>
      <c r="H35" s="40"/>
      <c r="I35" s="40"/>
      <c r="J35" s="40"/>
      <c r="K35" s="40"/>
      <c r="L35" s="40"/>
      <c r="M35" s="40"/>
    </row>
    <row r="36" spans="1:13" x14ac:dyDescent="0.35">
      <c r="A36" t="s">
        <v>182</v>
      </c>
      <c r="B36" t="s">
        <v>205</v>
      </c>
      <c r="C36">
        <v>4.2329959514170014E-3</v>
      </c>
      <c r="D36">
        <v>3.2957894736842089E-2</v>
      </c>
      <c r="E36">
        <v>1.9231578947368412E-2</v>
      </c>
      <c r="F36">
        <v>1.1441497975708497E-2</v>
      </c>
      <c r="G36" s="40"/>
      <c r="H36" s="40"/>
      <c r="I36" s="40"/>
      <c r="J36" s="40"/>
      <c r="K36" s="40"/>
      <c r="L36" s="40"/>
      <c r="M36" s="40"/>
    </row>
    <row r="37" spans="1:13" x14ac:dyDescent="0.35">
      <c r="A37" t="s">
        <v>182</v>
      </c>
      <c r="B37" t="s">
        <v>201</v>
      </c>
      <c r="C37">
        <v>3.9215113436712129E-3</v>
      </c>
      <c r="D37">
        <v>3.053269116186684E-2</v>
      </c>
      <c r="E37">
        <v>1.7816425024826162E-2</v>
      </c>
      <c r="F37">
        <v>1.0599576426552564E-2</v>
      </c>
      <c r="G37" s="40"/>
      <c r="H37" s="40"/>
      <c r="I37" s="40"/>
      <c r="J37" s="40"/>
      <c r="K37" s="40"/>
      <c r="L37" s="40"/>
      <c r="M37" s="40"/>
    </row>
    <row r="38" spans="1:13" x14ac:dyDescent="0.35">
      <c r="A38" t="s">
        <v>182</v>
      </c>
      <c r="B38" t="s">
        <v>185</v>
      </c>
      <c r="C38">
        <v>2.4988599075007082E-3</v>
      </c>
      <c r="D38">
        <v>1.945599824303024E-2</v>
      </c>
      <c r="E38">
        <v>1.1352957135105795E-2</v>
      </c>
      <c r="F38">
        <v>6.7542470867891329E-3</v>
      </c>
      <c r="G38" s="40"/>
      <c r="H38" s="40"/>
      <c r="I38" s="40"/>
      <c r="J38" s="40"/>
      <c r="K38" s="40"/>
      <c r="L38" s="40"/>
      <c r="M38" s="40"/>
    </row>
    <row r="39" spans="1:13" x14ac:dyDescent="0.35">
      <c r="A39" t="s">
        <v>182</v>
      </c>
      <c r="B39" t="s">
        <v>188</v>
      </c>
      <c r="C39">
        <v>2.5196404472720155E-3</v>
      </c>
      <c r="D39">
        <v>1.9617794486215458E-2</v>
      </c>
      <c r="E39">
        <v>1.1447368421052583E-2</v>
      </c>
      <c r="F39">
        <v>6.8104154617312229E-3</v>
      </c>
      <c r="G39" s="40"/>
      <c r="H39" s="40"/>
      <c r="I39" s="40"/>
      <c r="J39" s="40"/>
      <c r="K39" s="40"/>
      <c r="L39" s="40"/>
      <c r="M39" s="40"/>
    </row>
    <row r="40" spans="1:13" x14ac:dyDescent="0.35">
      <c r="A40" t="s">
        <v>182</v>
      </c>
      <c r="B40" t="s">
        <v>186</v>
      </c>
      <c r="C40">
        <v>2.5196404472720155E-3</v>
      </c>
      <c r="D40">
        <v>1.9617794486215458E-2</v>
      </c>
      <c r="E40">
        <v>1.1447368421052583E-2</v>
      </c>
      <c r="F40">
        <v>6.8104154617312229E-3</v>
      </c>
      <c r="G40" s="40"/>
      <c r="H40" s="40"/>
      <c r="I40" s="40"/>
      <c r="J40" s="40"/>
      <c r="K40" s="40"/>
      <c r="L40" s="40"/>
      <c r="M40" s="40"/>
    </row>
    <row r="41" spans="1:13" x14ac:dyDescent="0.35">
      <c r="A41" t="s">
        <v>182</v>
      </c>
      <c r="B41" t="s">
        <v>184</v>
      </c>
      <c r="C41">
        <v>2.4994833236938515E-3</v>
      </c>
      <c r="D41">
        <v>1.9460852130325827E-2</v>
      </c>
      <c r="E41">
        <v>1.1355789473684217E-2</v>
      </c>
      <c r="F41">
        <v>6.7559321380374054E-3</v>
      </c>
      <c r="G41" s="40"/>
      <c r="H41" s="40"/>
      <c r="I41" s="40"/>
      <c r="J41" s="40"/>
      <c r="K41" s="40"/>
      <c r="L41" s="40"/>
      <c r="M41" s="40"/>
    </row>
    <row r="42" spans="1:13" x14ac:dyDescent="0.35">
      <c r="A42" t="s">
        <v>182</v>
      </c>
      <c r="B42" t="s">
        <v>183</v>
      </c>
      <c r="C42">
        <v>2.4988599075007082E-3</v>
      </c>
      <c r="D42">
        <v>1.945599824303024E-2</v>
      </c>
      <c r="E42">
        <v>1.1352957135105795E-2</v>
      </c>
      <c r="F42">
        <v>6.7542470867891329E-3</v>
      </c>
      <c r="G42" s="40"/>
      <c r="H42" s="40"/>
      <c r="I42" s="40"/>
      <c r="J42" s="40"/>
      <c r="K42" s="40"/>
      <c r="L42" s="40"/>
      <c r="M42" s="40"/>
    </row>
    <row r="43" spans="1:13" x14ac:dyDescent="0.35">
      <c r="A43" t="s">
        <v>182</v>
      </c>
      <c r="B43" t="s">
        <v>187</v>
      </c>
      <c r="C43">
        <v>2.4956438715837245E-3</v>
      </c>
      <c r="D43">
        <v>1.943095834825161E-2</v>
      </c>
      <c r="E43">
        <v>1.1338345864661672E-2</v>
      </c>
      <c r="F43">
        <v>6.7455543620957258E-3</v>
      </c>
      <c r="G43" s="40"/>
      <c r="H43" s="40"/>
      <c r="I43" s="40"/>
      <c r="J43" s="40"/>
      <c r="K43" s="40"/>
      <c r="L43" s="40"/>
      <c r="M43" s="40"/>
    </row>
    <row r="44" spans="1:13" x14ac:dyDescent="0.35">
      <c r="A44" t="s">
        <v>182</v>
      </c>
      <c r="B44" t="s">
        <v>216</v>
      </c>
      <c r="C44">
        <v>2.5196404472720155E-3</v>
      </c>
      <c r="D44">
        <v>1.9617794486215458E-2</v>
      </c>
      <c r="E44">
        <v>1.1447368421052583E-2</v>
      </c>
      <c r="F44">
        <v>6.8104154617312229E-3</v>
      </c>
      <c r="G44" s="40"/>
      <c r="H44" s="40"/>
      <c r="I44" s="40"/>
      <c r="J44" s="40"/>
      <c r="K44" s="40"/>
      <c r="L44" s="40"/>
      <c r="M44" s="40"/>
    </row>
    <row r="45" spans="1:13" x14ac:dyDescent="0.35">
      <c r="A45" t="s">
        <v>182</v>
      </c>
      <c r="B45" t="s">
        <v>217</v>
      </c>
      <c r="C45">
        <v>2.5196404472720155E-3</v>
      </c>
      <c r="D45">
        <v>1.9617794486215458E-2</v>
      </c>
      <c r="E45">
        <v>1.1447368421052583E-2</v>
      </c>
      <c r="F45">
        <v>6.8104154617312229E-3</v>
      </c>
      <c r="G45" s="40"/>
      <c r="H45" s="40"/>
      <c r="I45" s="40"/>
      <c r="J45" s="40"/>
      <c r="K45" s="40"/>
      <c r="L45" s="40"/>
      <c r="M45" s="40"/>
    </row>
    <row r="46" spans="1:13" x14ac:dyDescent="0.35">
      <c r="A46" t="s">
        <v>182</v>
      </c>
      <c r="B46" t="s">
        <v>218</v>
      </c>
      <c r="C46">
        <v>2.5196404472720155E-3</v>
      </c>
      <c r="D46">
        <v>1.9617794486215458E-2</v>
      </c>
      <c r="E46">
        <v>1.1447368421052583E-2</v>
      </c>
      <c r="F46">
        <v>6.8104154617312229E-3</v>
      </c>
      <c r="G46" s="40"/>
      <c r="H46" s="40"/>
      <c r="I46" s="40"/>
      <c r="J46" s="40"/>
      <c r="K46" s="40"/>
      <c r="L46" s="40"/>
      <c r="M46" s="40"/>
    </row>
    <row r="47" spans="1:13" x14ac:dyDescent="0.35">
      <c r="A47" t="s">
        <v>182</v>
      </c>
      <c r="B47" t="s">
        <v>214</v>
      </c>
      <c r="C47">
        <v>2.5196404472720155E-3</v>
      </c>
      <c r="D47">
        <v>1.9617794486215458E-2</v>
      </c>
      <c r="E47">
        <v>1.1447368421052583E-2</v>
      </c>
      <c r="F47">
        <v>6.8104154617312229E-3</v>
      </c>
      <c r="G47" s="40"/>
      <c r="H47" s="40"/>
      <c r="I47" s="40"/>
      <c r="J47" s="40"/>
      <c r="K47" s="40"/>
      <c r="L47" s="40"/>
      <c r="M47" s="40"/>
    </row>
    <row r="48" spans="1:13" x14ac:dyDescent="0.35">
      <c r="A48" t="s">
        <v>182</v>
      </c>
      <c r="B48" t="s">
        <v>213</v>
      </c>
      <c r="C48">
        <v>2.5196404472720155E-3</v>
      </c>
      <c r="D48">
        <v>1.9617794486215458E-2</v>
      </c>
      <c r="E48">
        <v>1.1447368421052583E-2</v>
      </c>
      <c r="F48">
        <v>6.8104154617312229E-3</v>
      </c>
      <c r="G48" s="40"/>
      <c r="H48" s="40"/>
      <c r="I48" s="40"/>
      <c r="J48" s="40"/>
      <c r="K48" s="40"/>
      <c r="L48" s="40"/>
      <c r="M48" s="40"/>
    </row>
    <row r="49" spans="1:24" x14ac:dyDescent="0.35">
      <c r="A49" t="s">
        <v>182</v>
      </c>
      <c r="B49" t="s">
        <v>215</v>
      </c>
      <c r="C49">
        <v>2.5196404472720155E-3</v>
      </c>
      <c r="D49">
        <v>1.9617794486215458E-2</v>
      </c>
      <c r="E49">
        <v>1.1447368421052583E-2</v>
      </c>
      <c r="F49">
        <v>6.8104154617312229E-3</v>
      </c>
      <c r="G49" s="40"/>
      <c r="H49" s="40"/>
      <c r="I49" s="40"/>
      <c r="J49" s="40"/>
      <c r="K49" s="40"/>
      <c r="L49" s="40"/>
      <c r="M49" s="40"/>
    </row>
    <row r="50" spans="1:24" x14ac:dyDescent="0.35">
      <c r="R50" s="40"/>
      <c r="S50" s="40"/>
      <c r="T50" s="40"/>
      <c r="U50" s="40"/>
      <c r="V50" s="40"/>
      <c r="W50" s="40"/>
      <c r="X50" s="40"/>
    </row>
    <row r="51" spans="1:24" x14ac:dyDescent="0.35">
      <c r="R51" s="40"/>
      <c r="S51" s="40"/>
      <c r="T51" s="40"/>
      <c r="U51" s="40"/>
      <c r="V51" s="40"/>
      <c r="W51" s="40"/>
      <c r="X51" s="40"/>
    </row>
    <row r="52" spans="1:24" x14ac:dyDescent="0.35">
      <c r="R52" s="40"/>
      <c r="S52" s="40"/>
      <c r="T52" s="40"/>
      <c r="U52" s="40"/>
      <c r="V52" s="40"/>
      <c r="W52" s="40"/>
      <c r="X52" s="40"/>
    </row>
    <row r="53" spans="1:24" x14ac:dyDescent="0.35">
      <c r="R53" s="40"/>
      <c r="S53" s="40"/>
      <c r="T53" s="40"/>
      <c r="U53" s="40"/>
      <c r="V53" s="40"/>
      <c r="W53" s="40"/>
      <c r="X53" s="40"/>
    </row>
    <row r="54" spans="1:24" x14ac:dyDescent="0.35">
      <c r="R54" s="40"/>
      <c r="S54" s="40"/>
      <c r="T54" s="40"/>
      <c r="U54" s="40"/>
      <c r="V54" s="40"/>
      <c r="W54" s="40"/>
      <c r="X54" s="40"/>
    </row>
    <row r="55" spans="1:24" x14ac:dyDescent="0.35">
      <c r="R55" s="40"/>
      <c r="S55" s="40"/>
      <c r="T55" s="40"/>
      <c r="U55" s="40"/>
      <c r="V55" s="40"/>
      <c r="W55" s="40"/>
      <c r="X55" s="40"/>
    </row>
    <row r="56" spans="1:24" x14ac:dyDescent="0.35">
      <c r="R56" s="40"/>
      <c r="S56" s="40"/>
      <c r="T56" s="40"/>
      <c r="U56" s="40"/>
      <c r="V56" s="40"/>
      <c r="W56" s="40"/>
      <c r="X56" s="40"/>
    </row>
    <row r="57" spans="1:24" x14ac:dyDescent="0.35">
      <c r="R57" s="40"/>
      <c r="S57" s="40"/>
      <c r="T57" s="40"/>
      <c r="U57" s="40"/>
      <c r="V57" s="40"/>
      <c r="W57" s="40"/>
      <c r="X57" s="40"/>
    </row>
    <row r="58" spans="1:24" x14ac:dyDescent="0.35">
      <c r="R58" s="40"/>
      <c r="S58" s="40"/>
      <c r="T58" s="40"/>
      <c r="U58" s="40"/>
      <c r="V58" s="40"/>
      <c r="W58" s="40"/>
      <c r="X58" s="40"/>
    </row>
    <row r="59" spans="1:24" x14ac:dyDescent="0.35">
      <c r="R59" s="40"/>
      <c r="S59" s="40"/>
      <c r="T59" s="40"/>
      <c r="U59" s="40"/>
      <c r="V59" s="40"/>
      <c r="W59" s="40"/>
      <c r="X59" s="40"/>
    </row>
    <row r="60" spans="1:24" x14ac:dyDescent="0.35">
      <c r="R60" s="40"/>
      <c r="S60" s="40"/>
      <c r="T60" s="40"/>
      <c r="U60" s="40"/>
      <c r="V60" s="40"/>
      <c r="W60" s="40"/>
      <c r="X60" s="40"/>
    </row>
    <row r="61" spans="1:24" x14ac:dyDescent="0.35">
      <c r="R61" s="40"/>
      <c r="S61" s="40"/>
      <c r="T61" s="40"/>
      <c r="U61" s="40"/>
      <c r="V61" s="40"/>
      <c r="W61" s="40"/>
      <c r="X61" s="40"/>
    </row>
    <row r="62" spans="1:24" x14ac:dyDescent="0.35">
      <c r="R62" s="40"/>
      <c r="S62" s="40"/>
      <c r="T62" s="40"/>
      <c r="U62" s="40"/>
      <c r="V62" s="40"/>
      <c r="W62" s="40"/>
      <c r="X62" s="40"/>
    </row>
    <row r="63" spans="1:24" x14ac:dyDescent="0.35">
      <c r="R63" s="40"/>
      <c r="S63" s="40"/>
      <c r="T63" s="40"/>
      <c r="U63" s="40"/>
      <c r="V63" s="40"/>
      <c r="W63" s="40"/>
      <c r="X63" s="40"/>
    </row>
    <row r="64" spans="1:24" x14ac:dyDescent="0.35">
      <c r="R64" s="40"/>
      <c r="S64" s="40"/>
      <c r="T64" s="40"/>
      <c r="U64" s="40"/>
      <c r="V64" s="40"/>
      <c r="W64" s="40"/>
      <c r="X64" s="40"/>
    </row>
    <row r="65" spans="18:24" x14ac:dyDescent="0.35">
      <c r="R65" s="40"/>
      <c r="S65" s="40"/>
      <c r="T65" s="40"/>
      <c r="U65" s="40"/>
      <c r="V65" s="40"/>
      <c r="W65" s="40"/>
      <c r="X65" s="40"/>
    </row>
    <row r="66" spans="18:24" x14ac:dyDescent="0.35">
      <c r="R66" s="40"/>
      <c r="S66" s="40"/>
      <c r="T66" s="40"/>
      <c r="U66" s="40"/>
      <c r="V66" s="40"/>
      <c r="W66" s="40"/>
      <c r="X66" s="40"/>
    </row>
    <row r="67" spans="18:24" x14ac:dyDescent="0.35">
      <c r="R67" s="40"/>
      <c r="S67" s="40"/>
      <c r="T67" s="40"/>
      <c r="U67" s="40"/>
      <c r="V67" s="40"/>
      <c r="W67" s="40"/>
      <c r="X67" s="40"/>
    </row>
    <row r="68" spans="18:24" x14ac:dyDescent="0.35">
      <c r="R68" s="40"/>
      <c r="S68" s="40"/>
      <c r="T68" s="40"/>
      <c r="U68" s="40"/>
      <c r="V68" s="40"/>
      <c r="W68" s="40"/>
      <c r="X68" s="40"/>
    </row>
    <row r="69" spans="18:24" x14ac:dyDescent="0.35">
      <c r="R69" s="40"/>
      <c r="S69" s="40"/>
      <c r="T69" s="40"/>
      <c r="U69" s="40"/>
      <c r="V69" s="40"/>
      <c r="W69" s="40"/>
      <c r="X69" s="40"/>
    </row>
    <row r="70" spans="18:24" x14ac:dyDescent="0.35">
      <c r="R70" s="40"/>
      <c r="S70" s="40"/>
      <c r="T70" s="40"/>
      <c r="U70" s="40"/>
      <c r="V70" s="40"/>
      <c r="W70" s="40"/>
      <c r="X70" s="40"/>
    </row>
    <row r="71" spans="18:24" x14ac:dyDescent="0.35">
      <c r="R71" s="40"/>
      <c r="S71" s="40"/>
      <c r="T71" s="40"/>
      <c r="U71" s="40"/>
      <c r="V71" s="40"/>
      <c r="W71" s="40"/>
      <c r="X71" s="40"/>
    </row>
    <row r="72" spans="18:24" x14ac:dyDescent="0.35">
      <c r="R72" s="40"/>
      <c r="S72" s="40"/>
      <c r="T72" s="40"/>
      <c r="U72" s="40"/>
      <c r="V72" s="40"/>
      <c r="W72" s="40"/>
      <c r="X72" s="40"/>
    </row>
    <row r="73" spans="18:24" x14ac:dyDescent="0.35">
      <c r="R73" s="40"/>
      <c r="S73" s="40"/>
      <c r="T73" s="40"/>
      <c r="U73" s="40"/>
      <c r="V73" s="40"/>
      <c r="W73" s="40"/>
      <c r="X73" s="40"/>
    </row>
    <row r="74" spans="18:24" x14ac:dyDescent="0.35">
      <c r="R74" s="40"/>
      <c r="S74" s="40"/>
      <c r="T74" s="40"/>
      <c r="U74" s="40"/>
      <c r="V74" s="40"/>
      <c r="W74" s="40"/>
      <c r="X74" s="40"/>
    </row>
    <row r="75" spans="18:24" x14ac:dyDescent="0.35">
      <c r="R75" s="40"/>
      <c r="S75" s="40"/>
      <c r="T75" s="40"/>
      <c r="U75" s="40"/>
      <c r="V75" s="40"/>
      <c r="W75" s="40"/>
      <c r="X75" s="40"/>
    </row>
    <row r="76" spans="18:24" x14ac:dyDescent="0.35">
      <c r="R76" s="40"/>
      <c r="S76" s="40"/>
      <c r="T76" s="40"/>
      <c r="U76" s="40"/>
      <c r="V76" s="40"/>
      <c r="W76" s="40"/>
      <c r="X76" s="40"/>
    </row>
    <row r="77" spans="18:24" x14ac:dyDescent="0.35">
      <c r="R77" s="40"/>
      <c r="S77" s="40"/>
      <c r="T77" s="40"/>
      <c r="U77" s="40"/>
      <c r="V77" s="40"/>
      <c r="W77" s="40"/>
      <c r="X77" s="40"/>
    </row>
    <row r="78" spans="18:24" x14ac:dyDescent="0.35">
      <c r="R78" s="40"/>
      <c r="S78" s="40"/>
      <c r="T78" s="40"/>
      <c r="U78" s="40"/>
      <c r="V78" s="40"/>
      <c r="W78" s="40"/>
      <c r="X78" s="40"/>
    </row>
    <row r="79" spans="18:24" x14ac:dyDescent="0.35">
      <c r="R79" s="40"/>
      <c r="S79" s="40"/>
      <c r="T79" s="40"/>
      <c r="U79" s="40"/>
      <c r="V79" s="40"/>
      <c r="W79" s="40"/>
      <c r="X79" s="40"/>
    </row>
    <row r="80" spans="18:24" x14ac:dyDescent="0.35">
      <c r="R80" s="40"/>
      <c r="S80" s="40"/>
      <c r="T80" s="40"/>
      <c r="U80" s="40"/>
      <c r="V80" s="40"/>
      <c r="W80" s="40"/>
      <c r="X80" s="40"/>
    </row>
    <row r="81" spans="18:24" x14ac:dyDescent="0.35">
      <c r="R81" s="40"/>
      <c r="S81" s="40"/>
      <c r="T81" s="40"/>
      <c r="U81" s="40"/>
      <c r="V81" s="40"/>
      <c r="W81" s="40"/>
      <c r="X81" s="40"/>
    </row>
    <row r="82" spans="18:24" x14ac:dyDescent="0.35">
      <c r="R82" s="40"/>
      <c r="S82" s="40"/>
      <c r="T82" s="40"/>
      <c r="U82" s="40"/>
      <c r="V82" s="40"/>
      <c r="W82" s="40"/>
      <c r="X82" s="40"/>
    </row>
    <row r="83" spans="18:24" x14ac:dyDescent="0.35">
      <c r="R83" s="40"/>
      <c r="S83" s="40"/>
      <c r="T83" s="40"/>
      <c r="U83" s="40"/>
      <c r="V83" s="40"/>
      <c r="W83" s="40"/>
      <c r="X83" s="40"/>
    </row>
    <row r="84" spans="18:24" x14ac:dyDescent="0.35">
      <c r="R84" s="40"/>
      <c r="S84" s="40"/>
      <c r="T84" s="40"/>
      <c r="U84" s="40"/>
      <c r="V84" s="40"/>
      <c r="W84" s="40"/>
      <c r="X84" s="40"/>
    </row>
    <row r="85" spans="18:24" x14ac:dyDescent="0.35">
      <c r="R85" s="40"/>
      <c r="S85" s="40"/>
      <c r="T85" s="40"/>
      <c r="U85" s="40"/>
      <c r="V85" s="40"/>
      <c r="W85" s="40"/>
      <c r="X85" s="40"/>
    </row>
    <row r="86" spans="18:24" x14ac:dyDescent="0.35">
      <c r="R86" s="40"/>
      <c r="S86" s="40"/>
      <c r="T86" s="40"/>
      <c r="U86" s="40"/>
      <c r="V86" s="40"/>
      <c r="W86" s="40"/>
      <c r="X86" s="40"/>
    </row>
    <row r="87" spans="18:24" x14ac:dyDescent="0.35">
      <c r="R87" s="40"/>
      <c r="S87" s="40"/>
      <c r="T87" s="40"/>
      <c r="U87" s="40"/>
      <c r="V87" s="40"/>
      <c r="W87" s="40"/>
      <c r="X87" s="40"/>
    </row>
    <row r="88" spans="18:24" x14ac:dyDescent="0.35">
      <c r="R88" s="40"/>
      <c r="S88" s="40"/>
      <c r="T88" s="40"/>
      <c r="U88" s="40"/>
      <c r="V88" s="40"/>
      <c r="W88" s="40"/>
      <c r="X88" s="40"/>
    </row>
    <row r="89" spans="18:24" x14ac:dyDescent="0.35">
      <c r="R89" s="40"/>
      <c r="S89" s="40"/>
      <c r="T89" s="40"/>
      <c r="U89" s="40"/>
      <c r="V89" s="40"/>
      <c r="W89" s="40"/>
      <c r="X89" s="40"/>
    </row>
    <row r="90" spans="18:24" x14ac:dyDescent="0.35">
      <c r="R90" s="40"/>
      <c r="S90" s="40"/>
      <c r="T90" s="40"/>
      <c r="U90" s="40"/>
      <c r="V90" s="40"/>
      <c r="W90" s="40"/>
      <c r="X90" s="40"/>
    </row>
    <row r="91" spans="18:24" x14ac:dyDescent="0.35">
      <c r="R91" s="40"/>
      <c r="S91" s="40"/>
      <c r="T91" s="40"/>
      <c r="U91" s="40"/>
      <c r="V91" s="40"/>
      <c r="W91" s="40"/>
      <c r="X91" s="40"/>
    </row>
    <row r="92" spans="18:24" x14ac:dyDescent="0.35">
      <c r="R92" s="40"/>
      <c r="S92" s="40"/>
      <c r="T92" s="40"/>
      <c r="U92" s="40"/>
      <c r="V92" s="40"/>
      <c r="W92" s="40"/>
      <c r="X92" s="40"/>
    </row>
    <row r="93" spans="18:24" x14ac:dyDescent="0.35">
      <c r="R93" s="40"/>
      <c r="S93" s="40"/>
      <c r="T93" s="40"/>
      <c r="U93" s="40"/>
      <c r="V93" s="40"/>
      <c r="W93" s="40"/>
      <c r="X93" s="40"/>
    </row>
    <row r="94" spans="18:24" x14ac:dyDescent="0.35">
      <c r="R94" s="40"/>
      <c r="S94" s="40"/>
      <c r="T94" s="40"/>
      <c r="U94" s="40"/>
      <c r="V94" s="40"/>
      <c r="W94" s="40"/>
      <c r="X94" s="40"/>
    </row>
    <row r="95" spans="18:24" x14ac:dyDescent="0.35">
      <c r="R95" s="40"/>
      <c r="S95" s="40"/>
      <c r="T95" s="40"/>
      <c r="U95" s="40"/>
      <c r="V95" s="40"/>
      <c r="W95" s="40"/>
      <c r="X95" s="40"/>
    </row>
    <row r="96" spans="18:24" x14ac:dyDescent="0.35">
      <c r="R96" s="40"/>
      <c r="S96" s="40"/>
      <c r="T96" s="40"/>
      <c r="U96" s="40"/>
      <c r="V96" s="40"/>
      <c r="W96" s="40"/>
      <c r="X96" s="40"/>
    </row>
    <row r="97" spans="18:24" x14ac:dyDescent="0.35">
      <c r="R97" s="40"/>
      <c r="S97" s="40"/>
      <c r="T97" s="40"/>
      <c r="U97" s="40"/>
      <c r="V97" s="40"/>
      <c r="W97" s="40"/>
      <c r="X97" s="40"/>
    </row>
    <row r="98" spans="18:24" x14ac:dyDescent="0.35">
      <c r="R98" s="40"/>
      <c r="S98" s="40"/>
      <c r="T98" s="40"/>
      <c r="U98" s="40"/>
      <c r="V98" s="40"/>
      <c r="W98" s="40"/>
      <c r="X98" s="40"/>
    </row>
    <row r="99" spans="18:24" x14ac:dyDescent="0.35">
      <c r="R99" s="40"/>
      <c r="S99" s="40"/>
      <c r="T99" s="40"/>
      <c r="U99" s="40"/>
      <c r="V99" s="40"/>
      <c r="W99" s="40"/>
      <c r="X99" s="40"/>
    </row>
    <row r="100" spans="18:24" x14ac:dyDescent="0.35">
      <c r="R100" s="40"/>
      <c r="S100" s="40"/>
      <c r="T100" s="40"/>
      <c r="U100" s="40"/>
      <c r="V100" s="40"/>
      <c r="W100" s="40"/>
      <c r="X100" s="40"/>
    </row>
    <row r="101" spans="18:24" x14ac:dyDescent="0.35">
      <c r="R101" s="40"/>
      <c r="S101" s="40"/>
      <c r="T101" s="40"/>
      <c r="U101" s="40"/>
      <c r="V101" s="40"/>
      <c r="W101" s="40"/>
      <c r="X101" s="40"/>
    </row>
    <row r="102" spans="18:24" x14ac:dyDescent="0.35">
      <c r="R102" s="40"/>
      <c r="S102" s="40"/>
      <c r="T102" s="40"/>
      <c r="U102" s="40"/>
      <c r="V102" s="40"/>
      <c r="W102" s="40"/>
      <c r="X102" s="40"/>
    </row>
    <row r="103" spans="18:24" x14ac:dyDescent="0.35">
      <c r="R103" s="40"/>
      <c r="S103" s="40"/>
      <c r="T103" s="40"/>
      <c r="U103" s="40"/>
      <c r="V103" s="40"/>
      <c r="W103" s="40"/>
      <c r="X103" s="40"/>
    </row>
    <row r="104" spans="18:24" x14ac:dyDescent="0.35">
      <c r="R104" s="40"/>
      <c r="S104" s="40"/>
      <c r="T104" s="40"/>
      <c r="U104" s="40"/>
      <c r="V104" s="40"/>
      <c r="W104" s="40"/>
      <c r="X104" s="40"/>
    </row>
    <row r="105" spans="18:24" x14ac:dyDescent="0.35">
      <c r="R105" s="40"/>
      <c r="S105" s="40"/>
      <c r="T105" s="40"/>
      <c r="U105" s="40"/>
      <c r="V105" s="40"/>
      <c r="W105" s="40"/>
      <c r="X105" s="40"/>
    </row>
    <row r="106" spans="18:24" x14ac:dyDescent="0.35">
      <c r="R106" s="40"/>
      <c r="S106" s="40"/>
      <c r="T106" s="40"/>
      <c r="U106" s="40"/>
      <c r="V106" s="40"/>
      <c r="W106" s="40"/>
      <c r="X106" s="40"/>
    </row>
    <row r="107" spans="18:24" x14ac:dyDescent="0.35">
      <c r="R107" s="40"/>
      <c r="S107" s="40"/>
      <c r="T107" s="40"/>
      <c r="U107" s="40"/>
      <c r="V107" s="40"/>
      <c r="W107" s="40"/>
      <c r="X107" s="40"/>
    </row>
    <row r="108" spans="18:24" x14ac:dyDescent="0.35">
      <c r="R108" s="40"/>
      <c r="S108" s="40"/>
      <c r="T108" s="40"/>
      <c r="U108" s="40"/>
      <c r="V108" s="40"/>
      <c r="W108" s="40"/>
      <c r="X108" s="40"/>
    </row>
    <row r="109" spans="18:24" x14ac:dyDescent="0.35">
      <c r="R109" s="40"/>
      <c r="S109" s="40"/>
      <c r="T109" s="40"/>
      <c r="U109" s="40"/>
      <c r="V109" s="40"/>
      <c r="W109" s="40"/>
      <c r="X109" s="40"/>
    </row>
    <row r="110" spans="18:24" x14ac:dyDescent="0.35">
      <c r="R110" s="40"/>
      <c r="S110" s="40"/>
      <c r="T110" s="40"/>
      <c r="U110" s="40"/>
      <c r="V110" s="40"/>
      <c r="W110" s="40"/>
      <c r="X110" s="40"/>
    </row>
    <row r="111" spans="18:24" x14ac:dyDescent="0.35">
      <c r="R111" s="40"/>
      <c r="S111" s="40"/>
      <c r="T111" s="40"/>
      <c r="U111" s="40"/>
      <c r="V111" s="40"/>
      <c r="W111" s="40"/>
      <c r="X111" s="40"/>
    </row>
    <row r="112" spans="18:24" x14ac:dyDescent="0.35">
      <c r="R112" s="40"/>
      <c r="S112" s="40"/>
      <c r="T112" s="40"/>
      <c r="U112" s="40"/>
      <c r="V112" s="40"/>
      <c r="W112" s="40"/>
      <c r="X112" s="40"/>
    </row>
    <row r="113" spans="18:24" x14ac:dyDescent="0.35">
      <c r="R113" s="40"/>
      <c r="S113" s="40"/>
      <c r="T113" s="40"/>
      <c r="U113" s="40"/>
      <c r="V113" s="40"/>
      <c r="W113" s="40"/>
      <c r="X113" s="40"/>
    </row>
    <row r="114" spans="18:24" x14ac:dyDescent="0.35">
      <c r="R114" s="40"/>
      <c r="S114" s="40"/>
      <c r="T114" s="40"/>
      <c r="U114" s="40"/>
      <c r="V114" s="40"/>
      <c r="W114" s="40"/>
      <c r="X114" s="40"/>
    </row>
    <row r="115" spans="18:24" x14ac:dyDescent="0.35">
      <c r="R115" s="40"/>
      <c r="S115" s="40"/>
      <c r="T115" s="40"/>
      <c r="U115" s="40"/>
      <c r="V115" s="40"/>
      <c r="W115" s="40"/>
      <c r="X115" s="40"/>
    </row>
    <row r="116" spans="18:24" x14ac:dyDescent="0.35">
      <c r="R116" s="40"/>
      <c r="S116" s="40"/>
      <c r="T116" s="40"/>
      <c r="U116" s="40"/>
      <c r="V116" s="40"/>
      <c r="W116" s="40"/>
      <c r="X116" s="40"/>
    </row>
    <row r="117" spans="18:24" x14ac:dyDescent="0.35">
      <c r="R117" s="40"/>
      <c r="S117" s="40"/>
      <c r="T117" s="40"/>
      <c r="U117" s="40"/>
      <c r="V117" s="40"/>
      <c r="W117" s="40"/>
      <c r="X117" s="40"/>
    </row>
    <row r="118" spans="18:24" x14ac:dyDescent="0.35">
      <c r="R118" s="40"/>
      <c r="S118" s="40"/>
      <c r="T118" s="40"/>
      <c r="U118" s="40"/>
      <c r="V118" s="40"/>
      <c r="W118" s="40"/>
      <c r="X118" s="40"/>
    </row>
    <row r="119" spans="18:24" x14ac:dyDescent="0.35">
      <c r="R119" s="40"/>
      <c r="S119" s="40"/>
      <c r="T119" s="40"/>
      <c r="U119" s="40"/>
      <c r="V119" s="40"/>
      <c r="W119" s="40"/>
      <c r="X119" s="40"/>
    </row>
    <row r="120" spans="18:24" x14ac:dyDescent="0.35">
      <c r="R120" s="40"/>
      <c r="S120" s="40"/>
      <c r="T120" s="40"/>
      <c r="U120" s="40"/>
      <c r="V120" s="40"/>
      <c r="W120" s="40"/>
      <c r="X120" s="40"/>
    </row>
    <row r="121" spans="18:24" x14ac:dyDescent="0.35">
      <c r="R121" s="40"/>
      <c r="S121" s="40"/>
      <c r="T121" s="40"/>
      <c r="U121" s="40"/>
      <c r="V121" s="40"/>
      <c r="W121" s="40"/>
      <c r="X121" s="40"/>
    </row>
    <row r="122" spans="18:24" x14ac:dyDescent="0.35">
      <c r="R122" s="40"/>
      <c r="S122" s="40"/>
      <c r="T122" s="40"/>
      <c r="U122" s="40"/>
      <c r="V122" s="40"/>
      <c r="W122" s="40"/>
      <c r="X122" s="40"/>
    </row>
    <row r="123" spans="18:24" x14ac:dyDescent="0.35">
      <c r="R123" s="40"/>
      <c r="S123" s="40"/>
      <c r="T123" s="40"/>
      <c r="U123" s="40"/>
      <c r="V123" s="40"/>
      <c r="W123" s="40"/>
      <c r="X123" s="40"/>
    </row>
    <row r="124" spans="18:24" x14ac:dyDescent="0.35">
      <c r="R124" s="40"/>
      <c r="S124" s="40"/>
      <c r="T124" s="40"/>
      <c r="U124" s="40"/>
      <c r="V124" s="40"/>
      <c r="W124" s="40"/>
      <c r="X124" s="40"/>
    </row>
    <row r="125" spans="18:24" x14ac:dyDescent="0.35">
      <c r="R125" s="40"/>
      <c r="S125" s="40"/>
      <c r="T125" s="40"/>
      <c r="U125" s="40"/>
      <c r="V125" s="40"/>
      <c r="W125" s="40"/>
      <c r="X125" s="40"/>
    </row>
    <row r="126" spans="18:24" x14ac:dyDescent="0.35">
      <c r="R126" s="40"/>
      <c r="S126" s="40"/>
      <c r="T126" s="40"/>
      <c r="U126" s="40"/>
      <c r="V126" s="40"/>
      <c r="W126" s="40"/>
      <c r="X126" s="40"/>
    </row>
    <row r="127" spans="18:24" x14ac:dyDescent="0.35">
      <c r="R127" s="40"/>
      <c r="S127" s="40"/>
      <c r="T127" s="40"/>
      <c r="U127" s="40"/>
      <c r="V127" s="40"/>
      <c r="W127" s="40"/>
      <c r="X127" s="40"/>
    </row>
    <row r="128" spans="18:24" x14ac:dyDescent="0.35">
      <c r="R128" s="40"/>
      <c r="S128" s="40"/>
      <c r="T128" s="40"/>
      <c r="U128" s="40"/>
      <c r="V128" s="40"/>
      <c r="W128" s="40"/>
      <c r="X128" s="40"/>
    </row>
    <row r="129" spans="18:24" x14ac:dyDescent="0.35">
      <c r="R129" s="40"/>
      <c r="S129" s="40"/>
      <c r="T129" s="40"/>
      <c r="U129" s="40"/>
      <c r="V129" s="40"/>
      <c r="W129" s="40"/>
      <c r="X129" s="40"/>
    </row>
    <row r="130" spans="18:24" x14ac:dyDescent="0.35">
      <c r="R130" s="40"/>
      <c r="S130" s="40"/>
      <c r="T130" s="40"/>
      <c r="U130" s="40"/>
      <c r="V130" s="40"/>
      <c r="W130" s="40"/>
      <c r="X130" s="40"/>
    </row>
    <row r="131" spans="18:24" x14ac:dyDescent="0.35">
      <c r="R131" s="40"/>
      <c r="S131" s="40"/>
      <c r="T131" s="40"/>
      <c r="U131" s="40"/>
      <c r="V131" s="40"/>
      <c r="W131" s="40"/>
      <c r="X131" s="40"/>
    </row>
    <row r="132" spans="18:24" x14ac:dyDescent="0.35">
      <c r="R132" s="40"/>
      <c r="S132" s="40"/>
      <c r="T132" s="40"/>
      <c r="U132" s="40"/>
      <c r="V132" s="40"/>
      <c r="W132" s="40"/>
      <c r="X132" s="40"/>
    </row>
    <row r="133" spans="18:24" x14ac:dyDescent="0.35">
      <c r="R133" s="40"/>
      <c r="S133" s="40"/>
      <c r="T133" s="40"/>
      <c r="U133" s="40"/>
      <c r="V133" s="40"/>
      <c r="W133" s="40"/>
      <c r="X133" s="40"/>
    </row>
    <row r="134" spans="18:24" x14ac:dyDescent="0.35">
      <c r="R134" s="40"/>
      <c r="S134" s="40"/>
      <c r="T134" s="40"/>
      <c r="U134" s="40"/>
      <c r="V134" s="40"/>
      <c r="W134" s="40"/>
      <c r="X134" s="40"/>
    </row>
    <row r="135" spans="18:24" x14ac:dyDescent="0.35">
      <c r="R135" s="40"/>
      <c r="S135" s="40"/>
      <c r="T135" s="40"/>
      <c r="U135" s="40"/>
      <c r="V135" s="40"/>
      <c r="W135" s="40"/>
      <c r="X135" s="40"/>
    </row>
    <row r="136" spans="18:24" x14ac:dyDescent="0.35">
      <c r="R136" s="40"/>
      <c r="S136" s="40"/>
      <c r="T136" s="40"/>
      <c r="U136" s="40"/>
      <c r="V136" s="40"/>
      <c r="W136" s="40"/>
      <c r="X136" s="40"/>
    </row>
    <row r="137" spans="18:24" x14ac:dyDescent="0.35">
      <c r="R137" s="40"/>
      <c r="S137" s="40"/>
      <c r="T137" s="40"/>
      <c r="U137" s="40"/>
      <c r="V137" s="40"/>
      <c r="W137" s="40"/>
      <c r="X137" s="40"/>
    </row>
    <row r="138" spans="18:24" x14ac:dyDescent="0.35">
      <c r="R138" s="40"/>
      <c r="S138" s="40"/>
      <c r="T138" s="40"/>
      <c r="U138" s="40"/>
      <c r="V138" s="40"/>
      <c r="W138" s="40"/>
      <c r="X138" s="40"/>
    </row>
    <row r="139" spans="18:24" x14ac:dyDescent="0.35">
      <c r="R139" s="40"/>
      <c r="S139" s="40"/>
      <c r="T139" s="40"/>
      <c r="U139" s="40"/>
      <c r="V139" s="40"/>
      <c r="W139" s="40"/>
      <c r="X139" s="40"/>
    </row>
    <row r="140" spans="18:24" x14ac:dyDescent="0.35">
      <c r="R140" s="40"/>
      <c r="S140" s="40"/>
      <c r="T140" s="40"/>
      <c r="U140" s="40"/>
      <c r="V140" s="40"/>
      <c r="W140" s="40"/>
      <c r="X140" s="40"/>
    </row>
    <row r="141" spans="18:24" x14ac:dyDescent="0.35">
      <c r="R141" s="40"/>
      <c r="S141" s="40"/>
      <c r="T141" s="40"/>
      <c r="U141" s="40"/>
      <c r="V141" s="40"/>
      <c r="W141" s="40"/>
      <c r="X141" s="40"/>
    </row>
    <row r="142" spans="18:24" x14ac:dyDescent="0.35">
      <c r="R142" s="40"/>
      <c r="S142" s="40"/>
      <c r="T142" s="40"/>
      <c r="U142" s="40"/>
      <c r="V142" s="40"/>
      <c r="W142" s="40"/>
      <c r="X142" s="40"/>
    </row>
    <row r="143" spans="18:24" x14ac:dyDescent="0.35">
      <c r="R143" s="40"/>
      <c r="S143" s="40"/>
      <c r="T143" s="40"/>
      <c r="U143" s="40"/>
      <c r="V143" s="40"/>
      <c r="W143" s="40"/>
      <c r="X143" s="40"/>
    </row>
    <row r="144" spans="18:24" x14ac:dyDescent="0.35">
      <c r="R144" s="40"/>
      <c r="S144" s="40"/>
      <c r="T144" s="40"/>
      <c r="U144" s="40"/>
      <c r="V144" s="40"/>
      <c r="W144" s="40"/>
      <c r="X144" s="40"/>
    </row>
    <row r="145" spans="18:24" x14ac:dyDescent="0.35">
      <c r="R145" s="40"/>
      <c r="S145" s="40"/>
      <c r="T145" s="40"/>
      <c r="U145" s="40"/>
      <c r="V145" s="40"/>
      <c r="W145" s="40"/>
      <c r="X145" s="40"/>
    </row>
    <row r="146" spans="18:24" x14ac:dyDescent="0.35">
      <c r="R146" s="40"/>
      <c r="S146" s="40"/>
      <c r="T146" s="40"/>
      <c r="U146" s="40"/>
      <c r="V146" s="40"/>
      <c r="W146" s="40"/>
      <c r="X146" s="40"/>
    </row>
    <row r="147" spans="18:24" x14ac:dyDescent="0.35">
      <c r="R147" s="40"/>
      <c r="S147" s="40"/>
      <c r="T147" s="40"/>
      <c r="U147" s="40"/>
      <c r="V147" s="40"/>
      <c r="W147" s="40"/>
      <c r="X147" s="40"/>
    </row>
    <row r="148" spans="18:24" x14ac:dyDescent="0.35">
      <c r="R148" s="40"/>
      <c r="S148" s="40"/>
      <c r="T148" s="40"/>
      <c r="U148" s="40"/>
      <c r="V148" s="40"/>
      <c r="W148" s="40"/>
      <c r="X148" s="40"/>
    </row>
    <row r="149" spans="18:24" x14ac:dyDescent="0.35">
      <c r="R149" s="40"/>
      <c r="S149" s="40"/>
      <c r="T149" s="40"/>
      <c r="U149" s="40"/>
      <c r="V149" s="40"/>
      <c r="W149" s="40"/>
      <c r="X149" s="40"/>
    </row>
    <row r="150" spans="18:24" x14ac:dyDescent="0.35">
      <c r="R150" s="40"/>
      <c r="S150" s="40"/>
      <c r="T150" s="40"/>
      <c r="U150" s="40"/>
      <c r="V150" s="40"/>
      <c r="W150" s="40"/>
      <c r="X150" s="40"/>
    </row>
    <row r="151" spans="18:24" x14ac:dyDescent="0.35">
      <c r="R151" s="40"/>
      <c r="S151" s="40"/>
      <c r="T151" s="40"/>
      <c r="U151" s="40"/>
      <c r="V151" s="40"/>
      <c r="W151" s="40"/>
      <c r="X151" s="40"/>
    </row>
    <row r="152" spans="18:24" x14ac:dyDescent="0.35">
      <c r="R152" s="40"/>
      <c r="S152" s="40"/>
      <c r="T152" s="40"/>
      <c r="U152" s="40"/>
      <c r="V152" s="40"/>
      <c r="W152" s="40"/>
      <c r="X152" s="40"/>
    </row>
    <row r="153" spans="18:24" x14ac:dyDescent="0.35">
      <c r="R153" s="40"/>
      <c r="S153" s="40"/>
      <c r="T153" s="40"/>
      <c r="U153" s="40"/>
      <c r="V153" s="40"/>
      <c r="W153" s="40"/>
      <c r="X153" s="40"/>
    </row>
    <row r="154" spans="18:24" x14ac:dyDescent="0.35">
      <c r="R154" s="40"/>
      <c r="S154" s="40"/>
      <c r="T154" s="40"/>
      <c r="U154" s="40"/>
      <c r="V154" s="40"/>
      <c r="W154" s="40"/>
      <c r="X154" s="40"/>
    </row>
    <row r="155" spans="18:24" x14ac:dyDescent="0.35">
      <c r="R155" s="40"/>
      <c r="S155" s="40"/>
      <c r="T155" s="40"/>
      <c r="U155" s="40"/>
      <c r="V155" s="40"/>
      <c r="W155" s="40"/>
      <c r="X155" s="40"/>
    </row>
    <row r="156" spans="18:24" x14ac:dyDescent="0.35">
      <c r="R156" s="40"/>
      <c r="S156" s="40"/>
      <c r="T156" s="40"/>
      <c r="U156" s="40"/>
      <c r="V156" s="40"/>
      <c r="W156" s="40"/>
      <c r="X156" s="40"/>
    </row>
    <row r="157" spans="18:24" x14ac:dyDescent="0.35">
      <c r="R157" s="40"/>
      <c r="S157" s="40"/>
      <c r="T157" s="40"/>
      <c r="U157" s="40"/>
      <c r="V157" s="40"/>
      <c r="W157" s="40"/>
      <c r="X157" s="40"/>
    </row>
    <row r="158" spans="18:24" x14ac:dyDescent="0.35">
      <c r="R158" s="40"/>
      <c r="S158" s="40"/>
      <c r="T158" s="40"/>
      <c r="U158" s="40"/>
      <c r="V158" s="40"/>
      <c r="W158" s="40"/>
      <c r="X158" s="40"/>
    </row>
    <row r="159" spans="18:24" x14ac:dyDescent="0.35">
      <c r="R159" s="40"/>
      <c r="S159" s="40"/>
      <c r="T159" s="40"/>
      <c r="U159" s="40"/>
      <c r="V159" s="40"/>
      <c r="W159" s="40"/>
      <c r="X159" s="40"/>
    </row>
    <row r="160" spans="18:24" x14ac:dyDescent="0.35">
      <c r="R160" s="40"/>
      <c r="S160" s="40"/>
      <c r="T160" s="40"/>
      <c r="U160" s="40"/>
      <c r="V160" s="40"/>
      <c r="W160" s="40"/>
      <c r="X160" s="40"/>
    </row>
    <row r="161" spans="18:24" x14ac:dyDescent="0.35">
      <c r="R161" s="40"/>
      <c r="S161" s="40"/>
      <c r="T161" s="40"/>
      <c r="U161" s="40"/>
      <c r="V161" s="40"/>
      <c r="W161" s="40"/>
      <c r="X161" s="40"/>
    </row>
    <row r="162" spans="18:24" x14ac:dyDescent="0.35">
      <c r="R162" s="40"/>
      <c r="S162" s="40"/>
      <c r="T162" s="40"/>
      <c r="U162" s="40"/>
      <c r="V162" s="40"/>
      <c r="W162" s="40"/>
      <c r="X162" s="40"/>
    </row>
    <row r="163" spans="18:24" x14ac:dyDescent="0.35">
      <c r="R163" s="40"/>
      <c r="S163" s="40"/>
      <c r="T163" s="40"/>
      <c r="U163" s="40"/>
      <c r="V163" s="40"/>
      <c r="W163" s="40"/>
      <c r="X163" s="40"/>
    </row>
    <row r="164" spans="18:24" x14ac:dyDescent="0.35">
      <c r="R164" s="40"/>
      <c r="S164" s="40"/>
      <c r="T164" s="40"/>
      <c r="U164" s="40"/>
      <c r="V164" s="40"/>
      <c r="W164" s="40"/>
      <c r="X164" s="40"/>
    </row>
    <row r="165" spans="18:24" x14ac:dyDescent="0.35">
      <c r="R165" s="40"/>
      <c r="S165" s="40"/>
      <c r="T165" s="40"/>
      <c r="U165" s="40"/>
      <c r="V165" s="40"/>
      <c r="W165" s="40"/>
      <c r="X165" s="40"/>
    </row>
    <row r="166" spans="18:24" x14ac:dyDescent="0.35">
      <c r="R166" s="40"/>
      <c r="S166" s="40"/>
      <c r="T166" s="40"/>
      <c r="U166" s="40"/>
      <c r="V166" s="40"/>
      <c r="W166" s="40"/>
      <c r="X166" s="40"/>
    </row>
    <row r="167" spans="18:24" x14ac:dyDescent="0.35">
      <c r="R167" s="40"/>
      <c r="S167" s="40"/>
      <c r="T167" s="40"/>
      <c r="U167" s="40"/>
      <c r="V167" s="40"/>
      <c r="W167" s="40"/>
      <c r="X167" s="40"/>
    </row>
    <row r="168" spans="18:24" x14ac:dyDescent="0.35">
      <c r="R168" s="40"/>
      <c r="S168" s="40"/>
      <c r="T168" s="40"/>
      <c r="U168" s="40"/>
      <c r="V168" s="40"/>
      <c r="W168" s="40"/>
      <c r="X168" s="40"/>
    </row>
    <row r="169" spans="18:24" x14ac:dyDescent="0.35">
      <c r="R169" s="40"/>
      <c r="S169" s="40"/>
      <c r="T169" s="40"/>
      <c r="U169" s="40"/>
      <c r="V169" s="40"/>
      <c r="W169" s="40"/>
      <c r="X169" s="40"/>
    </row>
    <row r="170" spans="18:24" x14ac:dyDescent="0.35">
      <c r="R170" s="40"/>
      <c r="S170" s="40"/>
      <c r="T170" s="40"/>
      <c r="U170" s="40"/>
      <c r="V170" s="40"/>
      <c r="W170" s="40"/>
      <c r="X170" s="40"/>
    </row>
    <row r="171" spans="18:24" x14ac:dyDescent="0.35">
      <c r="R171" s="40"/>
      <c r="S171" s="40"/>
      <c r="T171" s="40"/>
      <c r="U171" s="40"/>
      <c r="V171" s="40"/>
      <c r="W171" s="40"/>
      <c r="X171" s="40"/>
    </row>
    <row r="172" spans="18:24" x14ac:dyDescent="0.35">
      <c r="R172" s="40"/>
      <c r="S172" s="40"/>
      <c r="T172" s="40"/>
      <c r="U172" s="40"/>
      <c r="V172" s="40"/>
      <c r="W172" s="40"/>
      <c r="X172" s="40"/>
    </row>
    <row r="173" spans="18:24" x14ac:dyDescent="0.35">
      <c r="R173" s="40"/>
      <c r="S173" s="40"/>
      <c r="T173" s="40"/>
      <c r="U173" s="40"/>
      <c r="V173" s="40"/>
      <c r="W173" s="40"/>
      <c r="X173" s="40"/>
    </row>
    <row r="174" spans="18:24" x14ac:dyDescent="0.35">
      <c r="R174" s="40"/>
      <c r="S174" s="40"/>
      <c r="T174" s="40"/>
      <c r="U174" s="40"/>
      <c r="V174" s="40"/>
      <c r="W174" s="40"/>
      <c r="X174" s="40"/>
    </row>
    <row r="175" spans="18:24" x14ac:dyDescent="0.35">
      <c r="R175" s="40"/>
      <c r="S175" s="40"/>
      <c r="T175" s="40"/>
      <c r="U175" s="40"/>
      <c r="V175" s="40"/>
      <c r="W175" s="40"/>
      <c r="X175" s="40"/>
    </row>
    <row r="176" spans="18:24" x14ac:dyDescent="0.35">
      <c r="R176" s="40"/>
      <c r="S176" s="40"/>
      <c r="T176" s="40"/>
      <c r="U176" s="40"/>
      <c r="V176" s="40"/>
      <c r="W176" s="40"/>
      <c r="X176" s="40"/>
    </row>
    <row r="177" spans="18:24" x14ac:dyDescent="0.35">
      <c r="R177" s="40"/>
      <c r="S177" s="40"/>
      <c r="T177" s="40"/>
      <c r="U177" s="40"/>
      <c r="V177" s="40"/>
      <c r="W177" s="40"/>
      <c r="X177" s="40"/>
    </row>
    <row r="178" spans="18:24" x14ac:dyDescent="0.35">
      <c r="R178" s="40"/>
      <c r="S178" s="40"/>
      <c r="T178" s="40"/>
      <c r="U178" s="40"/>
      <c r="V178" s="40"/>
      <c r="W178" s="40"/>
      <c r="X178" s="40"/>
    </row>
    <row r="179" spans="18:24" x14ac:dyDescent="0.35">
      <c r="R179" s="40"/>
      <c r="S179" s="40"/>
      <c r="T179" s="40"/>
      <c r="U179" s="40"/>
      <c r="V179" s="40"/>
      <c r="W179" s="40"/>
      <c r="X179" s="40"/>
    </row>
    <row r="180" spans="18:24" x14ac:dyDescent="0.35">
      <c r="R180" s="40"/>
      <c r="S180" s="40"/>
      <c r="T180" s="40"/>
      <c r="U180" s="40"/>
      <c r="V180" s="40"/>
      <c r="W180" s="40"/>
      <c r="X180" s="40"/>
    </row>
    <row r="181" spans="18:24" x14ac:dyDescent="0.35">
      <c r="R181" s="40"/>
      <c r="S181" s="40"/>
      <c r="T181" s="40"/>
      <c r="U181" s="40"/>
      <c r="V181" s="40"/>
      <c r="W181" s="40"/>
      <c r="X181" s="40"/>
    </row>
    <row r="182" spans="18:24" x14ac:dyDescent="0.35">
      <c r="R182" s="40"/>
      <c r="S182" s="40"/>
      <c r="T182" s="40"/>
      <c r="U182" s="40"/>
      <c r="V182" s="40"/>
      <c r="W182" s="40"/>
      <c r="X182" s="40"/>
    </row>
    <row r="183" spans="18:24" x14ac:dyDescent="0.35">
      <c r="R183" s="40"/>
      <c r="S183" s="40"/>
      <c r="T183" s="40"/>
      <c r="U183" s="40"/>
      <c r="V183" s="40"/>
      <c r="W183" s="40"/>
      <c r="X183" s="40"/>
    </row>
    <row r="184" spans="18:24" x14ac:dyDescent="0.35">
      <c r="R184" s="40"/>
      <c r="S184" s="40"/>
      <c r="T184" s="40"/>
      <c r="U184" s="40"/>
      <c r="V184" s="40"/>
      <c r="W184" s="40"/>
      <c r="X184" s="40"/>
    </row>
    <row r="185" spans="18:24" x14ac:dyDescent="0.35">
      <c r="R185" s="40"/>
      <c r="S185" s="40"/>
      <c r="T185" s="40"/>
      <c r="U185" s="40"/>
      <c r="V185" s="40"/>
      <c r="W185" s="40"/>
      <c r="X185" s="40"/>
    </row>
    <row r="186" spans="18:24" x14ac:dyDescent="0.35">
      <c r="R186" s="40"/>
      <c r="S186" s="40"/>
      <c r="T186" s="40"/>
      <c r="U186" s="40"/>
      <c r="V186" s="40"/>
      <c r="W186" s="40"/>
      <c r="X186" s="40"/>
    </row>
    <row r="187" spans="18:24" x14ac:dyDescent="0.35">
      <c r="R187" s="40"/>
      <c r="S187" s="40"/>
      <c r="T187" s="40"/>
      <c r="U187" s="40"/>
      <c r="V187" s="40"/>
      <c r="W187" s="40"/>
      <c r="X187" s="40"/>
    </row>
    <row r="188" spans="18:24" x14ac:dyDescent="0.35">
      <c r="R188" s="40"/>
      <c r="S188" s="40"/>
      <c r="T188" s="40"/>
      <c r="U188" s="40"/>
      <c r="V188" s="40"/>
      <c r="W188" s="40"/>
      <c r="X188" s="40"/>
    </row>
    <row r="189" spans="18:24" x14ac:dyDescent="0.35">
      <c r="R189" s="40"/>
      <c r="S189" s="40"/>
      <c r="T189" s="40"/>
      <c r="U189" s="40"/>
      <c r="V189" s="40"/>
      <c r="W189" s="40"/>
      <c r="X189" s="40"/>
    </row>
    <row r="190" spans="18:24" x14ac:dyDescent="0.35">
      <c r="R190" s="40"/>
      <c r="S190" s="40"/>
      <c r="T190" s="40"/>
      <c r="U190" s="40"/>
      <c r="V190" s="40"/>
      <c r="W190" s="40"/>
      <c r="X190" s="40"/>
    </row>
    <row r="191" spans="18:24" x14ac:dyDescent="0.35">
      <c r="R191" s="40"/>
      <c r="S191" s="40"/>
      <c r="T191" s="40"/>
      <c r="U191" s="40"/>
      <c r="V191" s="40"/>
      <c r="W191" s="40"/>
      <c r="X191" s="40"/>
    </row>
    <row r="192" spans="18:24" x14ac:dyDescent="0.35">
      <c r="R192" s="40"/>
      <c r="S192" s="40"/>
      <c r="T192" s="40"/>
      <c r="U192" s="40"/>
      <c r="V192" s="40"/>
      <c r="W192" s="40"/>
      <c r="X192" s="40"/>
    </row>
    <row r="193" spans="18:24" x14ac:dyDescent="0.35">
      <c r="R193" s="40"/>
      <c r="S193" s="40"/>
      <c r="T193" s="40"/>
      <c r="U193" s="40"/>
      <c r="V193" s="40"/>
      <c r="W193" s="40"/>
      <c r="X193" s="40"/>
    </row>
    <row r="194" spans="18:24" x14ac:dyDescent="0.35">
      <c r="R194" s="40"/>
      <c r="S194" s="40"/>
      <c r="T194" s="40"/>
      <c r="U194" s="40"/>
      <c r="V194" s="40"/>
      <c r="W194" s="40"/>
      <c r="X194" s="40"/>
    </row>
    <row r="195" spans="18:24" x14ac:dyDescent="0.35">
      <c r="R195" s="40"/>
      <c r="S195" s="40"/>
      <c r="T195" s="40"/>
      <c r="U195" s="40"/>
      <c r="V195" s="40"/>
      <c r="W195" s="40"/>
      <c r="X195" s="40"/>
    </row>
    <row r="196" spans="18:24" x14ac:dyDescent="0.35">
      <c r="R196" s="40"/>
      <c r="S196" s="40"/>
      <c r="T196" s="40"/>
      <c r="U196" s="40"/>
      <c r="V196" s="40"/>
      <c r="W196" s="40"/>
      <c r="X196" s="40"/>
    </row>
    <row r="197" spans="18:24" x14ac:dyDescent="0.35">
      <c r="R197" s="40"/>
      <c r="S197" s="40"/>
      <c r="T197" s="40"/>
      <c r="U197" s="40"/>
      <c r="V197" s="40"/>
      <c r="W197" s="40"/>
      <c r="X197" s="40"/>
    </row>
    <row r="198" spans="18:24" x14ac:dyDescent="0.35">
      <c r="R198" s="40"/>
      <c r="S198" s="40"/>
      <c r="T198" s="40"/>
      <c r="U198" s="40"/>
      <c r="V198" s="40"/>
      <c r="W198" s="40"/>
      <c r="X198" s="40"/>
    </row>
    <row r="199" spans="18:24" x14ac:dyDescent="0.35">
      <c r="R199" s="40"/>
      <c r="S199" s="40"/>
      <c r="T199" s="40"/>
      <c r="U199" s="40"/>
      <c r="V199" s="40"/>
      <c r="W199" s="40"/>
      <c r="X199" s="40"/>
    </row>
    <row r="200" spans="18:24" x14ac:dyDescent="0.35">
      <c r="R200" s="40"/>
      <c r="S200" s="40"/>
      <c r="T200" s="40"/>
      <c r="U200" s="40"/>
      <c r="V200" s="40"/>
      <c r="W200" s="40"/>
      <c r="X200" s="40"/>
    </row>
    <row r="201" spans="18:24" x14ac:dyDescent="0.35">
      <c r="R201" s="40"/>
      <c r="S201" s="40"/>
      <c r="T201" s="40"/>
      <c r="U201" s="40"/>
      <c r="V201" s="40"/>
      <c r="W201" s="40"/>
      <c r="X201" s="40"/>
    </row>
    <row r="202" spans="18:24" x14ac:dyDescent="0.35">
      <c r="R202" s="40"/>
      <c r="S202" s="40"/>
      <c r="T202" s="40"/>
      <c r="U202" s="40"/>
      <c r="V202" s="40"/>
      <c r="W202" s="40"/>
      <c r="X202" s="40"/>
    </row>
    <row r="203" spans="18:24" x14ac:dyDescent="0.35">
      <c r="R203" s="40"/>
      <c r="S203" s="40"/>
      <c r="T203" s="40"/>
      <c r="U203" s="40"/>
      <c r="V203" s="40"/>
      <c r="W203" s="40"/>
      <c r="X203" s="40"/>
    </row>
    <row r="204" spans="18:24" x14ac:dyDescent="0.35">
      <c r="R204" s="40"/>
      <c r="S204" s="40"/>
      <c r="T204" s="40"/>
      <c r="U204" s="40"/>
      <c r="V204" s="40"/>
      <c r="W204" s="40"/>
      <c r="X204" s="40"/>
    </row>
    <row r="205" spans="18:24" x14ac:dyDescent="0.35">
      <c r="R205" s="40"/>
      <c r="S205" s="40"/>
      <c r="T205" s="40"/>
      <c r="U205" s="40"/>
      <c r="V205" s="40"/>
      <c r="W205" s="40"/>
      <c r="X205" s="40"/>
    </row>
    <row r="206" spans="18:24" x14ac:dyDescent="0.35">
      <c r="R206" s="40"/>
      <c r="S206" s="40"/>
      <c r="T206" s="40"/>
      <c r="U206" s="40"/>
      <c r="V206" s="40"/>
      <c r="W206" s="40"/>
      <c r="X206" s="40"/>
    </row>
    <row r="207" spans="18:24" x14ac:dyDescent="0.35">
      <c r="R207" s="40"/>
      <c r="S207" s="40"/>
      <c r="T207" s="40"/>
      <c r="U207" s="40"/>
      <c r="V207" s="40"/>
      <c r="W207" s="40"/>
      <c r="X207" s="40"/>
    </row>
    <row r="208" spans="18:24" x14ac:dyDescent="0.35">
      <c r="R208" s="40"/>
      <c r="S208" s="40"/>
      <c r="T208" s="40"/>
      <c r="U208" s="40"/>
      <c r="V208" s="40"/>
      <c r="W208" s="40"/>
      <c r="X208" s="40"/>
    </row>
    <row r="209" spans="18:24" x14ac:dyDescent="0.35">
      <c r="R209" s="40"/>
      <c r="S209" s="40"/>
      <c r="T209" s="40"/>
      <c r="U209" s="40"/>
      <c r="V209" s="40"/>
      <c r="W209" s="40"/>
      <c r="X209" s="40"/>
    </row>
    <row r="210" spans="18:24" x14ac:dyDescent="0.35">
      <c r="R210" s="40"/>
      <c r="S210" s="40"/>
      <c r="T210" s="40"/>
      <c r="U210" s="40"/>
      <c r="V210" s="40"/>
      <c r="W210" s="40"/>
      <c r="X210" s="40"/>
    </row>
    <row r="211" spans="18:24" x14ac:dyDescent="0.35">
      <c r="R211" s="40"/>
      <c r="S211" s="40"/>
      <c r="T211" s="40"/>
      <c r="U211" s="40"/>
      <c r="V211" s="40"/>
      <c r="W211" s="40"/>
      <c r="X211" s="40"/>
    </row>
    <row r="212" spans="18:24" x14ac:dyDescent="0.35">
      <c r="R212" s="40"/>
      <c r="S212" s="40"/>
      <c r="T212" s="40"/>
      <c r="U212" s="40"/>
      <c r="V212" s="40"/>
      <c r="W212" s="40"/>
      <c r="X212" s="40"/>
    </row>
    <row r="213" spans="18:24" x14ac:dyDescent="0.35">
      <c r="R213" s="40"/>
      <c r="S213" s="40"/>
      <c r="T213" s="40"/>
      <c r="U213" s="40"/>
      <c r="V213" s="40"/>
      <c r="W213" s="40"/>
      <c r="X213" s="40"/>
    </row>
    <row r="214" spans="18:24" x14ac:dyDescent="0.35">
      <c r="R214" s="40"/>
      <c r="S214" s="40"/>
      <c r="T214" s="40"/>
      <c r="U214" s="40"/>
      <c r="V214" s="40"/>
      <c r="W214" s="40"/>
      <c r="X214" s="40"/>
    </row>
    <row r="215" spans="18:24" x14ac:dyDescent="0.35">
      <c r="R215" s="40"/>
      <c r="S215" s="40"/>
      <c r="T215" s="40"/>
      <c r="U215" s="40"/>
      <c r="V215" s="40"/>
      <c r="W215" s="40"/>
      <c r="X215" s="40"/>
    </row>
    <row r="216" spans="18:24" x14ac:dyDescent="0.35">
      <c r="R216" s="40"/>
      <c r="S216" s="40"/>
      <c r="T216" s="40"/>
      <c r="U216" s="40"/>
      <c r="V216" s="40"/>
      <c r="W216" s="40"/>
      <c r="X216" s="40"/>
    </row>
    <row r="217" spans="18:24" x14ac:dyDescent="0.35">
      <c r="R217" s="40"/>
      <c r="S217" s="40"/>
      <c r="T217" s="40"/>
      <c r="U217" s="40"/>
      <c r="V217" s="40"/>
      <c r="W217" s="40"/>
      <c r="X217" s="40"/>
    </row>
    <row r="218" spans="18:24" x14ac:dyDescent="0.35">
      <c r="R218" s="40"/>
      <c r="S218" s="40"/>
      <c r="T218" s="40"/>
      <c r="U218" s="40"/>
      <c r="V218" s="40"/>
      <c r="W218" s="40"/>
      <c r="X218" s="40"/>
    </row>
    <row r="219" spans="18:24" x14ac:dyDescent="0.35">
      <c r="R219" s="40"/>
      <c r="S219" s="40"/>
      <c r="T219" s="40"/>
      <c r="U219" s="40"/>
      <c r="V219" s="40"/>
      <c r="W219" s="40"/>
      <c r="X219" s="40"/>
    </row>
    <row r="220" spans="18:24" x14ac:dyDescent="0.35">
      <c r="R220" s="40"/>
      <c r="S220" s="40"/>
      <c r="T220" s="40"/>
      <c r="U220" s="40"/>
      <c r="V220" s="40"/>
      <c r="W220" s="40"/>
      <c r="X220" s="40"/>
    </row>
    <row r="221" spans="18:24" x14ac:dyDescent="0.35">
      <c r="R221" s="40"/>
      <c r="S221" s="40"/>
      <c r="T221" s="40"/>
      <c r="U221" s="40"/>
      <c r="V221" s="40"/>
      <c r="W221" s="40"/>
      <c r="X221" s="40"/>
    </row>
    <row r="222" spans="18:24" x14ac:dyDescent="0.35">
      <c r="R222" s="40"/>
      <c r="S222" s="40"/>
      <c r="T222" s="40"/>
      <c r="U222" s="40"/>
      <c r="V222" s="40"/>
      <c r="W222" s="40"/>
      <c r="X222" s="40"/>
    </row>
    <row r="223" spans="18:24" x14ac:dyDescent="0.35">
      <c r="R223" s="40"/>
      <c r="S223" s="40"/>
      <c r="T223" s="40"/>
      <c r="U223" s="40"/>
      <c r="V223" s="40"/>
      <c r="W223" s="40"/>
      <c r="X223" s="40"/>
    </row>
    <row r="224" spans="18:24" x14ac:dyDescent="0.35">
      <c r="R224" s="40"/>
      <c r="S224" s="40"/>
      <c r="T224" s="40"/>
      <c r="U224" s="40"/>
      <c r="V224" s="40"/>
      <c r="W224" s="40"/>
      <c r="X224" s="40"/>
    </row>
    <row r="225" spans="18:24" x14ac:dyDescent="0.35">
      <c r="R225" s="40"/>
      <c r="S225" s="40"/>
      <c r="T225" s="40"/>
      <c r="U225" s="40"/>
      <c r="V225" s="40"/>
      <c r="W225" s="40"/>
      <c r="X225" s="40"/>
    </row>
    <row r="226" spans="18:24" x14ac:dyDescent="0.35">
      <c r="R226" s="40"/>
      <c r="S226" s="40"/>
      <c r="T226" s="40"/>
      <c r="U226" s="40"/>
      <c r="V226" s="40"/>
      <c r="W226" s="40"/>
      <c r="X226" s="40"/>
    </row>
    <row r="227" spans="18:24" x14ac:dyDescent="0.35">
      <c r="R227" s="40"/>
      <c r="S227" s="40"/>
      <c r="T227" s="40"/>
      <c r="U227" s="40"/>
      <c r="V227" s="40"/>
      <c r="W227" s="40"/>
      <c r="X227" s="40"/>
    </row>
    <row r="228" spans="18:24" x14ac:dyDescent="0.35">
      <c r="R228" s="40"/>
      <c r="S228" s="40"/>
      <c r="T228" s="40"/>
      <c r="U228" s="40"/>
      <c r="V228" s="40"/>
      <c r="W228" s="40"/>
      <c r="X228" s="40"/>
    </row>
    <row r="229" spans="18:24" x14ac:dyDescent="0.35">
      <c r="R229" s="40"/>
      <c r="S229" s="40"/>
      <c r="T229" s="40"/>
      <c r="U229" s="40"/>
      <c r="V229" s="40"/>
      <c r="W229" s="40"/>
      <c r="X229" s="40"/>
    </row>
    <row r="230" spans="18:24" x14ac:dyDescent="0.35">
      <c r="R230" s="40"/>
      <c r="S230" s="40"/>
      <c r="T230" s="40"/>
      <c r="U230" s="40"/>
      <c r="V230" s="40"/>
      <c r="W230" s="40"/>
      <c r="X230" s="40"/>
    </row>
    <row r="231" spans="18:24" x14ac:dyDescent="0.35">
      <c r="R231" s="40"/>
      <c r="S231" s="40"/>
      <c r="T231" s="40"/>
      <c r="U231" s="40"/>
      <c r="V231" s="40"/>
      <c r="W231" s="40"/>
      <c r="X231" s="40"/>
    </row>
    <row r="232" spans="18:24" x14ac:dyDescent="0.35">
      <c r="R232" s="40"/>
      <c r="S232" s="40"/>
      <c r="T232" s="40"/>
      <c r="U232" s="40"/>
      <c r="V232" s="40"/>
      <c r="W232" s="40"/>
      <c r="X232" s="40"/>
    </row>
    <row r="233" spans="18:24" x14ac:dyDescent="0.35">
      <c r="R233" s="40"/>
      <c r="S233" s="40"/>
      <c r="T233" s="40"/>
      <c r="U233" s="40"/>
      <c r="V233" s="40"/>
      <c r="W233" s="40"/>
      <c r="X233" s="40"/>
    </row>
    <row r="234" spans="18:24" x14ac:dyDescent="0.35">
      <c r="R234" s="40"/>
      <c r="S234" s="40"/>
      <c r="T234" s="40"/>
      <c r="U234" s="40"/>
      <c r="V234" s="40"/>
      <c r="W234" s="40"/>
      <c r="X234" s="40"/>
    </row>
    <row r="235" spans="18:24" x14ac:dyDescent="0.35">
      <c r="R235" s="40"/>
      <c r="S235" s="40"/>
      <c r="T235" s="40"/>
      <c r="U235" s="40"/>
      <c r="V235" s="40"/>
      <c r="W235" s="40"/>
      <c r="X235" s="40"/>
    </row>
    <row r="236" spans="18:24" x14ac:dyDescent="0.35">
      <c r="R236" s="40"/>
      <c r="S236" s="40"/>
      <c r="T236" s="40"/>
      <c r="U236" s="40"/>
      <c r="V236" s="40"/>
      <c r="W236" s="40"/>
      <c r="X236" s="40"/>
    </row>
    <row r="237" spans="18:24" x14ac:dyDescent="0.35">
      <c r="R237" s="40"/>
      <c r="S237" s="40"/>
      <c r="T237" s="40"/>
      <c r="U237" s="40"/>
      <c r="V237" s="40"/>
      <c r="W237" s="40"/>
      <c r="X237" s="40"/>
    </row>
    <row r="238" spans="18:24" x14ac:dyDescent="0.35">
      <c r="R238" s="40"/>
      <c r="S238" s="40"/>
      <c r="T238" s="40"/>
      <c r="U238" s="40"/>
      <c r="V238" s="40"/>
      <c r="W238" s="40"/>
      <c r="X238" s="40"/>
    </row>
    <row r="239" spans="18:24" x14ac:dyDescent="0.35">
      <c r="R239" s="40"/>
      <c r="S239" s="40"/>
      <c r="T239" s="40"/>
      <c r="U239" s="40"/>
      <c r="V239" s="40"/>
      <c r="W239" s="40"/>
      <c r="X239" s="40"/>
    </row>
    <row r="240" spans="18:24" x14ac:dyDescent="0.35">
      <c r="R240" s="40"/>
      <c r="S240" s="40"/>
      <c r="T240" s="40"/>
      <c r="U240" s="40"/>
      <c r="V240" s="40"/>
      <c r="W240" s="40"/>
      <c r="X240" s="40"/>
    </row>
    <row r="241" spans="18:24" x14ac:dyDescent="0.35">
      <c r="R241" s="40"/>
      <c r="S241" s="40"/>
      <c r="T241" s="40"/>
      <c r="U241" s="40"/>
      <c r="V241" s="40"/>
      <c r="W241" s="40"/>
      <c r="X241" s="40"/>
    </row>
    <row r="242" spans="18:24" x14ac:dyDescent="0.35">
      <c r="R242" s="40"/>
      <c r="S242" s="40"/>
      <c r="T242" s="40"/>
      <c r="U242" s="40"/>
      <c r="V242" s="40"/>
      <c r="W242" s="40"/>
      <c r="X242" s="40"/>
    </row>
    <row r="243" spans="18:24" x14ac:dyDescent="0.35">
      <c r="R243" s="40"/>
      <c r="S243" s="40"/>
      <c r="T243" s="40"/>
      <c r="U243" s="40"/>
      <c r="V243" s="40"/>
      <c r="W243" s="40"/>
      <c r="X243" s="40"/>
    </row>
    <row r="244" spans="18:24" x14ac:dyDescent="0.35">
      <c r="R244" s="40"/>
      <c r="S244" s="40"/>
      <c r="T244" s="40"/>
      <c r="U244" s="40"/>
      <c r="V244" s="40"/>
      <c r="W244" s="40"/>
      <c r="X244" s="40"/>
    </row>
    <row r="245" spans="18:24" x14ac:dyDescent="0.35">
      <c r="R245" s="40"/>
      <c r="S245" s="40"/>
      <c r="T245" s="40"/>
      <c r="U245" s="40"/>
      <c r="V245" s="40"/>
      <c r="W245" s="40"/>
      <c r="X245" s="40"/>
    </row>
    <row r="246" spans="18:24" x14ac:dyDescent="0.35">
      <c r="R246" s="40"/>
      <c r="S246" s="40"/>
      <c r="T246" s="40"/>
      <c r="U246" s="40"/>
      <c r="V246" s="40"/>
      <c r="W246" s="40"/>
      <c r="X246" s="40"/>
    </row>
    <row r="247" spans="18:24" x14ac:dyDescent="0.35">
      <c r="R247" s="40"/>
      <c r="S247" s="40"/>
      <c r="T247" s="40"/>
      <c r="U247" s="40"/>
      <c r="V247" s="40"/>
      <c r="W247" s="40"/>
      <c r="X247" s="40"/>
    </row>
    <row r="248" spans="18:24" x14ac:dyDescent="0.35">
      <c r="R248" s="40"/>
      <c r="S248" s="40"/>
      <c r="T248" s="40"/>
      <c r="U248" s="40"/>
      <c r="V248" s="40"/>
      <c r="W248" s="40"/>
      <c r="X248" s="40"/>
    </row>
    <row r="249" spans="18:24" x14ac:dyDescent="0.35">
      <c r="R249" s="40"/>
      <c r="S249" s="40"/>
      <c r="T249" s="40"/>
      <c r="U249" s="40"/>
      <c r="V249" s="40"/>
      <c r="W249" s="40"/>
      <c r="X249" s="40"/>
    </row>
    <row r="250" spans="18:24" x14ac:dyDescent="0.35">
      <c r="R250" s="40"/>
      <c r="S250" s="40"/>
      <c r="T250" s="40"/>
      <c r="U250" s="40"/>
      <c r="V250" s="40"/>
      <c r="W250" s="40"/>
      <c r="X250" s="40"/>
    </row>
    <row r="251" spans="18:24" x14ac:dyDescent="0.35">
      <c r="R251" s="40"/>
      <c r="S251" s="40"/>
      <c r="T251" s="40"/>
      <c r="U251" s="40"/>
      <c r="V251" s="40"/>
      <c r="W251" s="40"/>
      <c r="X251" s="40"/>
    </row>
    <row r="252" spans="18:24" x14ac:dyDescent="0.35">
      <c r="R252" s="40"/>
      <c r="S252" s="40"/>
      <c r="T252" s="40"/>
      <c r="U252" s="40"/>
      <c r="V252" s="40"/>
      <c r="W252" s="40"/>
      <c r="X252" s="40"/>
    </row>
    <row r="253" spans="18:24" x14ac:dyDescent="0.35">
      <c r="R253" s="40"/>
      <c r="S253" s="40"/>
      <c r="T253" s="40"/>
      <c r="U253" s="40"/>
      <c r="V253" s="40"/>
      <c r="W253" s="40"/>
      <c r="X253" s="40"/>
    </row>
    <row r="254" spans="18:24" x14ac:dyDescent="0.35">
      <c r="R254" s="40"/>
      <c r="S254" s="40"/>
      <c r="T254" s="40"/>
      <c r="U254" s="40"/>
      <c r="V254" s="40"/>
      <c r="W254" s="40"/>
      <c r="X254" s="40"/>
    </row>
    <row r="255" spans="18:24" x14ac:dyDescent="0.35">
      <c r="R255" s="40"/>
      <c r="S255" s="40"/>
      <c r="T255" s="40"/>
      <c r="U255" s="40"/>
      <c r="V255" s="40"/>
      <c r="W255" s="40"/>
      <c r="X255" s="40"/>
    </row>
    <row r="256" spans="18:24" x14ac:dyDescent="0.35">
      <c r="R256" s="40"/>
      <c r="S256" s="40"/>
      <c r="T256" s="40"/>
      <c r="U256" s="40"/>
      <c r="V256" s="40"/>
      <c r="W256" s="40"/>
      <c r="X256" s="40"/>
    </row>
    <row r="257" spans="18:24" x14ac:dyDescent="0.35">
      <c r="R257" s="40"/>
      <c r="S257" s="40"/>
      <c r="T257" s="40"/>
      <c r="U257" s="40"/>
      <c r="V257" s="40"/>
      <c r="W257" s="40"/>
      <c r="X257" s="40"/>
    </row>
    <row r="258" spans="18:24" x14ac:dyDescent="0.35">
      <c r="R258" s="40"/>
      <c r="S258" s="40"/>
      <c r="T258" s="40"/>
      <c r="U258" s="40"/>
      <c r="V258" s="40"/>
      <c r="W258" s="40"/>
      <c r="X258" s="40"/>
    </row>
    <row r="259" spans="18:24" x14ac:dyDescent="0.35">
      <c r="R259" s="40"/>
      <c r="S259" s="40"/>
      <c r="T259" s="40"/>
      <c r="U259" s="40"/>
      <c r="V259" s="40"/>
      <c r="W259" s="40"/>
      <c r="X259" s="40"/>
    </row>
    <row r="260" spans="18:24" x14ac:dyDescent="0.35">
      <c r="R260" s="40"/>
      <c r="S260" s="40"/>
      <c r="T260" s="40"/>
      <c r="U260" s="40"/>
      <c r="V260" s="40"/>
      <c r="W260" s="40"/>
      <c r="X260" s="40"/>
    </row>
    <row r="261" spans="18:24" x14ac:dyDescent="0.35">
      <c r="R261" s="40"/>
      <c r="S261" s="40"/>
      <c r="T261" s="40"/>
      <c r="U261" s="40"/>
      <c r="V261" s="40"/>
      <c r="W261" s="40"/>
      <c r="X261" s="40"/>
    </row>
    <row r="262" spans="18:24" x14ac:dyDescent="0.35">
      <c r="R262" s="40"/>
      <c r="S262" s="40"/>
      <c r="T262" s="40"/>
      <c r="U262" s="40"/>
      <c r="V262" s="40"/>
      <c r="W262" s="40"/>
      <c r="X262" s="40"/>
    </row>
    <row r="263" spans="18:24" x14ac:dyDescent="0.35">
      <c r="R263" s="40"/>
      <c r="S263" s="40"/>
      <c r="T263" s="40"/>
      <c r="U263" s="40"/>
      <c r="V263" s="40"/>
      <c r="W263" s="40"/>
      <c r="X263" s="40"/>
    </row>
    <row r="264" spans="18:24" x14ac:dyDescent="0.35">
      <c r="R264" s="40"/>
      <c r="S264" s="40"/>
      <c r="T264" s="40"/>
      <c r="U264" s="40"/>
      <c r="V264" s="40"/>
      <c r="W264" s="40"/>
      <c r="X264" s="40"/>
    </row>
    <row r="265" spans="18:24" x14ac:dyDescent="0.35">
      <c r="R265" s="40"/>
      <c r="S265" s="40"/>
      <c r="T265" s="40"/>
      <c r="U265" s="40"/>
      <c r="V265" s="40"/>
      <c r="W265" s="40"/>
      <c r="X265" s="40"/>
    </row>
    <row r="266" spans="18:24" x14ac:dyDescent="0.35">
      <c r="R266" s="40"/>
      <c r="S266" s="40"/>
      <c r="T266" s="40"/>
      <c r="U266" s="40"/>
      <c r="V266" s="40"/>
      <c r="W266" s="40"/>
      <c r="X266" s="40"/>
    </row>
    <row r="267" spans="18:24" x14ac:dyDescent="0.35">
      <c r="R267" s="40"/>
      <c r="S267" s="40"/>
      <c r="T267" s="40"/>
      <c r="U267" s="40"/>
      <c r="V267" s="40"/>
      <c r="W267" s="40"/>
      <c r="X267" s="40"/>
    </row>
    <row r="268" spans="18:24" x14ac:dyDescent="0.35">
      <c r="R268" s="40"/>
      <c r="S268" s="40"/>
      <c r="T268" s="40"/>
      <c r="U268" s="40"/>
      <c r="V268" s="40"/>
      <c r="W268" s="40"/>
      <c r="X268" s="40"/>
    </row>
    <row r="269" spans="18:24" x14ac:dyDescent="0.35">
      <c r="R269" s="40"/>
      <c r="S269" s="40"/>
      <c r="T269" s="40"/>
      <c r="U269" s="40"/>
      <c r="V269" s="40"/>
      <c r="W269" s="40"/>
      <c r="X269" s="40"/>
    </row>
    <row r="270" spans="18:24" x14ac:dyDescent="0.35">
      <c r="R270" s="40"/>
      <c r="S270" s="40"/>
      <c r="T270" s="40"/>
      <c r="U270" s="40"/>
      <c r="V270" s="40"/>
      <c r="W270" s="40"/>
      <c r="X270" s="40"/>
    </row>
    <row r="271" spans="18:24" x14ac:dyDescent="0.35">
      <c r="R271" s="40"/>
      <c r="S271" s="40"/>
      <c r="T271" s="40"/>
      <c r="U271" s="40"/>
      <c r="V271" s="40"/>
      <c r="W271" s="40"/>
      <c r="X271" s="40"/>
    </row>
    <row r="272" spans="18:24" x14ac:dyDescent="0.35">
      <c r="R272" s="40"/>
      <c r="S272" s="40"/>
      <c r="T272" s="40"/>
      <c r="U272" s="40"/>
      <c r="V272" s="40"/>
      <c r="W272" s="40"/>
      <c r="X272" s="40"/>
    </row>
    <row r="273" spans="18:24" x14ac:dyDescent="0.35">
      <c r="R273" s="40"/>
      <c r="S273" s="40"/>
      <c r="T273" s="40"/>
      <c r="U273" s="40"/>
      <c r="V273" s="40"/>
      <c r="W273" s="40"/>
      <c r="X273" s="40"/>
    </row>
    <row r="274" spans="18:24" x14ac:dyDescent="0.35">
      <c r="R274" s="40"/>
      <c r="S274" s="40"/>
      <c r="T274" s="40"/>
      <c r="U274" s="40"/>
      <c r="V274" s="40"/>
      <c r="W274" s="40"/>
      <c r="X274" s="40"/>
    </row>
    <row r="275" spans="18:24" x14ac:dyDescent="0.35">
      <c r="R275" s="40"/>
      <c r="S275" s="40"/>
      <c r="T275" s="40"/>
      <c r="U275" s="40"/>
      <c r="V275" s="40"/>
      <c r="W275" s="40"/>
      <c r="X275" s="40"/>
    </row>
    <row r="276" spans="18:24" x14ac:dyDescent="0.35">
      <c r="R276" s="40"/>
      <c r="S276" s="40"/>
      <c r="T276" s="40"/>
      <c r="U276" s="40"/>
      <c r="V276" s="40"/>
      <c r="W276" s="40"/>
      <c r="X276" s="40"/>
    </row>
    <row r="277" spans="18:24" x14ac:dyDescent="0.35">
      <c r="R277" s="40"/>
      <c r="S277" s="40"/>
      <c r="T277" s="40"/>
      <c r="U277" s="40"/>
      <c r="V277" s="40"/>
      <c r="W277" s="40"/>
      <c r="X277" s="40"/>
    </row>
    <row r="278" spans="18:24" x14ac:dyDescent="0.35">
      <c r="R278" s="40"/>
      <c r="S278" s="40"/>
      <c r="T278" s="40"/>
      <c r="U278" s="40"/>
      <c r="V278" s="40"/>
      <c r="W278" s="40"/>
      <c r="X278" s="40"/>
    </row>
    <row r="279" spans="18:24" x14ac:dyDescent="0.35">
      <c r="R279" s="40"/>
      <c r="S279" s="40"/>
      <c r="T279" s="40"/>
      <c r="U279" s="40"/>
      <c r="V279" s="40"/>
      <c r="W279" s="40"/>
      <c r="X279" s="40"/>
    </row>
    <row r="280" spans="18:24" x14ac:dyDescent="0.35">
      <c r="R280" s="40"/>
      <c r="S280" s="40"/>
      <c r="T280" s="40"/>
      <c r="U280" s="40"/>
      <c r="V280" s="40"/>
      <c r="W280" s="40"/>
      <c r="X280" s="40"/>
    </row>
    <row r="281" spans="18:24" x14ac:dyDescent="0.35">
      <c r="R281" s="40"/>
      <c r="S281" s="40"/>
      <c r="T281" s="40"/>
      <c r="U281" s="40"/>
      <c r="V281" s="40"/>
      <c r="W281" s="40"/>
      <c r="X281" s="40"/>
    </row>
    <row r="282" spans="18:24" x14ac:dyDescent="0.35">
      <c r="R282" s="40"/>
      <c r="S282" s="40"/>
      <c r="T282" s="40"/>
      <c r="U282" s="40"/>
      <c r="V282" s="40"/>
      <c r="W282" s="40"/>
      <c r="X282" s="40"/>
    </row>
    <row r="283" spans="18:24" x14ac:dyDescent="0.35">
      <c r="R283" s="40"/>
      <c r="S283" s="40"/>
      <c r="T283" s="40"/>
      <c r="U283" s="40"/>
      <c r="V283" s="40"/>
      <c r="W283" s="40"/>
      <c r="X283" s="40"/>
    </row>
    <row r="284" spans="18:24" x14ac:dyDescent="0.35">
      <c r="R284" s="40"/>
      <c r="S284" s="40"/>
      <c r="T284" s="40"/>
      <c r="U284" s="40"/>
      <c r="V284" s="40"/>
      <c r="W284" s="40"/>
      <c r="X284" s="40"/>
    </row>
    <row r="285" spans="18:24" x14ac:dyDescent="0.35">
      <c r="R285" s="40"/>
      <c r="S285" s="40"/>
      <c r="T285" s="40"/>
      <c r="U285" s="40"/>
      <c r="V285" s="40"/>
      <c r="W285" s="40"/>
      <c r="X285" s="40"/>
    </row>
    <row r="286" spans="18:24" x14ac:dyDescent="0.35">
      <c r="R286" s="40"/>
      <c r="S286" s="40"/>
      <c r="T286" s="40"/>
      <c r="U286" s="40"/>
      <c r="V286" s="40"/>
      <c r="W286" s="40"/>
      <c r="X286" s="40"/>
    </row>
    <row r="287" spans="18:24" x14ac:dyDescent="0.35">
      <c r="R287" s="40"/>
      <c r="S287" s="40"/>
      <c r="T287" s="40"/>
      <c r="U287" s="40"/>
      <c r="V287" s="40"/>
      <c r="W287" s="40"/>
      <c r="X287" s="40"/>
    </row>
    <row r="288" spans="18:24" x14ac:dyDescent="0.35">
      <c r="R288" s="40"/>
      <c r="S288" s="40"/>
      <c r="T288" s="40"/>
      <c r="U288" s="40"/>
      <c r="V288" s="40"/>
      <c r="W288" s="40"/>
      <c r="X288" s="40"/>
    </row>
    <row r="289" spans="18:24" x14ac:dyDescent="0.35">
      <c r="R289" s="40"/>
      <c r="S289" s="40"/>
      <c r="T289" s="40"/>
      <c r="U289" s="40"/>
      <c r="V289" s="40"/>
      <c r="W289" s="40"/>
      <c r="X289" s="40"/>
    </row>
    <row r="290" spans="18:24" x14ac:dyDescent="0.35">
      <c r="R290" s="40"/>
      <c r="S290" s="40"/>
      <c r="T290" s="40"/>
      <c r="U290" s="40"/>
      <c r="V290" s="40"/>
      <c r="W290" s="40"/>
      <c r="X290" s="40"/>
    </row>
    <row r="291" spans="18:24" x14ac:dyDescent="0.35">
      <c r="R291" s="40"/>
      <c r="S291" s="40"/>
      <c r="T291" s="40"/>
      <c r="U291" s="40"/>
      <c r="V291" s="40"/>
      <c r="W291" s="40"/>
      <c r="X291" s="40"/>
    </row>
    <row r="292" spans="18:24" x14ac:dyDescent="0.35">
      <c r="R292" s="40"/>
      <c r="S292" s="40"/>
      <c r="T292" s="40"/>
      <c r="U292" s="40"/>
      <c r="V292" s="40"/>
      <c r="W292" s="40"/>
      <c r="X292" s="40"/>
    </row>
    <row r="293" spans="18:24" x14ac:dyDescent="0.35">
      <c r="R293" s="40"/>
      <c r="S293" s="40"/>
      <c r="T293" s="40"/>
      <c r="U293" s="40"/>
      <c r="V293" s="40"/>
      <c r="W293" s="40"/>
      <c r="X293" s="40"/>
    </row>
    <row r="294" spans="18:24" x14ac:dyDescent="0.35">
      <c r="R294" s="40"/>
      <c r="S294" s="40"/>
      <c r="T294" s="40"/>
      <c r="U294" s="40"/>
      <c r="V294" s="40"/>
      <c r="W294" s="40"/>
      <c r="X294" s="40"/>
    </row>
    <row r="295" spans="18:24" x14ac:dyDescent="0.35">
      <c r="R295" s="40"/>
      <c r="S295" s="40"/>
      <c r="T295" s="40"/>
      <c r="U295" s="40"/>
      <c r="V295" s="40"/>
      <c r="W295" s="40"/>
      <c r="X295" s="40"/>
    </row>
    <row r="296" spans="18:24" x14ac:dyDescent="0.35">
      <c r="R296" s="40"/>
      <c r="S296" s="40"/>
      <c r="T296" s="40"/>
      <c r="U296" s="40"/>
      <c r="V296" s="40"/>
      <c r="W296" s="40"/>
      <c r="X296" s="40"/>
    </row>
    <row r="297" spans="18:24" x14ac:dyDescent="0.35">
      <c r="R297" s="40"/>
      <c r="S297" s="40"/>
      <c r="T297" s="40"/>
      <c r="U297" s="40"/>
      <c r="V297" s="40"/>
      <c r="W297" s="40"/>
      <c r="X297" s="40"/>
    </row>
    <row r="298" spans="18:24" x14ac:dyDescent="0.35">
      <c r="R298" s="40"/>
      <c r="S298" s="40"/>
      <c r="T298" s="40"/>
      <c r="U298" s="40"/>
      <c r="V298" s="40"/>
      <c r="W298" s="40"/>
      <c r="X298" s="40"/>
    </row>
    <row r="299" spans="18:24" x14ac:dyDescent="0.35">
      <c r="R299" s="40"/>
      <c r="S299" s="40"/>
      <c r="T299" s="40"/>
      <c r="U299" s="40"/>
      <c r="V299" s="40"/>
      <c r="W299" s="40"/>
      <c r="X299" s="40"/>
    </row>
    <row r="300" spans="18:24" x14ac:dyDescent="0.35">
      <c r="R300" s="40"/>
      <c r="S300" s="40"/>
      <c r="T300" s="40"/>
      <c r="U300" s="40"/>
      <c r="V300" s="40"/>
      <c r="W300" s="40"/>
      <c r="X300" s="40"/>
    </row>
    <row r="301" spans="18:24" x14ac:dyDescent="0.35">
      <c r="R301" s="40"/>
      <c r="S301" s="40"/>
      <c r="T301" s="40"/>
      <c r="U301" s="40"/>
      <c r="V301" s="40"/>
      <c r="W301" s="40"/>
      <c r="X301" s="40"/>
    </row>
    <row r="302" spans="18:24" x14ac:dyDescent="0.35">
      <c r="R302" s="40"/>
      <c r="S302" s="40"/>
      <c r="T302" s="40"/>
      <c r="U302" s="40"/>
      <c r="V302" s="40"/>
      <c r="W302" s="40"/>
      <c r="X302" s="40"/>
    </row>
    <row r="303" spans="18:24" x14ac:dyDescent="0.35">
      <c r="R303" s="40"/>
      <c r="S303" s="40"/>
      <c r="T303" s="40"/>
      <c r="U303" s="40"/>
      <c r="V303" s="40"/>
      <c r="W303" s="40"/>
      <c r="X303" s="40"/>
    </row>
    <row r="304" spans="18:24" x14ac:dyDescent="0.35">
      <c r="R304" s="40"/>
      <c r="S304" s="40"/>
      <c r="T304" s="40"/>
      <c r="U304" s="40"/>
      <c r="V304" s="40"/>
      <c r="W304" s="40"/>
      <c r="X304" s="40"/>
    </row>
    <row r="305" spans="18:24" x14ac:dyDescent="0.35">
      <c r="R305" s="40"/>
      <c r="S305" s="40"/>
      <c r="T305" s="40"/>
      <c r="U305" s="40"/>
      <c r="V305" s="40"/>
      <c r="W305" s="40"/>
      <c r="X305" s="40"/>
    </row>
    <row r="306" spans="18:24" x14ac:dyDescent="0.35">
      <c r="R306" s="40"/>
      <c r="S306" s="40"/>
      <c r="T306" s="40"/>
      <c r="U306" s="40"/>
      <c r="V306" s="40"/>
      <c r="W306" s="40"/>
      <c r="X306" s="40"/>
    </row>
    <row r="307" spans="18:24" x14ac:dyDescent="0.35">
      <c r="R307" s="40"/>
      <c r="S307" s="40"/>
      <c r="T307" s="40"/>
      <c r="U307" s="40"/>
      <c r="V307" s="40"/>
      <c r="W307" s="40"/>
      <c r="X307" s="40"/>
    </row>
    <row r="308" spans="18:24" x14ac:dyDescent="0.35">
      <c r="R308" s="40"/>
      <c r="S308" s="40"/>
      <c r="T308" s="40"/>
      <c r="U308" s="40"/>
      <c r="V308" s="40"/>
      <c r="W308" s="40"/>
      <c r="X308" s="40"/>
    </row>
    <row r="309" spans="18:24" x14ac:dyDescent="0.35">
      <c r="R309" s="40"/>
      <c r="S309" s="40"/>
      <c r="T309" s="40"/>
      <c r="U309" s="40"/>
      <c r="V309" s="40"/>
      <c r="W309" s="40"/>
      <c r="X309" s="40"/>
    </row>
    <row r="310" spans="18:24" x14ac:dyDescent="0.35">
      <c r="R310" s="40"/>
      <c r="S310" s="40"/>
      <c r="T310" s="40"/>
      <c r="U310" s="40"/>
      <c r="V310" s="40"/>
      <c r="W310" s="40"/>
      <c r="X310" s="40"/>
    </row>
    <row r="311" spans="18:24" x14ac:dyDescent="0.35">
      <c r="R311" s="40"/>
      <c r="S311" s="40"/>
      <c r="T311" s="40"/>
      <c r="U311" s="40"/>
      <c r="V311" s="40"/>
      <c r="W311" s="40"/>
      <c r="X311" s="40"/>
    </row>
    <row r="312" spans="18:24" x14ac:dyDescent="0.35">
      <c r="R312" s="40"/>
      <c r="S312" s="40"/>
      <c r="T312" s="40"/>
      <c r="U312" s="40"/>
      <c r="V312" s="40"/>
      <c r="W312" s="40"/>
      <c r="X312" s="40"/>
    </row>
    <row r="313" spans="18:24" x14ac:dyDescent="0.35">
      <c r="R313" s="40"/>
      <c r="S313" s="40"/>
      <c r="T313" s="40"/>
      <c r="U313" s="40"/>
      <c r="V313" s="40"/>
      <c r="W313" s="40"/>
      <c r="X313" s="40"/>
    </row>
    <row r="314" spans="18:24" x14ac:dyDescent="0.35">
      <c r="R314" s="40"/>
      <c r="S314" s="40"/>
      <c r="T314" s="40"/>
      <c r="U314" s="40"/>
      <c r="V314" s="40"/>
      <c r="W314" s="40"/>
      <c r="X314" s="40"/>
    </row>
    <row r="315" spans="18:24" x14ac:dyDescent="0.35">
      <c r="R315" s="40"/>
      <c r="S315" s="40"/>
      <c r="T315" s="40"/>
      <c r="U315" s="40"/>
      <c r="V315" s="40"/>
      <c r="W315" s="40"/>
      <c r="X315" s="40"/>
    </row>
    <row r="316" spans="18:24" x14ac:dyDescent="0.35">
      <c r="R316" s="40"/>
      <c r="S316" s="40"/>
      <c r="T316" s="40"/>
      <c r="U316" s="40"/>
      <c r="V316" s="40"/>
      <c r="W316" s="40"/>
      <c r="X316" s="40"/>
    </row>
    <row r="317" spans="18:24" x14ac:dyDescent="0.35">
      <c r="R317" s="40"/>
      <c r="S317" s="40"/>
      <c r="T317" s="40"/>
      <c r="U317" s="40"/>
      <c r="V317" s="40"/>
      <c r="W317" s="40"/>
      <c r="X317" s="40"/>
    </row>
    <row r="318" spans="18:24" x14ac:dyDescent="0.35">
      <c r="R318" s="40"/>
      <c r="S318" s="40"/>
      <c r="T318" s="40"/>
      <c r="U318" s="40"/>
      <c r="V318" s="40"/>
      <c r="W318" s="40"/>
      <c r="X318" s="40"/>
    </row>
    <row r="319" spans="18:24" x14ac:dyDescent="0.35">
      <c r="R319" s="40"/>
      <c r="S319" s="40"/>
      <c r="T319" s="40"/>
      <c r="U319" s="40"/>
      <c r="V319" s="40"/>
      <c r="W319" s="40"/>
      <c r="X319" s="40"/>
    </row>
    <row r="320" spans="18:24" x14ac:dyDescent="0.35">
      <c r="R320" s="40"/>
      <c r="S320" s="40"/>
      <c r="T320" s="40"/>
      <c r="U320" s="40"/>
      <c r="V320" s="40"/>
      <c r="W320" s="40"/>
      <c r="X320" s="40"/>
    </row>
    <row r="321" spans="18:24" x14ac:dyDescent="0.35">
      <c r="R321" s="40"/>
      <c r="S321" s="40"/>
      <c r="T321" s="40"/>
      <c r="U321" s="40"/>
      <c r="V321" s="40"/>
      <c r="W321" s="40"/>
      <c r="X321" s="40"/>
    </row>
    <row r="322" spans="18:24" x14ac:dyDescent="0.35">
      <c r="R322" s="40"/>
      <c r="S322" s="40"/>
      <c r="T322" s="40"/>
      <c r="U322" s="40"/>
      <c r="V322" s="40"/>
      <c r="W322" s="40"/>
      <c r="X322" s="40"/>
    </row>
    <row r="323" spans="18:24" x14ac:dyDescent="0.35">
      <c r="R323" s="40"/>
      <c r="S323" s="40"/>
      <c r="T323" s="40"/>
      <c r="U323" s="40"/>
      <c r="V323" s="40"/>
      <c r="W323" s="40"/>
      <c r="X323" s="40"/>
    </row>
    <row r="324" spans="18:24" x14ac:dyDescent="0.35">
      <c r="R324" s="40"/>
      <c r="S324" s="40"/>
      <c r="T324" s="40"/>
      <c r="U324" s="40"/>
      <c r="V324" s="40"/>
      <c r="W324" s="40"/>
      <c r="X324" s="40"/>
    </row>
    <row r="325" spans="18:24" x14ac:dyDescent="0.35">
      <c r="R325" s="40"/>
      <c r="S325" s="40"/>
      <c r="T325" s="40"/>
      <c r="U325" s="40"/>
      <c r="V325" s="40"/>
      <c r="W325" s="40"/>
      <c r="X325" s="40"/>
    </row>
    <row r="326" spans="18:24" x14ac:dyDescent="0.35">
      <c r="R326" s="40"/>
      <c r="S326" s="40"/>
      <c r="T326" s="40"/>
      <c r="U326" s="40"/>
      <c r="V326" s="40"/>
      <c r="W326" s="40"/>
      <c r="X326" s="40"/>
    </row>
    <row r="327" spans="18:24" x14ac:dyDescent="0.35">
      <c r="R327" s="40"/>
      <c r="S327" s="40"/>
      <c r="T327" s="40"/>
      <c r="U327" s="40"/>
      <c r="V327" s="40"/>
      <c r="W327" s="40"/>
      <c r="X327" s="40"/>
    </row>
    <row r="328" spans="18:24" x14ac:dyDescent="0.35">
      <c r="R328" s="40"/>
      <c r="S328" s="40"/>
      <c r="T328" s="40"/>
      <c r="U328" s="40"/>
      <c r="V328" s="40"/>
      <c r="W328" s="40"/>
      <c r="X328" s="40"/>
    </row>
    <row r="329" spans="18:24" x14ac:dyDescent="0.35">
      <c r="R329" s="40"/>
      <c r="T329" s="40"/>
      <c r="U329" s="40"/>
      <c r="V329" s="40"/>
      <c r="W329" s="40"/>
      <c r="X329" s="40"/>
    </row>
    <row r="330" spans="18:24" x14ac:dyDescent="0.35">
      <c r="R330" s="40"/>
      <c r="T330" s="40"/>
      <c r="U330" s="40"/>
      <c r="V330" s="40"/>
      <c r="W330" s="40"/>
      <c r="X330" s="40"/>
    </row>
    <row r="331" spans="18:24" x14ac:dyDescent="0.35">
      <c r="R331" s="40"/>
      <c r="T331" s="40"/>
      <c r="U331" s="40"/>
      <c r="V331" s="40"/>
      <c r="W331" s="40"/>
      <c r="X331" s="40"/>
    </row>
    <row r="332" spans="18:24" x14ac:dyDescent="0.35">
      <c r="R332" s="40"/>
      <c r="T332" s="40"/>
      <c r="U332" s="40"/>
      <c r="V332" s="40"/>
      <c r="W332" s="40"/>
      <c r="X332" s="40"/>
    </row>
    <row r="333" spans="18:24" x14ac:dyDescent="0.35">
      <c r="R333" s="40"/>
      <c r="T333" s="40"/>
      <c r="U333" s="40"/>
      <c r="V333" s="40"/>
      <c r="W333" s="40"/>
      <c r="X333" s="40"/>
    </row>
    <row r="334" spans="18:24" x14ac:dyDescent="0.35">
      <c r="R334" s="40"/>
      <c r="T334" s="40"/>
      <c r="U334" s="40"/>
      <c r="V334" s="40"/>
      <c r="W334" s="40"/>
      <c r="X334" s="40"/>
    </row>
    <row r="335" spans="18:24" x14ac:dyDescent="0.35">
      <c r="X335" s="40"/>
    </row>
    <row r="336" spans="18:24" x14ac:dyDescent="0.35">
      <c r="X336" s="40"/>
    </row>
    <row r="337" spans="24:24" x14ac:dyDescent="0.35">
      <c r="X337" s="40"/>
    </row>
    <row r="338" spans="24:24" x14ac:dyDescent="0.35">
      <c r="X338" s="40"/>
    </row>
    <row r="339" spans="24:24" x14ac:dyDescent="0.35">
      <c r="X339" s="40"/>
    </row>
    <row r="340" spans="24:24" x14ac:dyDescent="0.35">
      <c r="X340" s="40"/>
    </row>
    <row r="341" spans="24:24" x14ac:dyDescent="0.35">
      <c r="X341" s="40"/>
    </row>
    <row r="342" spans="24:24" x14ac:dyDescent="0.35">
      <c r="X342" s="40"/>
    </row>
    <row r="343" spans="24:24" x14ac:dyDescent="0.35">
      <c r="X343" s="40"/>
    </row>
    <row r="344" spans="24:24" x14ac:dyDescent="0.35">
      <c r="X344" s="40"/>
    </row>
    <row r="345" spans="24:24" x14ac:dyDescent="0.35">
      <c r="X345" s="40"/>
    </row>
    <row r="346" spans="24:24" x14ac:dyDescent="0.35">
      <c r="X346" s="40"/>
    </row>
    <row r="347" spans="24:24" x14ac:dyDescent="0.35">
      <c r="X347" s="40"/>
    </row>
    <row r="348" spans="24:24" x14ac:dyDescent="0.35">
      <c r="X348" s="40"/>
    </row>
    <row r="349" spans="24:24" x14ac:dyDescent="0.35">
      <c r="X349" s="40"/>
    </row>
    <row r="350" spans="24:24" x14ac:dyDescent="0.35">
      <c r="X350" s="40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34"/>
  <sheetViews>
    <sheetView workbookViewId="0">
      <selection activeCell="B34" sqref="B34"/>
    </sheetView>
    <sheetView workbookViewId="1">
      <selection activeCell="B14" sqref="B14"/>
    </sheetView>
  </sheetViews>
  <sheetFormatPr defaultRowHeight="14.5" x14ac:dyDescent="0.35"/>
  <cols>
    <col min="1" max="1" width="48.81640625" bestFit="1" customWidth="1"/>
    <col min="2" max="2" width="67.36328125" bestFit="1" customWidth="1"/>
    <col min="4" max="4" width="9.26953125" bestFit="1" customWidth="1"/>
  </cols>
  <sheetData>
    <row r="1" spans="1:4" x14ac:dyDescent="0.35">
      <c r="A1" t="s">
        <v>58</v>
      </c>
      <c r="B1" t="s">
        <v>57</v>
      </c>
      <c r="C1" t="s">
        <v>59</v>
      </c>
      <c r="D1" t="s">
        <v>17</v>
      </c>
    </row>
    <row r="2" spans="1:4" x14ac:dyDescent="0.35">
      <c r="A2" t="s">
        <v>288</v>
      </c>
      <c r="B2" s="109" t="s">
        <v>293</v>
      </c>
      <c r="C2" t="s">
        <v>19</v>
      </c>
      <c r="D2">
        <v>215</v>
      </c>
    </row>
    <row r="3" spans="1:4" x14ac:dyDescent="0.35">
      <c r="A3" t="s">
        <v>289</v>
      </c>
      <c r="B3" s="109" t="s">
        <v>293</v>
      </c>
      <c r="C3" t="s">
        <v>19</v>
      </c>
      <c r="D3">
        <v>325</v>
      </c>
    </row>
    <row r="4" spans="1:4" x14ac:dyDescent="0.35">
      <c r="A4" t="s">
        <v>290</v>
      </c>
      <c r="B4" s="109" t="s">
        <v>293</v>
      </c>
      <c r="C4" t="s">
        <v>19</v>
      </c>
      <c r="D4">
        <v>335</v>
      </c>
    </row>
    <row r="5" spans="1:4" x14ac:dyDescent="0.35">
      <c r="A5" t="s">
        <v>291</v>
      </c>
      <c r="B5" s="109" t="s">
        <v>294</v>
      </c>
      <c r="C5" t="s">
        <v>19</v>
      </c>
      <c r="D5">
        <v>2.2899999999999996</v>
      </c>
    </row>
    <row r="6" spans="1:4" x14ac:dyDescent="0.35">
      <c r="A6" t="s">
        <v>292</v>
      </c>
      <c r="B6" s="109" t="s">
        <v>295</v>
      </c>
      <c r="C6" t="s">
        <v>19</v>
      </c>
      <c r="D6">
        <v>3.36</v>
      </c>
    </row>
    <row r="7" spans="1:4" x14ac:dyDescent="0.35">
      <c r="A7" t="s">
        <v>296</v>
      </c>
      <c r="B7" s="109" t="s">
        <v>294</v>
      </c>
      <c r="C7" t="s">
        <v>19</v>
      </c>
      <c r="D7">
        <v>2.4900000000000002</v>
      </c>
    </row>
    <row r="8" spans="1:4" x14ac:dyDescent="0.35">
      <c r="A8" t="s">
        <v>297</v>
      </c>
      <c r="B8" s="109" t="s">
        <v>298</v>
      </c>
      <c r="C8" t="s">
        <v>19</v>
      </c>
      <c r="D8">
        <v>0.28000000000000003</v>
      </c>
    </row>
    <row r="9" spans="1:4" x14ac:dyDescent="0.35">
      <c r="A9" t="s">
        <v>299</v>
      </c>
      <c r="B9" s="115" t="s">
        <v>302</v>
      </c>
      <c r="C9" t="s">
        <v>19</v>
      </c>
      <c r="D9">
        <v>1.61</v>
      </c>
    </row>
    <row r="10" spans="1:4" x14ac:dyDescent="0.35">
      <c r="A10" t="s">
        <v>300</v>
      </c>
      <c r="B10" s="115" t="s">
        <v>303</v>
      </c>
      <c r="C10" t="s">
        <v>19</v>
      </c>
      <c r="D10">
        <v>0.34</v>
      </c>
    </row>
    <row r="11" spans="1:4" x14ac:dyDescent="0.35">
      <c r="A11" t="s">
        <v>301</v>
      </c>
      <c r="B11" s="115" t="s">
        <v>304</v>
      </c>
      <c r="C11" t="s">
        <v>19</v>
      </c>
      <c r="D11">
        <v>0.11</v>
      </c>
    </row>
    <row r="12" spans="1:4" x14ac:dyDescent="0.35">
      <c r="A12" t="s">
        <v>305</v>
      </c>
      <c r="B12" s="108" t="s">
        <v>312</v>
      </c>
      <c r="C12" t="s">
        <v>19</v>
      </c>
      <c r="D12">
        <v>4.3599999999999994</v>
      </c>
    </row>
    <row r="13" spans="1:4" x14ac:dyDescent="0.35">
      <c r="A13" t="s">
        <v>306</v>
      </c>
      <c r="B13" s="108" t="s">
        <v>313</v>
      </c>
      <c r="C13" t="s">
        <v>19</v>
      </c>
      <c r="D13">
        <v>0.62</v>
      </c>
    </row>
    <row r="14" spans="1:4" x14ac:dyDescent="0.35">
      <c r="A14" t="s">
        <v>307</v>
      </c>
      <c r="B14" s="108" t="s">
        <v>314</v>
      </c>
      <c r="C14" t="s">
        <v>19</v>
      </c>
      <c r="D14">
        <v>0.34</v>
      </c>
    </row>
    <row r="15" spans="1:4" x14ac:dyDescent="0.35">
      <c r="A15" t="s">
        <v>308</v>
      </c>
      <c r="B15" s="108" t="s">
        <v>315</v>
      </c>
      <c r="C15" t="s">
        <v>19</v>
      </c>
      <c r="D15">
        <v>4.25</v>
      </c>
    </row>
    <row r="16" spans="1:4" x14ac:dyDescent="0.35">
      <c r="A16" t="s">
        <v>309</v>
      </c>
      <c r="B16" s="108" t="s">
        <v>316</v>
      </c>
      <c r="C16" t="s">
        <v>19</v>
      </c>
      <c r="D16">
        <v>2.1599999999999997</v>
      </c>
    </row>
    <row r="17" spans="1:4" x14ac:dyDescent="0.35">
      <c r="A17" t="s">
        <v>310</v>
      </c>
      <c r="B17" s="108" t="s">
        <v>317</v>
      </c>
      <c r="C17" t="s">
        <v>19</v>
      </c>
      <c r="D17">
        <v>5.5</v>
      </c>
    </row>
    <row r="18" spans="1:4" x14ac:dyDescent="0.35">
      <c r="A18" t="s">
        <v>311</v>
      </c>
      <c r="B18" s="108" t="s">
        <v>318</v>
      </c>
      <c r="C18" t="s">
        <v>19</v>
      </c>
      <c r="D18">
        <v>0.36</v>
      </c>
    </row>
    <row r="19" spans="1:4" x14ac:dyDescent="0.35">
      <c r="A19" t="s">
        <v>319</v>
      </c>
      <c r="B19" s="108" t="s">
        <v>323</v>
      </c>
      <c r="C19" t="s">
        <v>19</v>
      </c>
      <c r="D19">
        <v>0.25</v>
      </c>
    </row>
    <row r="20" spans="1:4" x14ac:dyDescent="0.35">
      <c r="A20" t="s">
        <v>320</v>
      </c>
      <c r="B20" s="108" t="s">
        <v>324</v>
      </c>
      <c r="C20" t="s">
        <v>19</v>
      </c>
      <c r="D20">
        <v>0.25</v>
      </c>
    </row>
    <row r="21" spans="1:4" x14ac:dyDescent="0.35">
      <c r="A21" t="s">
        <v>321</v>
      </c>
      <c r="B21" s="110" t="s">
        <v>294</v>
      </c>
      <c r="C21" t="s">
        <v>19</v>
      </c>
      <c r="D21">
        <v>0.25</v>
      </c>
    </row>
    <row r="22" spans="1:4" x14ac:dyDescent="0.35">
      <c r="A22" t="s">
        <v>322</v>
      </c>
      <c r="B22" s="108" t="s">
        <v>325</v>
      </c>
      <c r="C22" t="s">
        <v>19</v>
      </c>
      <c r="D22">
        <v>0.25</v>
      </c>
    </row>
    <row r="23" spans="1:4" x14ac:dyDescent="0.35">
      <c r="A23" t="s">
        <v>326</v>
      </c>
      <c r="B23" s="109" t="s">
        <v>335</v>
      </c>
      <c r="C23" t="s">
        <v>19</v>
      </c>
      <c r="D23">
        <v>31.5</v>
      </c>
    </row>
    <row r="24" spans="1:4" x14ac:dyDescent="0.35">
      <c r="A24" t="s">
        <v>327</v>
      </c>
      <c r="B24" s="108" t="s">
        <v>336</v>
      </c>
      <c r="C24" t="s">
        <v>19</v>
      </c>
      <c r="D24">
        <v>82.6</v>
      </c>
    </row>
    <row r="25" spans="1:4" x14ac:dyDescent="0.35">
      <c r="A25" t="s">
        <v>327</v>
      </c>
      <c r="B25" s="108" t="s">
        <v>337</v>
      </c>
      <c r="C25" t="s">
        <v>19</v>
      </c>
      <c r="D25">
        <v>8.65</v>
      </c>
    </row>
    <row r="26" spans="1:4" x14ac:dyDescent="0.35">
      <c r="A26" t="s">
        <v>328</v>
      </c>
      <c r="B26" s="108" t="s">
        <v>338</v>
      </c>
      <c r="C26" t="s">
        <v>19</v>
      </c>
      <c r="D26">
        <v>21.5</v>
      </c>
    </row>
    <row r="27" spans="1:4" x14ac:dyDescent="0.35">
      <c r="A27" t="s">
        <v>328</v>
      </c>
      <c r="B27" s="108" t="s">
        <v>339</v>
      </c>
      <c r="C27" t="s">
        <v>19</v>
      </c>
      <c r="D27">
        <v>2.75</v>
      </c>
    </row>
    <row r="28" spans="1:4" x14ac:dyDescent="0.35">
      <c r="A28" t="s">
        <v>329</v>
      </c>
      <c r="B28" s="108" t="s">
        <v>340</v>
      </c>
      <c r="C28" t="s">
        <v>19</v>
      </c>
      <c r="D28">
        <v>4.4000000000000004</v>
      </c>
    </row>
    <row r="29" spans="1:4" x14ac:dyDescent="0.35">
      <c r="A29" t="s">
        <v>330</v>
      </c>
      <c r="B29" s="108" t="s">
        <v>340</v>
      </c>
      <c r="C29" t="s">
        <v>19</v>
      </c>
      <c r="D29">
        <v>3.9</v>
      </c>
    </row>
    <row r="30" spans="1:4" x14ac:dyDescent="0.35">
      <c r="A30" t="s">
        <v>330</v>
      </c>
      <c r="B30" s="108" t="s">
        <v>341</v>
      </c>
      <c r="C30" t="s">
        <v>19</v>
      </c>
      <c r="D30">
        <v>0.28000000000000003</v>
      </c>
    </row>
    <row r="31" spans="1:4" x14ac:dyDescent="0.35">
      <c r="A31" t="s">
        <v>331</v>
      </c>
      <c r="B31" s="108" t="s">
        <v>342</v>
      </c>
      <c r="C31" t="s">
        <v>19</v>
      </c>
      <c r="D31">
        <v>0.12</v>
      </c>
    </row>
    <row r="32" spans="1:4" x14ac:dyDescent="0.35">
      <c r="A32" t="s">
        <v>332</v>
      </c>
      <c r="B32" s="108" t="s">
        <v>342</v>
      </c>
      <c r="C32" t="s">
        <v>19</v>
      </c>
      <c r="D32">
        <v>0.26</v>
      </c>
    </row>
    <row r="33" spans="1:4" x14ac:dyDescent="0.35">
      <c r="A33" t="s">
        <v>333</v>
      </c>
      <c r="B33" s="108" t="s">
        <v>343</v>
      </c>
      <c r="C33" t="s">
        <v>19</v>
      </c>
      <c r="D33">
        <v>3.86</v>
      </c>
    </row>
    <row r="34" spans="1:4" x14ac:dyDescent="0.35">
      <c r="A34" t="s">
        <v>334</v>
      </c>
      <c r="B34" s="108" t="s">
        <v>344</v>
      </c>
      <c r="C34" t="s">
        <v>19</v>
      </c>
      <c r="D34">
        <v>0.28000000000000003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O28"/>
  <sheetViews>
    <sheetView workbookViewId="0">
      <selection activeCell="F30" sqref="F30"/>
    </sheetView>
    <sheetView workbookViewId="1">
      <selection activeCell="H13" sqref="H13"/>
    </sheetView>
  </sheetViews>
  <sheetFormatPr defaultRowHeight="14.5" x14ac:dyDescent="0.35"/>
  <cols>
    <col min="1" max="1" width="18.36328125" bestFit="1" customWidth="1"/>
    <col min="2" max="2" width="12.90625" customWidth="1"/>
    <col min="3" max="3" width="11.81640625" bestFit="1" customWidth="1"/>
    <col min="11" max="11" width="9.453125" bestFit="1" customWidth="1"/>
    <col min="12" max="12" width="10.54296875" bestFit="1" customWidth="1"/>
    <col min="13" max="15" width="10.1796875" bestFit="1" customWidth="1"/>
  </cols>
  <sheetData>
    <row r="1" spans="1:15" ht="39.5" thickBot="1" x14ac:dyDescent="0.4">
      <c r="A1" s="65" t="s">
        <v>248</v>
      </c>
      <c r="B1" s="66" t="s">
        <v>249</v>
      </c>
      <c r="C1" s="67" t="s">
        <v>250</v>
      </c>
      <c r="D1" s="67" t="s">
        <v>251</v>
      </c>
      <c r="E1" s="67" t="s">
        <v>252</v>
      </c>
      <c r="F1" s="67" t="s">
        <v>253</v>
      </c>
      <c r="G1" s="67" t="s">
        <v>254</v>
      </c>
      <c r="H1" s="67" t="s">
        <v>255</v>
      </c>
      <c r="I1" s="68" t="s">
        <v>256</v>
      </c>
      <c r="J1" s="69" t="s">
        <v>53</v>
      </c>
      <c r="K1" s="69" t="s">
        <v>257</v>
      </c>
      <c r="L1" s="69" t="s">
        <v>236</v>
      </c>
      <c r="M1" s="70" t="s">
        <v>258</v>
      </c>
      <c r="N1" s="67" t="s">
        <v>259</v>
      </c>
      <c r="O1" s="71" t="s">
        <v>260</v>
      </c>
    </row>
    <row r="2" spans="1:15" x14ac:dyDescent="0.35">
      <c r="A2" s="72">
        <v>1</v>
      </c>
      <c r="B2" s="73">
        <v>64.699999999999989</v>
      </c>
      <c r="C2" s="74">
        <v>74.5</v>
      </c>
      <c r="D2" s="74">
        <v>79.399999999999991</v>
      </c>
      <c r="E2" s="74">
        <v>89</v>
      </c>
      <c r="F2" s="74">
        <v>95.699999999999989</v>
      </c>
      <c r="G2" s="74">
        <v>98.699999999999989</v>
      </c>
      <c r="H2" s="74">
        <v>103.5</v>
      </c>
      <c r="I2" s="75">
        <v>103.69999999999999</v>
      </c>
      <c r="J2" s="76">
        <v>97.6</v>
      </c>
      <c r="K2" s="76">
        <v>182.29999999999998</v>
      </c>
      <c r="L2" s="77">
        <v>190.1</v>
      </c>
      <c r="M2" s="76">
        <v>194.9</v>
      </c>
      <c r="N2" s="78">
        <v>145.69999999999999</v>
      </c>
      <c r="O2" s="75">
        <v>145.69999999999999</v>
      </c>
    </row>
    <row r="3" spans="1:15" x14ac:dyDescent="0.35">
      <c r="A3" s="79">
        <v>2</v>
      </c>
      <c r="B3" s="80">
        <v>108.5</v>
      </c>
      <c r="C3" s="81">
        <v>127.8</v>
      </c>
      <c r="D3" s="81">
        <v>137.4</v>
      </c>
      <c r="E3" s="81">
        <v>155.1</v>
      </c>
      <c r="F3" s="81">
        <v>166.5</v>
      </c>
      <c r="G3" s="81">
        <v>176.29999999999998</v>
      </c>
      <c r="H3" s="81">
        <v>182.7</v>
      </c>
      <c r="I3" s="82">
        <v>187.29999999999998</v>
      </c>
      <c r="J3" s="83">
        <v>169.1</v>
      </c>
      <c r="K3" s="83">
        <v>332.5</v>
      </c>
      <c r="L3" s="84">
        <v>312.20000000000005</v>
      </c>
      <c r="M3" s="83">
        <v>366.20000000000005</v>
      </c>
      <c r="N3" s="85">
        <v>210</v>
      </c>
      <c r="O3" s="82">
        <v>210</v>
      </c>
    </row>
    <row r="4" spans="1:15" x14ac:dyDescent="0.35">
      <c r="A4" s="79">
        <v>3</v>
      </c>
      <c r="B4" s="80">
        <v>148.6</v>
      </c>
      <c r="C4" s="81">
        <v>174.5</v>
      </c>
      <c r="D4" s="81">
        <v>187.29999999999998</v>
      </c>
      <c r="E4" s="81">
        <v>209.9</v>
      </c>
      <c r="F4" s="81">
        <v>227.9</v>
      </c>
      <c r="G4" s="81">
        <v>237.5</v>
      </c>
      <c r="H4" s="81">
        <v>248.5</v>
      </c>
      <c r="I4" s="82">
        <v>255</v>
      </c>
      <c r="J4" s="83">
        <v>195.7</v>
      </c>
      <c r="K4" s="83">
        <v>400.90000000000003</v>
      </c>
      <c r="L4" s="84">
        <v>387.6</v>
      </c>
      <c r="M4" s="83">
        <v>506.40000000000003</v>
      </c>
      <c r="N4" s="85">
        <v>273.3</v>
      </c>
      <c r="O4" s="82">
        <v>273.3</v>
      </c>
    </row>
    <row r="5" spans="1:15" x14ac:dyDescent="0.35">
      <c r="A5" s="79">
        <v>4</v>
      </c>
      <c r="B5" s="80">
        <v>179.4</v>
      </c>
      <c r="C5" s="81">
        <v>211.7</v>
      </c>
      <c r="D5" s="81">
        <v>225.79999999999998</v>
      </c>
      <c r="E5" s="81">
        <v>253.5</v>
      </c>
      <c r="F5" s="81">
        <v>276.20000000000005</v>
      </c>
      <c r="G5" s="81">
        <v>289.10000000000002</v>
      </c>
      <c r="H5" s="81">
        <v>301.90000000000003</v>
      </c>
      <c r="I5" s="82">
        <v>310.10000000000002</v>
      </c>
      <c r="J5" s="83">
        <v>248.2</v>
      </c>
      <c r="K5" s="83">
        <v>512.30000000000007</v>
      </c>
      <c r="L5" s="84">
        <v>463.20000000000005</v>
      </c>
      <c r="M5" s="83">
        <v>615.4</v>
      </c>
      <c r="N5" s="85">
        <v>353.5</v>
      </c>
      <c r="O5" s="82">
        <v>353.5</v>
      </c>
    </row>
    <row r="6" spans="1:15" x14ac:dyDescent="0.35">
      <c r="A6" s="79">
        <v>5</v>
      </c>
      <c r="B6" s="80">
        <v>208.29999999999998</v>
      </c>
      <c r="C6" s="81">
        <v>240.6</v>
      </c>
      <c r="D6" s="81">
        <v>259.90000000000003</v>
      </c>
      <c r="E6" s="81">
        <v>289.10000000000002</v>
      </c>
      <c r="F6" s="81">
        <v>310.10000000000002</v>
      </c>
      <c r="G6" s="81">
        <v>324.5</v>
      </c>
      <c r="H6" s="81">
        <v>338.90000000000003</v>
      </c>
      <c r="I6" s="82">
        <v>348.70000000000005</v>
      </c>
      <c r="J6" s="83">
        <v>306</v>
      </c>
      <c r="K6" s="83">
        <v>595.20000000000005</v>
      </c>
      <c r="L6" s="84">
        <v>546.20000000000005</v>
      </c>
      <c r="M6" s="83">
        <v>716.6</v>
      </c>
      <c r="N6" s="85">
        <v>440.1</v>
      </c>
      <c r="O6" s="82">
        <v>440.1</v>
      </c>
    </row>
    <row r="7" spans="1:15" x14ac:dyDescent="0.35">
      <c r="A7" s="79">
        <v>6</v>
      </c>
      <c r="B7" s="80">
        <v>227.9</v>
      </c>
      <c r="C7" s="81">
        <v>264.8</v>
      </c>
      <c r="D7" s="81">
        <v>282.5</v>
      </c>
      <c r="E7" s="81">
        <v>313.10000000000002</v>
      </c>
      <c r="F7" s="81">
        <v>338.90000000000003</v>
      </c>
      <c r="G7" s="81">
        <v>355</v>
      </c>
      <c r="H7" s="81">
        <v>373</v>
      </c>
      <c r="I7" s="82">
        <v>382.5</v>
      </c>
      <c r="J7" s="83">
        <v>321.60000000000002</v>
      </c>
      <c r="K7" s="83">
        <v>610</v>
      </c>
      <c r="L7" s="84">
        <v>651.80000000000007</v>
      </c>
      <c r="M7" s="83">
        <v>771.2</v>
      </c>
      <c r="N7" s="85">
        <v>500.20000000000005</v>
      </c>
      <c r="O7" s="82">
        <v>500.20000000000005</v>
      </c>
    </row>
    <row r="8" spans="1:15" x14ac:dyDescent="0.35">
      <c r="A8" s="79">
        <v>7</v>
      </c>
      <c r="B8" s="80">
        <v>244</v>
      </c>
      <c r="C8" s="81">
        <v>284.10000000000002</v>
      </c>
      <c r="D8" s="81">
        <v>305.10000000000002</v>
      </c>
      <c r="E8" s="81">
        <v>340.70000000000005</v>
      </c>
      <c r="F8" s="81">
        <v>367.90000000000003</v>
      </c>
      <c r="G8" s="81">
        <v>385.70000000000005</v>
      </c>
      <c r="H8" s="81">
        <v>405.1</v>
      </c>
      <c r="I8" s="82">
        <v>416.20000000000005</v>
      </c>
      <c r="J8" s="83">
        <v>328.70000000000005</v>
      </c>
      <c r="K8" s="83">
        <v>609.1</v>
      </c>
      <c r="L8" s="84">
        <v>717.2</v>
      </c>
      <c r="M8" s="83">
        <v>810.1</v>
      </c>
      <c r="N8" s="85">
        <v>577.20000000000005</v>
      </c>
      <c r="O8" s="82">
        <v>577.20000000000005</v>
      </c>
    </row>
    <row r="9" spans="1:15" x14ac:dyDescent="0.35">
      <c r="A9" s="79">
        <v>8</v>
      </c>
      <c r="B9" s="80">
        <v>264.8</v>
      </c>
      <c r="C9" s="81">
        <v>310.10000000000002</v>
      </c>
      <c r="D9" s="81">
        <v>332.5</v>
      </c>
      <c r="E9" s="81">
        <v>373</v>
      </c>
      <c r="F9" s="81">
        <v>405.1</v>
      </c>
      <c r="G9" s="81">
        <v>424.3</v>
      </c>
      <c r="H9" s="81">
        <v>447</v>
      </c>
      <c r="I9" s="82">
        <v>461.3</v>
      </c>
      <c r="J9" s="83">
        <v>353.40000000000003</v>
      </c>
      <c r="K9" s="83">
        <v>611.1</v>
      </c>
      <c r="L9" s="84">
        <v>864.4</v>
      </c>
      <c r="M9" s="83">
        <v>856.9</v>
      </c>
      <c r="N9" s="85">
        <v>651.1</v>
      </c>
      <c r="O9" s="82">
        <v>651.1</v>
      </c>
    </row>
    <row r="10" spans="1:15" x14ac:dyDescent="0.35">
      <c r="A10" s="79">
        <v>9</v>
      </c>
      <c r="B10" s="80">
        <v>279.3</v>
      </c>
      <c r="C10" s="81">
        <v>329.3</v>
      </c>
      <c r="D10" s="81">
        <v>353.5</v>
      </c>
      <c r="E10" s="81">
        <v>395.3</v>
      </c>
      <c r="F10" s="81">
        <v>430.8</v>
      </c>
      <c r="G10" s="81">
        <v>450.20000000000005</v>
      </c>
      <c r="H10" s="81">
        <v>474.40000000000003</v>
      </c>
      <c r="I10" s="82">
        <v>490.5</v>
      </c>
      <c r="J10" s="83">
        <v>405.90000000000003</v>
      </c>
      <c r="K10" s="83">
        <v>635.5</v>
      </c>
      <c r="L10" s="84">
        <v>918.5</v>
      </c>
      <c r="M10" s="83">
        <v>895.7</v>
      </c>
      <c r="N10" s="85">
        <v>715.5</v>
      </c>
      <c r="O10" s="82">
        <v>715.5</v>
      </c>
    </row>
    <row r="11" spans="1:15" x14ac:dyDescent="0.35">
      <c r="A11" s="79">
        <v>10</v>
      </c>
      <c r="B11" s="80">
        <v>293.8</v>
      </c>
      <c r="C11" s="81">
        <v>347.1</v>
      </c>
      <c r="D11" s="81">
        <v>374.3</v>
      </c>
      <c r="E11" s="81">
        <v>419.40000000000003</v>
      </c>
      <c r="F11" s="81">
        <v>454.90000000000003</v>
      </c>
      <c r="G11" s="81">
        <v>477.6</v>
      </c>
      <c r="H11" s="81">
        <v>501.70000000000005</v>
      </c>
      <c r="I11" s="82">
        <v>519.5</v>
      </c>
      <c r="J11" s="83">
        <v>411.20000000000005</v>
      </c>
      <c r="K11" s="83">
        <v>659.4</v>
      </c>
      <c r="L11" s="84">
        <v>1044.3</v>
      </c>
      <c r="M11" s="83">
        <v>919.1</v>
      </c>
      <c r="N11" s="85">
        <v>777.7</v>
      </c>
      <c r="O11" s="82">
        <v>777.7</v>
      </c>
    </row>
    <row r="12" spans="1:15" x14ac:dyDescent="0.35">
      <c r="A12" s="86">
        <v>11</v>
      </c>
      <c r="B12" s="87">
        <v>302.60000000000002</v>
      </c>
      <c r="C12" s="88">
        <v>354.70000000000005</v>
      </c>
      <c r="D12" s="88">
        <v>392.5</v>
      </c>
      <c r="E12" s="88">
        <v>437.6</v>
      </c>
      <c r="F12" s="88">
        <v>477.20000000000005</v>
      </c>
      <c r="G12" s="88">
        <v>524.9</v>
      </c>
      <c r="H12" s="88">
        <v>544.80000000000007</v>
      </c>
      <c r="I12" s="89">
        <v>581.80000000000007</v>
      </c>
      <c r="J12" s="90">
        <v>525.9</v>
      </c>
      <c r="K12" s="90">
        <v>702.1</v>
      </c>
      <c r="L12" s="91">
        <v>958.6</v>
      </c>
      <c r="M12" s="92">
        <v>1205.6999999999998</v>
      </c>
      <c r="N12" s="93">
        <v>772.5</v>
      </c>
      <c r="O12" s="94">
        <v>784.1</v>
      </c>
    </row>
    <row r="13" spans="1:15" x14ac:dyDescent="0.35">
      <c r="A13" s="86">
        <v>12</v>
      </c>
      <c r="B13" s="87">
        <v>314.8</v>
      </c>
      <c r="C13" s="88">
        <v>367</v>
      </c>
      <c r="D13" s="88">
        <v>402.3</v>
      </c>
      <c r="E13" s="88">
        <v>455.90000000000003</v>
      </c>
      <c r="F13" s="88">
        <v>531.1</v>
      </c>
      <c r="G13" s="88">
        <v>577.1</v>
      </c>
      <c r="H13" s="88">
        <v>584.70000000000005</v>
      </c>
      <c r="I13" s="89">
        <v>650.70000000000005</v>
      </c>
      <c r="J13" s="90">
        <v>532.30000000000007</v>
      </c>
      <c r="K13" s="90">
        <v>706.2</v>
      </c>
      <c r="L13" s="91">
        <v>1014</v>
      </c>
      <c r="M13" s="92">
        <v>1333.8</v>
      </c>
      <c r="N13" s="93">
        <v>802</v>
      </c>
      <c r="O13" s="94">
        <v>813.6</v>
      </c>
    </row>
    <row r="14" spans="1:15" x14ac:dyDescent="0.35">
      <c r="A14" s="86">
        <v>13</v>
      </c>
      <c r="B14" s="87">
        <v>327.20000000000005</v>
      </c>
      <c r="C14" s="88">
        <v>376.1</v>
      </c>
      <c r="D14" s="88">
        <v>409.90000000000003</v>
      </c>
      <c r="E14" s="88">
        <v>474.3</v>
      </c>
      <c r="F14" s="88">
        <v>586.4</v>
      </c>
      <c r="G14" s="88">
        <v>616.80000000000007</v>
      </c>
      <c r="H14" s="88">
        <v>629.30000000000007</v>
      </c>
      <c r="I14" s="89">
        <v>684.30000000000007</v>
      </c>
      <c r="J14" s="90">
        <v>545.1</v>
      </c>
      <c r="K14" s="90">
        <v>709.80000000000007</v>
      </c>
      <c r="L14" s="91">
        <v>1056.8999999999999</v>
      </c>
      <c r="M14" s="92">
        <v>1420</v>
      </c>
      <c r="N14" s="93">
        <v>831.5</v>
      </c>
      <c r="O14" s="94">
        <v>849.5</v>
      </c>
    </row>
    <row r="15" spans="1:15" x14ac:dyDescent="0.35">
      <c r="A15" s="86">
        <v>14</v>
      </c>
      <c r="B15" s="87">
        <v>334.8</v>
      </c>
      <c r="C15" s="88">
        <v>391.5</v>
      </c>
      <c r="D15" s="88">
        <v>426.90000000000003</v>
      </c>
      <c r="E15" s="88">
        <v>492.8</v>
      </c>
      <c r="F15" s="88">
        <v>630.70000000000005</v>
      </c>
      <c r="G15" s="88">
        <v>644.6</v>
      </c>
      <c r="H15" s="88">
        <v>661.4</v>
      </c>
      <c r="I15" s="89">
        <v>735.1</v>
      </c>
      <c r="J15" s="90">
        <v>553.5</v>
      </c>
      <c r="K15" s="90">
        <v>717.4</v>
      </c>
      <c r="L15" s="91">
        <v>1100.0999999999999</v>
      </c>
      <c r="M15" s="92">
        <v>1360.6</v>
      </c>
      <c r="N15" s="93">
        <v>861.1</v>
      </c>
      <c r="O15" s="94">
        <v>885.4</v>
      </c>
    </row>
    <row r="16" spans="1:15" x14ac:dyDescent="0.35">
      <c r="A16" s="86">
        <v>15</v>
      </c>
      <c r="B16" s="87">
        <v>342.3</v>
      </c>
      <c r="C16" s="88">
        <v>405.20000000000005</v>
      </c>
      <c r="D16" s="88">
        <v>440.6</v>
      </c>
      <c r="E16" s="88">
        <v>511.3</v>
      </c>
      <c r="F16" s="88">
        <v>650.70000000000005</v>
      </c>
      <c r="G16" s="88">
        <v>692.2</v>
      </c>
      <c r="H16" s="88">
        <v>713.6</v>
      </c>
      <c r="I16" s="89">
        <v>781.1</v>
      </c>
      <c r="J16" s="90">
        <v>568</v>
      </c>
      <c r="K16" s="90">
        <v>717.4</v>
      </c>
      <c r="L16" s="91">
        <v>1136.8</v>
      </c>
      <c r="M16" s="92">
        <v>1473.6</v>
      </c>
      <c r="N16" s="93">
        <v>890.6</v>
      </c>
      <c r="O16" s="94">
        <v>926.5</v>
      </c>
    </row>
    <row r="17" spans="1:15" x14ac:dyDescent="0.35">
      <c r="A17" s="86">
        <v>16</v>
      </c>
      <c r="B17" s="87">
        <v>350.20000000000005</v>
      </c>
      <c r="C17" s="88">
        <v>419.1</v>
      </c>
      <c r="D17" s="88">
        <v>452.90000000000003</v>
      </c>
      <c r="E17" s="88">
        <v>529.5</v>
      </c>
      <c r="F17" s="88">
        <v>673.7</v>
      </c>
      <c r="G17" s="88">
        <v>721.4</v>
      </c>
      <c r="H17" s="88">
        <v>736.5</v>
      </c>
      <c r="I17" s="89">
        <v>833.1</v>
      </c>
      <c r="J17" s="90">
        <v>584.9</v>
      </c>
      <c r="K17" s="90">
        <v>717.4</v>
      </c>
      <c r="L17" s="91">
        <v>1222.8999999999999</v>
      </c>
      <c r="M17" s="92">
        <v>1594.8</v>
      </c>
      <c r="N17" s="93">
        <v>944.5</v>
      </c>
      <c r="O17" s="94">
        <v>980.30000000000007</v>
      </c>
    </row>
    <row r="18" spans="1:15" x14ac:dyDescent="0.35">
      <c r="A18" s="86">
        <v>17</v>
      </c>
      <c r="B18" s="87">
        <v>356.40000000000003</v>
      </c>
      <c r="C18" s="88">
        <v>433</v>
      </c>
      <c r="D18" s="88">
        <v>474.3</v>
      </c>
      <c r="E18" s="88">
        <v>548</v>
      </c>
      <c r="F18" s="88">
        <v>687.6</v>
      </c>
      <c r="G18" s="88">
        <v>761.2</v>
      </c>
      <c r="H18" s="88">
        <v>814.80000000000007</v>
      </c>
      <c r="I18" s="89">
        <v>888.5</v>
      </c>
      <c r="J18" s="90">
        <v>614.5</v>
      </c>
      <c r="K18" s="90">
        <v>727.30000000000007</v>
      </c>
      <c r="L18" s="91">
        <v>1253.5999999999999</v>
      </c>
      <c r="M18" s="92">
        <v>1681</v>
      </c>
      <c r="N18" s="95">
        <v>985.6</v>
      </c>
      <c r="O18" s="94">
        <v>1039.3999999999999</v>
      </c>
    </row>
    <row r="19" spans="1:15" x14ac:dyDescent="0.35">
      <c r="A19" s="86">
        <v>18</v>
      </c>
      <c r="B19" s="87">
        <v>360.8</v>
      </c>
      <c r="C19" s="88">
        <v>446.8</v>
      </c>
      <c r="D19" s="88">
        <v>489.8</v>
      </c>
      <c r="E19" s="88">
        <v>566.5</v>
      </c>
      <c r="F19" s="88">
        <v>702.80000000000007</v>
      </c>
      <c r="G19" s="88">
        <v>801.1</v>
      </c>
      <c r="H19" s="88">
        <v>897.7</v>
      </c>
      <c r="I19" s="89">
        <v>934.5</v>
      </c>
      <c r="J19" s="90">
        <v>633.70000000000005</v>
      </c>
      <c r="K19" s="90">
        <v>727.30000000000007</v>
      </c>
      <c r="L19" s="91">
        <v>1284.3</v>
      </c>
      <c r="M19" s="92">
        <v>1741.6</v>
      </c>
      <c r="N19" s="95">
        <v>985.6</v>
      </c>
      <c r="O19" s="94">
        <v>1039.3999999999999</v>
      </c>
    </row>
    <row r="20" spans="1:15" x14ac:dyDescent="0.35">
      <c r="A20" s="86">
        <v>19</v>
      </c>
      <c r="B20" s="87">
        <v>367</v>
      </c>
      <c r="C20" s="88">
        <v>460.5</v>
      </c>
      <c r="D20" s="88">
        <v>503.40000000000003</v>
      </c>
      <c r="E20" s="88">
        <v>584.70000000000005</v>
      </c>
      <c r="F20" s="88">
        <v>718.30000000000007</v>
      </c>
      <c r="G20" s="88">
        <v>827.30000000000007</v>
      </c>
      <c r="H20" s="88">
        <v>928.30000000000007</v>
      </c>
      <c r="I20" s="89">
        <v>1003.4</v>
      </c>
      <c r="J20" s="90">
        <v>644.1</v>
      </c>
      <c r="K20" s="90">
        <v>736.6</v>
      </c>
      <c r="L20" s="91">
        <v>1321.3</v>
      </c>
      <c r="M20" s="92">
        <v>1823.1</v>
      </c>
      <c r="N20" s="95">
        <v>1033.0999999999999</v>
      </c>
      <c r="O20" s="94">
        <v>1092.1999999999998</v>
      </c>
    </row>
    <row r="21" spans="1:15" x14ac:dyDescent="0.35">
      <c r="A21" s="86">
        <v>20</v>
      </c>
      <c r="B21" s="87">
        <v>371.6</v>
      </c>
      <c r="C21" s="88">
        <v>474.3</v>
      </c>
      <c r="D21" s="88">
        <v>508.1</v>
      </c>
      <c r="E21" s="88">
        <v>603.1</v>
      </c>
      <c r="F21" s="88">
        <v>726</v>
      </c>
      <c r="G21" s="88">
        <v>890</v>
      </c>
      <c r="H21" s="88">
        <v>989.7</v>
      </c>
      <c r="I21" s="89">
        <v>1066.3</v>
      </c>
      <c r="J21" s="90">
        <v>654.6</v>
      </c>
      <c r="K21" s="90">
        <v>736.6</v>
      </c>
      <c r="L21" s="91">
        <v>1382.6999999999998</v>
      </c>
      <c r="M21" s="92">
        <v>1881.3</v>
      </c>
      <c r="N21" s="95">
        <v>1033.0999999999999</v>
      </c>
      <c r="O21" s="94">
        <v>1092.1999999999998</v>
      </c>
    </row>
    <row r="22" spans="1:15" x14ac:dyDescent="0.35">
      <c r="A22" s="86">
        <v>21</v>
      </c>
      <c r="B22" s="87">
        <v>377.5</v>
      </c>
      <c r="C22" s="88">
        <v>479</v>
      </c>
      <c r="D22" s="88">
        <v>514.20000000000005</v>
      </c>
      <c r="E22" s="88">
        <v>621.6</v>
      </c>
      <c r="F22" s="88">
        <v>736.5</v>
      </c>
      <c r="G22" s="88">
        <v>913</v>
      </c>
      <c r="H22" s="88">
        <v>1043.3</v>
      </c>
      <c r="I22" s="89">
        <v>1135.3</v>
      </c>
      <c r="J22" s="90">
        <v>665.4</v>
      </c>
      <c r="K22" s="90">
        <v>746.4</v>
      </c>
      <c r="L22" s="91">
        <v>1480.8999999999999</v>
      </c>
      <c r="M22" s="92">
        <v>1974.5</v>
      </c>
      <c r="N22" s="95">
        <v>1098.5</v>
      </c>
      <c r="O22" s="94">
        <v>1163.8999999999999</v>
      </c>
    </row>
    <row r="23" spans="1:15" x14ac:dyDescent="0.35">
      <c r="A23" s="86">
        <v>22</v>
      </c>
      <c r="B23" s="87">
        <v>385.5</v>
      </c>
      <c r="C23" s="88">
        <v>483.5</v>
      </c>
      <c r="D23" s="88">
        <v>521.80000000000007</v>
      </c>
      <c r="E23" s="88">
        <v>640</v>
      </c>
      <c r="F23" s="88">
        <v>742.7</v>
      </c>
      <c r="G23" s="88">
        <v>928.30000000000007</v>
      </c>
      <c r="H23" s="88">
        <v>1087.8999999999999</v>
      </c>
      <c r="I23" s="89">
        <v>1202.8999999999999</v>
      </c>
      <c r="J23" s="90">
        <v>675.7</v>
      </c>
      <c r="K23" s="90">
        <v>755.80000000000007</v>
      </c>
      <c r="L23" s="91">
        <v>1591.6</v>
      </c>
      <c r="M23" s="92">
        <v>2021.1</v>
      </c>
      <c r="N23" s="95">
        <v>1098.5</v>
      </c>
      <c r="O23" s="94">
        <v>1163.8999999999999</v>
      </c>
    </row>
    <row r="24" spans="1:15" x14ac:dyDescent="0.35">
      <c r="A24" s="86">
        <v>23</v>
      </c>
      <c r="B24" s="87">
        <v>391.5</v>
      </c>
      <c r="C24" s="88">
        <v>489.8</v>
      </c>
      <c r="D24" s="88">
        <v>529.5</v>
      </c>
      <c r="E24" s="88">
        <v>658.5</v>
      </c>
      <c r="F24" s="88">
        <v>751.9</v>
      </c>
      <c r="G24" s="88">
        <v>943.80000000000007</v>
      </c>
      <c r="H24" s="88">
        <v>1153.8999999999999</v>
      </c>
      <c r="I24" s="89">
        <v>1272</v>
      </c>
      <c r="J24" s="90">
        <v>686.4</v>
      </c>
      <c r="K24" s="90">
        <v>765.2</v>
      </c>
      <c r="L24" s="91">
        <v>1690</v>
      </c>
      <c r="M24" s="92">
        <v>2114.1999999999998</v>
      </c>
      <c r="N24" s="95">
        <v>1098.5</v>
      </c>
      <c r="O24" s="94">
        <v>1163.8999999999999</v>
      </c>
    </row>
    <row r="25" spans="1:15" x14ac:dyDescent="0.35">
      <c r="A25" s="86">
        <v>24</v>
      </c>
      <c r="B25" s="87">
        <v>397.8</v>
      </c>
      <c r="C25" s="88">
        <v>494.1</v>
      </c>
      <c r="D25" s="88">
        <v>538.70000000000005</v>
      </c>
      <c r="E25" s="88">
        <v>676.9</v>
      </c>
      <c r="F25" s="88">
        <v>759.7</v>
      </c>
      <c r="G25" s="88">
        <v>966.6</v>
      </c>
      <c r="H25" s="88">
        <v>1184.3999999999999</v>
      </c>
      <c r="I25" s="89">
        <v>1312</v>
      </c>
      <c r="J25" s="90">
        <v>697.1</v>
      </c>
      <c r="K25" s="90">
        <v>774.80000000000007</v>
      </c>
      <c r="L25" s="91">
        <v>1825</v>
      </c>
      <c r="M25" s="92">
        <v>2213.2999999999997</v>
      </c>
      <c r="N25" s="95">
        <v>1098.5</v>
      </c>
      <c r="O25" s="94">
        <v>1163.8999999999999</v>
      </c>
    </row>
    <row r="26" spans="1:15" x14ac:dyDescent="0.35">
      <c r="A26" s="86">
        <v>25</v>
      </c>
      <c r="B26" s="87">
        <v>402.3</v>
      </c>
      <c r="C26" s="88">
        <v>505.1</v>
      </c>
      <c r="D26" s="88">
        <v>551.1</v>
      </c>
      <c r="E26" s="88">
        <v>695.2</v>
      </c>
      <c r="F26" s="88">
        <v>767.4</v>
      </c>
      <c r="G26" s="88">
        <v>989.7</v>
      </c>
      <c r="H26" s="88">
        <v>1235.1999999999998</v>
      </c>
      <c r="I26" s="89">
        <v>1357.8999999999999</v>
      </c>
      <c r="J26" s="90">
        <v>707.5</v>
      </c>
      <c r="K26" s="90">
        <v>774.80000000000007</v>
      </c>
      <c r="L26" s="91">
        <v>1825</v>
      </c>
      <c r="M26" s="92">
        <v>2358.7999999999997</v>
      </c>
      <c r="N26" s="95">
        <v>1128.0999999999999</v>
      </c>
      <c r="O26" s="94">
        <v>1187.0999999999999</v>
      </c>
    </row>
    <row r="27" spans="1:15" x14ac:dyDescent="0.35">
      <c r="A27" s="86">
        <v>26</v>
      </c>
      <c r="B27" s="87">
        <v>411.6</v>
      </c>
      <c r="C27" s="88">
        <v>514.20000000000005</v>
      </c>
      <c r="D27" s="88">
        <v>566.5</v>
      </c>
      <c r="E27" s="88">
        <v>713.6</v>
      </c>
      <c r="F27" s="88">
        <v>774.9</v>
      </c>
      <c r="G27" s="88">
        <v>1020.4</v>
      </c>
      <c r="H27" s="88">
        <v>1296.5999999999999</v>
      </c>
      <c r="I27" s="89">
        <v>1434.6</v>
      </c>
      <c r="J27" s="90">
        <v>707.5</v>
      </c>
      <c r="K27" s="90">
        <v>784.5</v>
      </c>
      <c r="L27" s="91">
        <v>1825</v>
      </c>
      <c r="M27" s="92">
        <v>2551.1</v>
      </c>
      <c r="N27" s="95">
        <v>1128.0999999999999</v>
      </c>
      <c r="O27" s="94">
        <v>1187.0999999999999</v>
      </c>
    </row>
    <row r="28" spans="1:15" ht="15" thickBot="1" x14ac:dyDescent="0.4">
      <c r="A28" s="96" t="s">
        <v>261</v>
      </c>
      <c r="B28" s="97">
        <v>422.1</v>
      </c>
      <c r="C28" s="98">
        <v>521.80000000000007</v>
      </c>
      <c r="D28" s="98">
        <v>637.1</v>
      </c>
      <c r="E28" s="98">
        <v>807.1</v>
      </c>
      <c r="F28" s="98">
        <v>836.2</v>
      </c>
      <c r="G28" s="98">
        <v>1135.3</v>
      </c>
      <c r="H28" s="98">
        <v>1365.3999999999999</v>
      </c>
      <c r="I28" s="99">
        <v>1526.5</v>
      </c>
      <c r="J28" s="100">
        <v>749.80000000000007</v>
      </c>
      <c r="K28" s="100">
        <v>813.2</v>
      </c>
      <c r="L28" s="101">
        <v>1825</v>
      </c>
      <c r="M28" s="102">
        <v>2551.1</v>
      </c>
      <c r="N28" s="103">
        <v>1157.5999999999999</v>
      </c>
      <c r="O28" s="104">
        <v>1276.8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I21" sqref="I21"/>
    </sheetView>
    <sheetView workbookViewId="1">
      <selection activeCell="J7" sqref="J7"/>
    </sheetView>
  </sheetViews>
  <sheetFormatPr defaultRowHeight="14.5" x14ac:dyDescent="0.35"/>
  <cols>
    <col min="4" max="4" width="13" bestFit="1" customWidth="1"/>
  </cols>
  <sheetData>
    <row r="1" spans="1:13" x14ac:dyDescent="0.35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</row>
    <row r="2" spans="1:13" x14ac:dyDescent="0.35">
      <c r="A2" t="s">
        <v>60</v>
      </c>
      <c r="B2" t="s">
        <v>51</v>
      </c>
      <c r="C2" t="s">
        <v>61</v>
      </c>
      <c r="D2" t="s">
        <v>62</v>
      </c>
      <c r="E2">
        <v>2700</v>
      </c>
      <c r="F2">
        <v>3200</v>
      </c>
      <c r="G2">
        <v>2950</v>
      </c>
      <c r="H2" t="s">
        <v>63</v>
      </c>
      <c r="I2">
        <v>1300</v>
      </c>
      <c r="J2">
        <v>0</v>
      </c>
      <c r="K2" t="s">
        <v>64</v>
      </c>
      <c r="L2" t="s">
        <v>15</v>
      </c>
      <c r="M2" t="s">
        <v>65</v>
      </c>
    </row>
    <row r="3" spans="1:13" x14ac:dyDescent="0.35">
      <c r="A3" t="s">
        <v>60</v>
      </c>
      <c r="B3" t="s">
        <v>51</v>
      </c>
      <c r="C3" t="s">
        <v>66</v>
      </c>
      <c r="D3" t="s">
        <v>62</v>
      </c>
      <c r="E3">
        <v>2700</v>
      </c>
      <c r="F3">
        <v>3200</v>
      </c>
      <c r="G3">
        <v>2950</v>
      </c>
      <c r="H3" t="s">
        <v>67</v>
      </c>
      <c r="I3">
        <v>1300</v>
      </c>
      <c r="J3">
        <v>0</v>
      </c>
      <c r="K3" t="s">
        <v>64</v>
      </c>
      <c r="L3" t="s">
        <v>15</v>
      </c>
      <c r="M3" t="s">
        <v>65</v>
      </c>
    </row>
    <row r="4" spans="1:13" x14ac:dyDescent="0.35">
      <c r="A4" t="s">
        <v>60</v>
      </c>
      <c r="B4" t="s">
        <v>51</v>
      </c>
      <c r="C4" t="s">
        <v>68</v>
      </c>
      <c r="D4" t="s">
        <v>62</v>
      </c>
      <c r="E4">
        <v>2700</v>
      </c>
      <c r="F4">
        <v>3200</v>
      </c>
      <c r="G4">
        <v>2950</v>
      </c>
      <c r="H4" t="s">
        <v>63</v>
      </c>
      <c r="I4">
        <v>1300</v>
      </c>
      <c r="J4">
        <v>0</v>
      </c>
      <c r="K4" t="s">
        <v>64</v>
      </c>
      <c r="L4" t="s">
        <v>15</v>
      </c>
      <c r="M4" t="s">
        <v>65</v>
      </c>
    </row>
    <row r="5" spans="1:13" x14ac:dyDescent="0.35">
      <c r="A5" t="s">
        <v>60</v>
      </c>
      <c r="B5" t="s">
        <v>55</v>
      </c>
      <c r="C5" t="s">
        <v>66</v>
      </c>
      <c r="D5" t="s">
        <v>69</v>
      </c>
      <c r="E5">
        <v>2700</v>
      </c>
      <c r="F5">
        <v>3200</v>
      </c>
      <c r="G5">
        <v>2950</v>
      </c>
      <c r="H5" t="s">
        <v>67</v>
      </c>
      <c r="I5">
        <v>770</v>
      </c>
      <c r="J5">
        <v>0</v>
      </c>
      <c r="K5" t="s">
        <v>70</v>
      </c>
      <c r="L5" t="s">
        <v>71</v>
      </c>
      <c r="M5" t="s">
        <v>72</v>
      </c>
    </row>
    <row r="6" spans="1:13" x14ac:dyDescent="0.35">
      <c r="A6" t="s">
        <v>60</v>
      </c>
      <c r="B6" t="s">
        <v>55</v>
      </c>
      <c r="C6" t="s">
        <v>61</v>
      </c>
      <c r="D6" t="s">
        <v>69</v>
      </c>
      <c r="E6">
        <v>2700</v>
      </c>
      <c r="F6">
        <v>3200</v>
      </c>
      <c r="G6">
        <v>2950</v>
      </c>
      <c r="H6" t="s">
        <v>67</v>
      </c>
      <c r="I6">
        <v>770</v>
      </c>
      <c r="J6">
        <v>0</v>
      </c>
      <c r="K6" t="s">
        <v>70</v>
      </c>
      <c r="L6" t="s">
        <v>71</v>
      </c>
      <c r="M6" t="s">
        <v>72</v>
      </c>
    </row>
    <row r="7" spans="1:13" x14ac:dyDescent="0.35">
      <c r="A7" t="s">
        <v>60</v>
      </c>
      <c r="B7" t="s">
        <v>53</v>
      </c>
      <c r="C7" t="s">
        <v>61</v>
      </c>
      <c r="D7" t="s">
        <v>100</v>
      </c>
      <c r="E7">
        <v>2700</v>
      </c>
      <c r="F7">
        <v>3200</v>
      </c>
      <c r="G7">
        <v>2950</v>
      </c>
      <c r="H7" t="s">
        <v>67</v>
      </c>
      <c r="I7">
        <v>1350</v>
      </c>
      <c r="J7">
        <v>0</v>
      </c>
      <c r="K7" t="s">
        <v>73</v>
      </c>
      <c r="L7" t="s">
        <v>71</v>
      </c>
      <c r="M7" t="s">
        <v>74</v>
      </c>
    </row>
    <row r="8" spans="1:13" x14ac:dyDescent="0.35">
      <c r="A8" t="s">
        <v>60</v>
      </c>
      <c r="B8" t="s">
        <v>22</v>
      </c>
      <c r="C8" t="s">
        <v>61</v>
      </c>
      <c r="D8" t="s">
        <v>75</v>
      </c>
      <c r="E8">
        <v>7050</v>
      </c>
      <c r="F8">
        <v>7700</v>
      </c>
      <c r="G8">
        <v>7375</v>
      </c>
      <c r="H8" t="s">
        <v>67</v>
      </c>
      <c r="I8">
        <v>485</v>
      </c>
      <c r="J8">
        <v>0</v>
      </c>
      <c r="K8" t="s">
        <v>76</v>
      </c>
      <c r="L8" t="s">
        <v>77</v>
      </c>
      <c r="M8" t="s">
        <v>78</v>
      </c>
    </row>
    <row r="9" spans="1:13" x14ac:dyDescent="0.35">
      <c r="A9" t="s">
        <v>60</v>
      </c>
      <c r="B9" t="s">
        <v>79</v>
      </c>
      <c r="C9" t="s">
        <v>61</v>
      </c>
      <c r="D9" t="s">
        <v>80</v>
      </c>
      <c r="E9">
        <v>3000</v>
      </c>
      <c r="F9">
        <v>3750</v>
      </c>
      <c r="G9">
        <v>3375</v>
      </c>
      <c r="H9" t="s">
        <v>67</v>
      </c>
      <c r="I9">
        <v>1200</v>
      </c>
      <c r="J9">
        <v>0</v>
      </c>
      <c r="K9" t="s">
        <v>81</v>
      </c>
      <c r="L9" t="s">
        <v>71</v>
      </c>
      <c r="M9" t="s">
        <v>82</v>
      </c>
    </row>
    <row r="10" spans="1:13" x14ac:dyDescent="0.35">
      <c r="A10" t="s">
        <v>60</v>
      </c>
      <c r="B10" t="s">
        <v>79</v>
      </c>
      <c r="C10" t="s">
        <v>66</v>
      </c>
      <c r="D10" t="s">
        <v>80</v>
      </c>
      <c r="E10">
        <v>3000</v>
      </c>
      <c r="F10">
        <v>3750</v>
      </c>
      <c r="G10">
        <v>3375</v>
      </c>
      <c r="H10" t="s">
        <v>67</v>
      </c>
      <c r="I10">
        <v>1200</v>
      </c>
      <c r="J10">
        <v>0</v>
      </c>
      <c r="K10" t="s">
        <v>81</v>
      </c>
      <c r="L10" t="s">
        <v>71</v>
      </c>
      <c r="M10" t="s">
        <v>82</v>
      </c>
    </row>
    <row r="11" spans="1:13" x14ac:dyDescent="0.35">
      <c r="A11" t="s">
        <v>60</v>
      </c>
      <c r="B11" t="s">
        <v>79</v>
      </c>
      <c r="C11" t="s">
        <v>68</v>
      </c>
      <c r="D11" t="s">
        <v>80</v>
      </c>
      <c r="E11">
        <v>3000</v>
      </c>
      <c r="F11">
        <v>3750</v>
      </c>
      <c r="G11">
        <v>3375</v>
      </c>
      <c r="H11" t="s">
        <v>67</v>
      </c>
      <c r="I11">
        <v>1200</v>
      </c>
      <c r="J11">
        <v>0</v>
      </c>
      <c r="K11" t="s">
        <v>81</v>
      </c>
      <c r="L11" t="s">
        <v>71</v>
      </c>
      <c r="M11" t="s">
        <v>82</v>
      </c>
    </row>
    <row r="12" spans="1:13" x14ac:dyDescent="0.35">
      <c r="A12" t="s">
        <v>83</v>
      </c>
      <c r="B12" t="s">
        <v>52</v>
      </c>
      <c r="C12" t="s">
        <v>68</v>
      </c>
      <c r="D12" t="s">
        <v>84</v>
      </c>
      <c r="E12">
        <v>3000</v>
      </c>
      <c r="F12">
        <v>4500</v>
      </c>
      <c r="G12">
        <v>3750</v>
      </c>
      <c r="H12" t="s">
        <v>67</v>
      </c>
      <c r="I12">
        <v>1200</v>
      </c>
      <c r="J12">
        <v>0</v>
      </c>
      <c r="K12" t="s">
        <v>81</v>
      </c>
      <c r="L12" t="s">
        <v>77</v>
      </c>
      <c r="M12" t="s">
        <v>85</v>
      </c>
    </row>
    <row r="13" spans="1:13" x14ac:dyDescent="0.35">
      <c r="A13" t="s">
        <v>83</v>
      </c>
      <c r="B13" t="s">
        <v>23</v>
      </c>
      <c r="C13" t="s">
        <v>68</v>
      </c>
      <c r="D13" t="s">
        <v>86</v>
      </c>
      <c r="E13">
        <v>4500</v>
      </c>
      <c r="F13">
        <v>5500</v>
      </c>
      <c r="G13">
        <v>5000</v>
      </c>
      <c r="H13" t="s">
        <v>67</v>
      </c>
      <c r="I13">
        <v>1100</v>
      </c>
      <c r="J13">
        <v>0</v>
      </c>
      <c r="K13" t="s">
        <v>87</v>
      </c>
      <c r="L13" t="s">
        <v>77</v>
      </c>
      <c r="M13" t="s">
        <v>88</v>
      </c>
    </row>
    <row r="14" spans="1:13" x14ac:dyDescent="0.35">
      <c r="A14" t="s">
        <v>89</v>
      </c>
      <c r="B14" t="s">
        <v>23</v>
      </c>
      <c r="C14" t="s">
        <v>61</v>
      </c>
      <c r="D14" t="s">
        <v>86</v>
      </c>
      <c r="E14">
        <v>3700</v>
      </c>
      <c r="F14">
        <v>4200</v>
      </c>
      <c r="G14">
        <v>3950</v>
      </c>
      <c r="H14" t="s">
        <v>90</v>
      </c>
      <c r="I14">
        <v>1100</v>
      </c>
      <c r="J14">
        <v>0</v>
      </c>
      <c r="K14" t="s">
        <v>87</v>
      </c>
      <c r="L14" t="s">
        <v>77</v>
      </c>
      <c r="M14" t="s">
        <v>88</v>
      </c>
    </row>
    <row r="15" spans="1:13" x14ac:dyDescent="0.35">
      <c r="A15" t="s">
        <v>89</v>
      </c>
      <c r="B15" t="s">
        <v>23</v>
      </c>
      <c r="C15" t="s">
        <v>61</v>
      </c>
      <c r="D15" t="s">
        <v>91</v>
      </c>
      <c r="E15">
        <v>5200</v>
      </c>
      <c r="F15">
        <v>6200</v>
      </c>
      <c r="G15">
        <v>5700</v>
      </c>
      <c r="H15" t="s">
        <v>67</v>
      </c>
      <c r="I15">
        <v>1100</v>
      </c>
      <c r="J15">
        <v>0</v>
      </c>
      <c r="K15" t="s">
        <v>87</v>
      </c>
      <c r="L15" t="s">
        <v>77</v>
      </c>
      <c r="M15" t="s">
        <v>88</v>
      </c>
    </row>
    <row r="16" spans="1:13" x14ac:dyDescent="0.35">
      <c r="A16" t="s">
        <v>89</v>
      </c>
      <c r="B16" t="s">
        <v>14</v>
      </c>
      <c r="C16" t="s">
        <v>61</v>
      </c>
      <c r="D16" t="s">
        <v>92</v>
      </c>
      <c r="E16">
        <v>3200</v>
      </c>
      <c r="F16">
        <v>4200</v>
      </c>
      <c r="G16">
        <v>3700</v>
      </c>
      <c r="H16" t="s">
        <v>93</v>
      </c>
      <c r="I16">
        <v>1100</v>
      </c>
      <c r="J16">
        <v>0</v>
      </c>
      <c r="K16" t="s">
        <v>87</v>
      </c>
      <c r="L16" t="s">
        <v>77</v>
      </c>
      <c r="M16" t="s">
        <v>94</v>
      </c>
    </row>
    <row r="17" spans="1:13" x14ac:dyDescent="0.35">
      <c r="A17" t="s">
        <v>95</v>
      </c>
      <c r="B17" t="s">
        <v>14</v>
      </c>
      <c r="C17" t="s">
        <v>61</v>
      </c>
      <c r="D17" t="s">
        <v>92</v>
      </c>
      <c r="E17">
        <v>4600</v>
      </c>
      <c r="F17">
        <v>4900</v>
      </c>
      <c r="G17">
        <v>4750</v>
      </c>
      <c r="H17" t="s">
        <v>96</v>
      </c>
      <c r="I17">
        <v>1200</v>
      </c>
      <c r="J17">
        <v>0</v>
      </c>
      <c r="K17" t="s">
        <v>81</v>
      </c>
      <c r="L17" t="s">
        <v>77</v>
      </c>
      <c r="M17" t="s">
        <v>94</v>
      </c>
    </row>
    <row r="18" spans="1:13" x14ac:dyDescent="0.35">
      <c r="A18" t="s">
        <v>89</v>
      </c>
      <c r="B18" t="s">
        <v>51</v>
      </c>
      <c r="C18" t="s">
        <v>61</v>
      </c>
      <c r="D18" t="s">
        <v>62</v>
      </c>
      <c r="E18">
        <v>2700</v>
      </c>
      <c r="F18">
        <v>3200</v>
      </c>
      <c r="G18">
        <v>2950</v>
      </c>
      <c r="H18" t="s">
        <v>63</v>
      </c>
      <c r="I18">
        <v>1300</v>
      </c>
      <c r="J18">
        <v>0</v>
      </c>
      <c r="K18" t="s">
        <v>64</v>
      </c>
      <c r="L18" t="s">
        <v>15</v>
      </c>
      <c r="M18" t="s">
        <v>65</v>
      </c>
    </row>
    <row r="19" spans="1:13" x14ac:dyDescent="0.35">
      <c r="A19" t="s">
        <v>89</v>
      </c>
      <c r="B19" t="s">
        <v>51</v>
      </c>
      <c r="C19" t="s">
        <v>61</v>
      </c>
      <c r="D19" t="s">
        <v>97</v>
      </c>
      <c r="E19">
        <v>3600</v>
      </c>
      <c r="F19">
        <v>4950</v>
      </c>
      <c r="G19">
        <v>4275</v>
      </c>
      <c r="H19" t="s">
        <v>67</v>
      </c>
      <c r="I19">
        <v>1300</v>
      </c>
      <c r="J19">
        <v>0</v>
      </c>
      <c r="K19" t="s">
        <v>64</v>
      </c>
      <c r="L19" t="s">
        <v>15</v>
      </c>
      <c r="M19" t="s">
        <v>65</v>
      </c>
    </row>
    <row r="20" spans="1:13" x14ac:dyDescent="0.35">
      <c r="A20" t="s">
        <v>89</v>
      </c>
      <c r="B20" t="s">
        <v>56</v>
      </c>
      <c r="C20" t="s">
        <v>61</v>
      </c>
      <c r="D20" t="s">
        <v>246</v>
      </c>
      <c r="E20">
        <v>3200</v>
      </c>
      <c r="F20">
        <v>4150</v>
      </c>
      <c r="G20">
        <v>3675</v>
      </c>
      <c r="H20" t="s">
        <v>67</v>
      </c>
      <c r="I20">
        <v>1500</v>
      </c>
      <c r="J20">
        <v>0</v>
      </c>
      <c r="K20" t="s">
        <v>98</v>
      </c>
      <c r="L20" t="s">
        <v>77</v>
      </c>
      <c r="M20" t="s">
        <v>99</v>
      </c>
    </row>
    <row r="21" spans="1:13" x14ac:dyDescent="0.35">
      <c r="A21" t="s">
        <v>89</v>
      </c>
      <c r="B21" t="s">
        <v>53</v>
      </c>
      <c r="C21" t="s">
        <v>61</v>
      </c>
      <c r="D21" t="s">
        <v>100</v>
      </c>
      <c r="E21">
        <v>2700</v>
      </c>
      <c r="F21">
        <v>3200</v>
      </c>
      <c r="G21">
        <v>2950</v>
      </c>
      <c r="H21" t="s">
        <v>67</v>
      </c>
      <c r="I21">
        <v>1350</v>
      </c>
      <c r="J21">
        <v>0</v>
      </c>
      <c r="K21" t="s">
        <v>73</v>
      </c>
      <c r="L21" t="s">
        <v>71</v>
      </c>
      <c r="M21" t="s">
        <v>74</v>
      </c>
    </row>
    <row r="22" spans="1:13" x14ac:dyDescent="0.35">
      <c r="A22" t="s">
        <v>89</v>
      </c>
      <c r="B22" t="s">
        <v>22</v>
      </c>
      <c r="C22" t="s">
        <v>61</v>
      </c>
      <c r="D22" t="s">
        <v>75</v>
      </c>
      <c r="E22">
        <v>7050</v>
      </c>
      <c r="F22">
        <v>7700</v>
      </c>
      <c r="G22">
        <v>7375</v>
      </c>
      <c r="H22" t="s">
        <v>67</v>
      </c>
      <c r="I22">
        <v>485</v>
      </c>
      <c r="J22">
        <v>0</v>
      </c>
      <c r="K22" t="s">
        <v>76</v>
      </c>
      <c r="L22" t="s">
        <v>77</v>
      </c>
      <c r="M22" t="s">
        <v>78</v>
      </c>
    </row>
    <row r="23" spans="1:13" x14ac:dyDescent="0.35">
      <c r="A23" t="s">
        <v>95</v>
      </c>
      <c r="B23" t="s">
        <v>23</v>
      </c>
      <c r="C23" t="s">
        <v>61</v>
      </c>
      <c r="D23" t="s">
        <v>86</v>
      </c>
      <c r="E23">
        <v>5050</v>
      </c>
      <c r="F23">
        <v>5300</v>
      </c>
      <c r="G23">
        <v>5175</v>
      </c>
      <c r="H23" t="s">
        <v>101</v>
      </c>
      <c r="I23">
        <v>1350</v>
      </c>
      <c r="J23">
        <v>0</v>
      </c>
      <c r="K23" t="s">
        <v>73</v>
      </c>
      <c r="L23" t="s">
        <v>77</v>
      </c>
      <c r="M23" t="s">
        <v>88</v>
      </c>
    </row>
    <row r="24" spans="1:13" x14ac:dyDescent="0.35">
      <c r="A24" t="s">
        <v>54</v>
      </c>
      <c r="B24" t="s">
        <v>102</v>
      </c>
      <c r="C24" t="s">
        <v>61</v>
      </c>
      <c r="D24" t="s">
        <v>103</v>
      </c>
      <c r="E24">
        <v>3100</v>
      </c>
      <c r="F24">
        <v>3500</v>
      </c>
      <c r="G24">
        <v>3300</v>
      </c>
      <c r="H24" t="s">
        <v>67</v>
      </c>
      <c r="I24">
        <v>1500</v>
      </c>
      <c r="J24">
        <v>0</v>
      </c>
      <c r="K24" t="s">
        <v>98</v>
      </c>
      <c r="L24" t="s">
        <v>71</v>
      </c>
      <c r="M24" t="s">
        <v>104</v>
      </c>
    </row>
    <row r="25" spans="1:13" x14ac:dyDescent="0.35">
      <c r="A25" t="s">
        <v>54</v>
      </c>
      <c r="B25" t="s">
        <v>105</v>
      </c>
      <c r="C25" t="s">
        <v>61</v>
      </c>
      <c r="D25" t="s">
        <v>106</v>
      </c>
      <c r="E25">
        <v>2800</v>
      </c>
      <c r="F25">
        <v>3200</v>
      </c>
      <c r="G25">
        <v>3000</v>
      </c>
      <c r="H25" t="s">
        <v>67</v>
      </c>
      <c r="I25">
        <v>1720</v>
      </c>
      <c r="J25">
        <v>0</v>
      </c>
      <c r="K25" t="s">
        <v>107</v>
      </c>
      <c r="L25" t="s">
        <v>71</v>
      </c>
      <c r="M25" t="s">
        <v>65</v>
      </c>
    </row>
    <row r="26" spans="1:13" x14ac:dyDescent="0.35">
      <c r="A26" t="s">
        <v>54</v>
      </c>
      <c r="B26" t="s">
        <v>108</v>
      </c>
      <c r="C26" t="s">
        <v>61</v>
      </c>
      <c r="D26" t="s">
        <v>109</v>
      </c>
      <c r="E26">
        <v>2900</v>
      </c>
      <c r="F26">
        <v>3200</v>
      </c>
      <c r="G26">
        <v>3050</v>
      </c>
      <c r="H26" t="s">
        <v>67</v>
      </c>
      <c r="I26">
        <v>1800</v>
      </c>
      <c r="J26">
        <v>0</v>
      </c>
      <c r="K26" t="s">
        <v>110</v>
      </c>
      <c r="L26" t="s">
        <v>71</v>
      </c>
      <c r="M26" t="s">
        <v>104</v>
      </c>
    </row>
    <row r="27" spans="1:13" x14ac:dyDescent="0.35">
      <c r="A27" t="s">
        <v>54</v>
      </c>
      <c r="B27" t="s">
        <v>56</v>
      </c>
      <c r="C27" t="s">
        <v>61</v>
      </c>
      <c r="D27" t="s">
        <v>246</v>
      </c>
      <c r="E27">
        <v>3200</v>
      </c>
      <c r="F27">
        <v>4150</v>
      </c>
      <c r="G27">
        <v>3675</v>
      </c>
      <c r="H27" t="s">
        <v>67</v>
      </c>
      <c r="I27">
        <v>1500</v>
      </c>
      <c r="J27">
        <v>0</v>
      </c>
      <c r="K27" t="s">
        <v>98</v>
      </c>
      <c r="L27" t="s">
        <v>77</v>
      </c>
      <c r="M27" t="s">
        <v>99</v>
      </c>
    </row>
    <row r="28" spans="1:13" x14ac:dyDescent="0.35">
      <c r="A28" t="s">
        <v>54</v>
      </c>
      <c r="B28" t="s">
        <v>111</v>
      </c>
      <c r="C28" t="s">
        <v>61</v>
      </c>
      <c r="D28" t="s">
        <v>100</v>
      </c>
      <c r="E28">
        <v>2700</v>
      </c>
      <c r="F28">
        <v>3200</v>
      </c>
      <c r="G28">
        <v>2950</v>
      </c>
      <c r="H28" t="s">
        <v>67</v>
      </c>
      <c r="I28">
        <v>1350</v>
      </c>
      <c r="J28">
        <v>0</v>
      </c>
      <c r="K28" t="s">
        <v>73</v>
      </c>
      <c r="L28" t="s">
        <v>71</v>
      </c>
      <c r="M28" t="s">
        <v>74</v>
      </c>
    </row>
    <row r="29" spans="1:13" x14ac:dyDescent="0.35">
      <c r="A29" t="s">
        <v>54</v>
      </c>
      <c r="B29" t="s">
        <v>23</v>
      </c>
      <c r="C29" t="s">
        <v>61</v>
      </c>
      <c r="D29" t="s">
        <v>86</v>
      </c>
      <c r="E29">
        <v>3800</v>
      </c>
      <c r="F29">
        <v>5500</v>
      </c>
      <c r="G29">
        <v>4650</v>
      </c>
      <c r="H29" t="s">
        <v>67</v>
      </c>
      <c r="I29">
        <v>1100</v>
      </c>
      <c r="J29">
        <v>0</v>
      </c>
      <c r="K29" t="s">
        <v>87</v>
      </c>
      <c r="L29" t="s">
        <v>77</v>
      </c>
      <c r="M29" t="s">
        <v>88</v>
      </c>
    </row>
    <row r="30" spans="1:13" x14ac:dyDescent="0.35">
      <c r="A30" t="s">
        <v>112</v>
      </c>
      <c r="B30" t="s">
        <v>22</v>
      </c>
      <c r="C30" t="s">
        <v>113</v>
      </c>
      <c r="D30" t="s">
        <v>75</v>
      </c>
      <c r="E30">
        <v>7050</v>
      </c>
      <c r="F30">
        <v>7700</v>
      </c>
      <c r="G30">
        <v>7375</v>
      </c>
      <c r="H30" t="s">
        <v>67</v>
      </c>
      <c r="I30">
        <v>485</v>
      </c>
      <c r="J30">
        <v>0</v>
      </c>
      <c r="K30" t="s">
        <v>76</v>
      </c>
      <c r="L30" t="s">
        <v>77</v>
      </c>
      <c r="M30" t="s">
        <v>78</v>
      </c>
    </row>
    <row r="31" spans="1:13" x14ac:dyDescent="0.35">
      <c r="A31" t="s">
        <v>112</v>
      </c>
      <c r="B31" t="s">
        <v>23</v>
      </c>
      <c r="C31" t="s">
        <v>114</v>
      </c>
      <c r="D31" t="s">
        <v>86</v>
      </c>
      <c r="E31">
        <v>4400</v>
      </c>
      <c r="F31">
        <v>5500</v>
      </c>
      <c r="G31">
        <v>4950</v>
      </c>
      <c r="H31" t="s">
        <v>67</v>
      </c>
      <c r="I31">
        <v>1100</v>
      </c>
      <c r="J31">
        <v>0</v>
      </c>
      <c r="K31" t="s">
        <v>87</v>
      </c>
      <c r="L31" t="s">
        <v>77</v>
      </c>
      <c r="M31" t="s">
        <v>115</v>
      </c>
    </row>
    <row r="32" spans="1:13" x14ac:dyDescent="0.35">
      <c r="A32" t="s">
        <v>112</v>
      </c>
      <c r="B32" t="s">
        <v>23</v>
      </c>
      <c r="C32" t="s">
        <v>109</v>
      </c>
      <c r="D32" t="s">
        <v>116</v>
      </c>
      <c r="E32">
        <v>2900</v>
      </c>
      <c r="F32">
        <v>4500</v>
      </c>
      <c r="G32">
        <v>3700</v>
      </c>
      <c r="H32" t="s">
        <v>67</v>
      </c>
      <c r="I32">
        <v>2400</v>
      </c>
      <c r="J32">
        <v>1200</v>
      </c>
      <c r="K32" t="s">
        <v>117</v>
      </c>
      <c r="L32" t="s">
        <v>18</v>
      </c>
      <c r="M32" t="s">
        <v>118</v>
      </c>
    </row>
    <row r="33" spans="1:13" x14ac:dyDescent="0.35">
      <c r="A33" t="s">
        <v>112</v>
      </c>
      <c r="B33" t="s">
        <v>23</v>
      </c>
      <c r="C33" t="s">
        <v>119</v>
      </c>
      <c r="D33" t="s">
        <v>120</v>
      </c>
      <c r="E33">
        <v>6800</v>
      </c>
      <c r="F33">
        <v>8100</v>
      </c>
      <c r="G33">
        <v>7450</v>
      </c>
      <c r="H33" t="s">
        <v>67</v>
      </c>
      <c r="I33">
        <v>1300</v>
      </c>
      <c r="J33">
        <v>0</v>
      </c>
      <c r="K33" t="s">
        <v>64</v>
      </c>
      <c r="L33" t="s">
        <v>77</v>
      </c>
      <c r="M33" t="s">
        <v>121</v>
      </c>
    </row>
    <row r="34" spans="1:13" x14ac:dyDescent="0.35">
      <c r="A34" t="s">
        <v>112</v>
      </c>
      <c r="B34" t="s">
        <v>23</v>
      </c>
      <c r="C34" t="s">
        <v>113</v>
      </c>
      <c r="D34" t="s">
        <v>120</v>
      </c>
      <c r="E34">
        <v>6500</v>
      </c>
      <c r="F34">
        <v>7600</v>
      </c>
      <c r="G34">
        <v>7050</v>
      </c>
      <c r="H34" t="s">
        <v>67</v>
      </c>
      <c r="I34">
        <v>1300</v>
      </c>
      <c r="J34">
        <v>0</v>
      </c>
      <c r="K34" t="s">
        <v>64</v>
      </c>
      <c r="L34" t="s">
        <v>77</v>
      </c>
      <c r="M34" t="s">
        <v>122</v>
      </c>
    </row>
    <row r="35" spans="1:13" x14ac:dyDescent="0.35">
      <c r="A35" t="s">
        <v>123</v>
      </c>
      <c r="B35" t="s">
        <v>23</v>
      </c>
      <c r="C35" t="s">
        <v>124</v>
      </c>
      <c r="D35" t="s">
        <v>116</v>
      </c>
      <c r="E35">
        <v>2800</v>
      </c>
      <c r="F35">
        <v>4500</v>
      </c>
      <c r="G35">
        <v>3650</v>
      </c>
      <c r="H35" t="s">
        <v>67</v>
      </c>
      <c r="I35">
        <v>2400</v>
      </c>
      <c r="J35">
        <v>1500</v>
      </c>
      <c r="K35" t="s">
        <v>125</v>
      </c>
      <c r="L35" t="s">
        <v>18</v>
      </c>
      <c r="M35" t="s">
        <v>118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X198"/>
  <sheetViews>
    <sheetView topLeftCell="G1" workbookViewId="0">
      <selection activeCell="L2" sqref="L2:L50"/>
    </sheetView>
    <sheetView tabSelected="1" workbookViewId="1">
      <selection activeCell="E15" sqref="E15"/>
    </sheetView>
  </sheetViews>
  <sheetFormatPr defaultRowHeight="14.5" x14ac:dyDescent="0.35"/>
  <cols>
    <col min="1" max="1" width="21.36328125" bestFit="1" customWidth="1"/>
    <col min="2" max="2" width="44.179687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25.90625" style="42" bestFit="1" customWidth="1"/>
    <col min="22" max="22" width="23.81640625" style="64" bestFit="1" customWidth="1"/>
    <col min="23" max="23" width="24.36328125" style="62" bestFit="1" customWidth="1"/>
    <col min="24" max="24" width="18.08984375" style="62" bestFit="1" customWidth="1"/>
    <col min="25" max="25" width="18.81640625" style="62" bestFit="1" customWidth="1"/>
    <col min="26" max="26" width="15.36328125" style="62" bestFit="1" customWidth="1"/>
    <col min="27" max="27" width="22.453125" style="62" bestFit="1" customWidth="1"/>
    <col min="28" max="28" width="20" style="62" bestFit="1" customWidth="1"/>
    <col min="29" max="29" width="27.26953125" style="62" bestFit="1" customWidth="1"/>
    <col min="30" max="30" width="14.1796875" style="62" bestFit="1" customWidth="1"/>
    <col min="31" max="31" width="14.1796875" bestFit="1" customWidth="1"/>
    <col min="32" max="32" width="19" bestFit="1" customWidth="1"/>
    <col min="33" max="33" width="23.26953125" bestFit="1" customWidth="1"/>
    <col min="34" max="34" width="24" bestFit="1" customWidth="1"/>
    <col min="35" max="35" width="17.453125" bestFit="1" customWidth="1"/>
    <col min="36" max="36" width="18" bestFit="1" customWidth="1"/>
    <col min="37" max="37" width="14.453125" bestFit="1" customWidth="1"/>
    <col min="38" max="38" width="22" bestFit="1" customWidth="1"/>
    <col min="39" max="39" width="19.26953125" bestFit="1" customWidth="1"/>
    <col min="40" max="40" width="26.81640625" bestFit="1" customWidth="1"/>
    <col min="41" max="41" width="14.7265625" bestFit="1" customWidth="1"/>
    <col min="42" max="42" width="26.7265625" bestFit="1" customWidth="1"/>
    <col min="43" max="44" width="14.7265625" bestFit="1" customWidth="1"/>
    <col min="45" max="45" width="14.1796875" bestFit="1" customWidth="1"/>
    <col min="46" max="46" width="10" bestFit="1" customWidth="1"/>
    <col min="47" max="47" width="26.7265625" bestFit="1" customWidth="1"/>
    <col min="48" max="48" width="19.1796875" bestFit="1" customWidth="1"/>
    <col min="49" max="49" width="18.1796875" style="39" bestFit="1" customWidth="1"/>
    <col min="50" max="50" width="14.7265625" style="8" bestFit="1" customWidth="1"/>
    <col min="51" max="51" width="12.453125" bestFit="1" customWidth="1"/>
    <col min="52" max="52" width="17.453125" bestFit="1" customWidth="1"/>
    <col min="53" max="53" width="27.54296875" bestFit="1" customWidth="1"/>
    <col min="54" max="54" width="19.81640625" bestFit="1" customWidth="1"/>
    <col min="55" max="55" width="19.26953125" customWidth="1"/>
  </cols>
  <sheetData>
    <row r="1" spans="1:50" x14ac:dyDescent="0.35">
      <c r="A1" t="s">
        <v>32</v>
      </c>
      <c r="B1" t="s">
        <v>30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29</v>
      </c>
      <c r="J1" t="s">
        <v>7</v>
      </c>
      <c r="K1" t="s">
        <v>153</v>
      </c>
      <c r="L1" t="s">
        <v>8</v>
      </c>
      <c r="M1" t="s">
        <v>9</v>
      </c>
      <c r="N1" t="s">
        <v>154</v>
      </c>
      <c r="O1" t="s">
        <v>155</v>
      </c>
      <c r="P1" t="s">
        <v>10</v>
      </c>
      <c r="Q1" t="s">
        <v>11</v>
      </c>
      <c r="R1" s="42" t="s">
        <v>12</v>
      </c>
      <c r="S1" s="41" t="s">
        <v>13</v>
      </c>
      <c r="T1" t="s">
        <v>148</v>
      </c>
      <c r="U1" t="s">
        <v>247</v>
      </c>
      <c r="V1" s="62" t="s">
        <v>156</v>
      </c>
      <c r="W1" s="62" t="s">
        <v>157</v>
      </c>
      <c r="X1" s="62" t="s">
        <v>158</v>
      </c>
      <c r="Y1" s="62" t="s">
        <v>159</v>
      </c>
      <c r="Z1" s="62" t="s">
        <v>151</v>
      </c>
      <c r="AA1" s="62" t="s">
        <v>49</v>
      </c>
      <c r="AB1" s="62" t="s">
        <v>152</v>
      </c>
      <c r="AC1" s="62" t="s">
        <v>160</v>
      </c>
      <c r="AD1" s="8" t="s">
        <v>50</v>
      </c>
      <c r="AW1"/>
      <c r="AX1"/>
    </row>
    <row r="2" spans="1:50" x14ac:dyDescent="0.35">
      <c r="A2" s="47" t="s">
        <v>169</v>
      </c>
      <c r="B2" t="s">
        <v>170</v>
      </c>
      <c r="C2" s="48">
        <v>1</v>
      </c>
      <c r="D2" s="48">
        <v>1</v>
      </c>
      <c r="E2" s="48">
        <v>37284.543325526916</v>
      </c>
      <c r="F2" s="48">
        <v>14.660000000000004</v>
      </c>
      <c r="G2" s="48">
        <v>32</v>
      </c>
      <c r="H2" s="46">
        <v>27328</v>
      </c>
      <c r="I2">
        <v>0</v>
      </c>
      <c r="J2">
        <v>854</v>
      </c>
      <c r="K2" s="48">
        <v>42</v>
      </c>
      <c r="L2">
        <v>21</v>
      </c>
      <c r="M2">
        <v>72</v>
      </c>
      <c r="N2" s="42">
        <v>6</v>
      </c>
      <c r="O2">
        <v>616</v>
      </c>
      <c r="P2" s="20">
        <v>31.84</v>
      </c>
      <c r="Q2">
        <v>8</v>
      </c>
      <c r="R2" s="42">
        <v>0</v>
      </c>
      <c r="S2" s="41">
        <v>6.4453441295546504E-2</v>
      </c>
      <c r="T2" s="20">
        <v>12519.640000000003</v>
      </c>
      <c r="U2">
        <v>15.166666666666666</v>
      </c>
      <c r="V2" s="62">
        <v>3259.2816194331958</v>
      </c>
      <c r="W2" s="62">
        <v>0.11926528174155429</v>
      </c>
      <c r="X2" s="62">
        <v>2568.2440485829939</v>
      </c>
      <c r="Y2" s="62">
        <v>9.3978485384330859E-2</v>
      </c>
      <c r="Z2" s="63">
        <v>2160.7887287449371</v>
      </c>
      <c r="AA2" s="62">
        <v>7.9068674207586981E-2</v>
      </c>
      <c r="AB2" s="63">
        <v>7988.3143967611268</v>
      </c>
      <c r="AC2" s="63">
        <v>0.29231244133347212</v>
      </c>
      <c r="AD2" s="8"/>
      <c r="AW2"/>
      <c r="AX2"/>
    </row>
    <row r="3" spans="1:50" x14ac:dyDescent="0.35">
      <c r="A3" s="47" t="s">
        <v>169</v>
      </c>
      <c r="B3" t="s">
        <v>171</v>
      </c>
      <c r="C3" s="48">
        <v>1</v>
      </c>
      <c r="D3" s="48">
        <v>1</v>
      </c>
      <c r="E3" s="48">
        <v>36000</v>
      </c>
      <c r="F3" s="48">
        <v>14.56</v>
      </c>
      <c r="G3" s="48">
        <v>32</v>
      </c>
      <c r="H3" s="46">
        <v>8</v>
      </c>
      <c r="J3">
        <v>1</v>
      </c>
      <c r="K3" s="48">
        <v>44</v>
      </c>
      <c r="L3">
        <v>1</v>
      </c>
      <c r="M3">
        <v>1</v>
      </c>
      <c r="N3" s="42">
        <v>1</v>
      </c>
      <c r="O3">
        <v>641</v>
      </c>
      <c r="P3" s="20">
        <v>0.04</v>
      </c>
      <c r="Q3">
        <v>8</v>
      </c>
      <c r="R3" s="42"/>
      <c r="S3" s="41">
        <v>8.0971659919028299E-5</v>
      </c>
      <c r="T3" s="20">
        <v>14.56</v>
      </c>
      <c r="U3">
        <v>15.166666666666666</v>
      </c>
      <c r="V3" s="62">
        <v>4.0945748987854227</v>
      </c>
      <c r="W3" s="62">
        <v>0.51182186234817784</v>
      </c>
      <c r="X3" s="62">
        <v>3.2264372469635609</v>
      </c>
      <c r="Y3" s="62">
        <v>0.40330465587044512</v>
      </c>
      <c r="Z3" s="63">
        <v>2.7145587044534394</v>
      </c>
      <c r="AA3" s="62">
        <v>0.33931983805667992</v>
      </c>
      <c r="AB3" s="63">
        <v>10.035570850202422</v>
      </c>
      <c r="AC3" s="63">
        <v>1.2544463562753028</v>
      </c>
      <c r="AD3" s="8"/>
      <c r="AW3"/>
      <c r="AX3"/>
    </row>
    <row r="4" spans="1:50" x14ac:dyDescent="0.35">
      <c r="A4" s="47" t="s">
        <v>169</v>
      </c>
      <c r="B4" t="s">
        <v>172</v>
      </c>
      <c r="C4" s="48">
        <v>1</v>
      </c>
      <c r="D4" s="48">
        <v>1</v>
      </c>
      <c r="E4" s="48">
        <v>37285.343228200363</v>
      </c>
      <c r="F4" s="48">
        <v>14.559999999999999</v>
      </c>
      <c r="G4" s="48">
        <v>32</v>
      </c>
      <c r="H4" s="46">
        <v>21560</v>
      </c>
      <c r="J4">
        <v>674</v>
      </c>
      <c r="K4" s="48">
        <v>42</v>
      </c>
      <c r="L4">
        <v>17</v>
      </c>
      <c r="M4">
        <v>57</v>
      </c>
      <c r="N4" s="42">
        <v>5</v>
      </c>
      <c r="O4">
        <v>612</v>
      </c>
      <c r="P4" s="20">
        <v>25.13</v>
      </c>
      <c r="Q4">
        <v>8</v>
      </c>
      <c r="R4" s="42"/>
      <c r="S4" s="41">
        <v>5.0870445344129503E-2</v>
      </c>
      <c r="T4" s="20">
        <v>9813.4399999999987</v>
      </c>
      <c r="U4">
        <v>15.166666666666666</v>
      </c>
      <c r="V4" s="62">
        <v>2572.4166801619408</v>
      </c>
      <c r="W4" s="62">
        <v>0.11931431726168557</v>
      </c>
      <c r="X4" s="62">
        <v>2027.0092004048563</v>
      </c>
      <c r="Y4" s="62">
        <v>9.4017124323045279E-2</v>
      </c>
      <c r="Z4" s="63">
        <v>1705.4215060728725</v>
      </c>
      <c r="AA4" s="62">
        <v>7.9101183027498717E-2</v>
      </c>
      <c r="AB4" s="63">
        <v>6304.8473866396689</v>
      </c>
      <c r="AC4" s="63">
        <v>0.29243262461222957</v>
      </c>
      <c r="AD4" s="8"/>
      <c r="AF4" s="39"/>
      <c r="AG4" s="39"/>
      <c r="AH4" s="39"/>
      <c r="AI4" s="39"/>
      <c r="AJ4" s="39"/>
      <c r="AK4" s="39"/>
      <c r="AL4" s="39"/>
      <c r="AM4" s="39"/>
      <c r="AN4" s="39"/>
      <c r="AW4"/>
      <c r="AX4"/>
    </row>
    <row r="5" spans="1:50" x14ac:dyDescent="0.35">
      <c r="A5" s="47" t="s">
        <v>169</v>
      </c>
      <c r="B5" t="s">
        <v>173</v>
      </c>
      <c r="C5" s="48">
        <v>1</v>
      </c>
      <c r="D5" s="48">
        <v>1</v>
      </c>
      <c r="E5" s="48">
        <v>37285.509325681494</v>
      </c>
      <c r="F5" s="48">
        <v>14.559999999999999</v>
      </c>
      <c r="G5" s="48">
        <v>32</v>
      </c>
      <c r="H5" s="46">
        <v>44608</v>
      </c>
      <c r="J5">
        <v>1394</v>
      </c>
      <c r="K5" s="48">
        <v>42</v>
      </c>
      <c r="L5">
        <v>34</v>
      </c>
      <c r="M5">
        <v>117</v>
      </c>
      <c r="N5" s="42">
        <v>9</v>
      </c>
      <c r="O5">
        <v>612</v>
      </c>
      <c r="P5" s="20">
        <v>51.98</v>
      </c>
      <c r="Q5">
        <v>8</v>
      </c>
      <c r="R5" s="42"/>
      <c r="S5" s="41">
        <v>0.10522267206477701</v>
      </c>
      <c r="T5" s="20">
        <v>20296.64</v>
      </c>
      <c r="U5">
        <v>15.166666666666666</v>
      </c>
      <c r="V5" s="62">
        <v>5320.9000809716435</v>
      </c>
      <c r="W5" s="62">
        <v>0.11928129665018929</v>
      </c>
      <c r="X5" s="62">
        <v>4192.7552024291372</v>
      </c>
      <c r="Y5" s="62">
        <v>9.3991104789031943E-2</v>
      </c>
      <c r="Z5" s="63">
        <v>3527.5690364372358</v>
      </c>
      <c r="AA5" s="62">
        <v>7.9079291527018383E-2</v>
      </c>
      <c r="AB5" s="63">
        <v>13041.224319838017</v>
      </c>
      <c r="AC5" s="63">
        <v>0.29235169296623958</v>
      </c>
      <c r="AD5" s="8"/>
      <c r="AF5" s="39"/>
      <c r="AG5" s="39"/>
      <c r="AH5" s="39"/>
      <c r="AI5" s="39"/>
      <c r="AJ5" s="39"/>
      <c r="AK5" s="39"/>
      <c r="AL5" s="39"/>
      <c r="AM5" s="39"/>
      <c r="AN5" s="39"/>
      <c r="AW5"/>
      <c r="AX5"/>
    </row>
    <row r="6" spans="1:50" x14ac:dyDescent="0.35">
      <c r="A6" s="47" t="s">
        <v>169</v>
      </c>
      <c r="B6" t="s">
        <v>174</v>
      </c>
      <c r="C6" s="48">
        <v>1</v>
      </c>
      <c r="D6" s="48">
        <v>1</v>
      </c>
      <c r="E6" s="48">
        <v>37285.930408472021</v>
      </c>
      <c r="F6" s="48">
        <v>14.659999999999998</v>
      </c>
      <c r="G6" s="48">
        <v>32</v>
      </c>
      <c r="H6" s="46">
        <v>42304</v>
      </c>
      <c r="J6">
        <v>1322</v>
      </c>
      <c r="K6" s="48">
        <v>42</v>
      </c>
      <c r="L6">
        <v>32</v>
      </c>
      <c r="M6">
        <v>111</v>
      </c>
      <c r="N6" s="42">
        <v>8</v>
      </c>
      <c r="O6">
        <v>616</v>
      </c>
      <c r="P6" s="20">
        <v>49.29</v>
      </c>
      <c r="Q6">
        <v>8</v>
      </c>
      <c r="R6" s="42"/>
      <c r="S6" s="41">
        <v>9.9777327935222607E-2</v>
      </c>
      <c r="T6" s="20">
        <v>19380.519999999997</v>
      </c>
      <c r="U6">
        <v>15.166666666666666</v>
      </c>
      <c r="V6" s="62">
        <v>5045.539919028337</v>
      </c>
      <c r="W6" s="62">
        <v>0.11926862516613883</v>
      </c>
      <c r="X6" s="62">
        <v>3975.7772975708476</v>
      </c>
      <c r="Y6" s="62">
        <v>9.3981119931232218E-2</v>
      </c>
      <c r="Z6" s="63">
        <v>3345.0149635627504</v>
      </c>
      <c r="AA6" s="62">
        <v>7.9070890780133088E-2</v>
      </c>
      <c r="AB6" s="63">
        <v>12366.332180161935</v>
      </c>
      <c r="AC6" s="63">
        <v>0.29232063587750412</v>
      </c>
      <c r="AD6" s="8"/>
      <c r="AF6" s="39"/>
      <c r="AG6" s="39"/>
      <c r="AH6" s="39"/>
      <c r="AI6" s="39"/>
      <c r="AJ6" s="39"/>
      <c r="AK6" s="39"/>
      <c r="AL6" s="39"/>
      <c r="AM6" s="39"/>
      <c r="AN6" s="39"/>
      <c r="AW6"/>
      <c r="AX6"/>
    </row>
    <row r="7" spans="1:50" x14ac:dyDescent="0.35">
      <c r="A7" s="47" t="s">
        <v>169</v>
      </c>
      <c r="B7" t="s">
        <v>175</v>
      </c>
      <c r="C7" s="48">
        <v>1</v>
      </c>
      <c r="D7" s="48">
        <v>1</v>
      </c>
      <c r="E7" s="48">
        <v>37281.899109792277</v>
      </c>
      <c r="F7" s="48">
        <v>14.690000000000001</v>
      </c>
      <c r="G7" s="48">
        <v>32</v>
      </c>
      <c r="H7" s="46">
        <v>21568</v>
      </c>
      <c r="J7">
        <v>674</v>
      </c>
      <c r="K7" s="48">
        <v>42</v>
      </c>
      <c r="L7">
        <v>17</v>
      </c>
      <c r="M7">
        <v>57</v>
      </c>
      <c r="N7" s="42">
        <v>5</v>
      </c>
      <c r="O7">
        <v>617</v>
      </c>
      <c r="P7" s="20">
        <v>25.13</v>
      </c>
      <c r="Q7">
        <v>8</v>
      </c>
      <c r="R7" s="42"/>
      <c r="S7" s="41">
        <v>5.0870445344129503E-2</v>
      </c>
      <c r="T7" s="20">
        <v>9901.0600000000013</v>
      </c>
      <c r="U7">
        <v>15.166666666666666</v>
      </c>
      <c r="V7" s="62">
        <v>2572.4166801619408</v>
      </c>
      <c r="W7" s="62">
        <v>0.11927006120928881</v>
      </c>
      <c r="X7" s="62">
        <v>2027.0092004048563</v>
      </c>
      <c r="Y7" s="62">
        <v>9.3982251502450681E-2</v>
      </c>
      <c r="Z7" s="63">
        <v>1705.4215060728725</v>
      </c>
      <c r="AA7" s="62">
        <v>7.9071842826079028E-2</v>
      </c>
      <c r="AB7" s="63">
        <v>6304.8473866396689</v>
      </c>
      <c r="AC7" s="63">
        <v>0.29232415553781849</v>
      </c>
      <c r="AD7" s="8"/>
      <c r="AF7" s="39"/>
      <c r="AG7" s="39"/>
      <c r="AH7" s="39"/>
      <c r="AI7" s="39"/>
      <c r="AJ7" s="39"/>
      <c r="AK7" s="39"/>
      <c r="AL7" s="39"/>
      <c r="AM7" s="39"/>
      <c r="AN7" s="39"/>
      <c r="AW7"/>
      <c r="AX7"/>
    </row>
    <row r="8" spans="1:50" x14ac:dyDescent="0.35">
      <c r="A8" s="47" t="s">
        <v>169</v>
      </c>
      <c r="B8" t="s">
        <v>176</v>
      </c>
      <c r="C8" s="48">
        <v>1</v>
      </c>
      <c r="D8" s="48">
        <v>1</v>
      </c>
      <c r="E8" s="48">
        <v>37282.841823056282</v>
      </c>
      <c r="F8" s="48">
        <v>14.200000000000003</v>
      </c>
      <c r="G8" s="48">
        <v>32</v>
      </c>
      <c r="H8" s="46">
        <v>23872</v>
      </c>
      <c r="J8">
        <v>746</v>
      </c>
      <c r="K8" s="48">
        <v>42</v>
      </c>
      <c r="L8">
        <v>18</v>
      </c>
      <c r="M8">
        <v>63</v>
      </c>
      <c r="N8" s="42">
        <v>5</v>
      </c>
      <c r="O8">
        <v>597</v>
      </c>
      <c r="P8" s="20">
        <v>27.81</v>
      </c>
      <c r="Q8">
        <v>8</v>
      </c>
      <c r="R8" s="42"/>
      <c r="S8" s="41">
        <v>5.6295546558704397E-2</v>
      </c>
      <c r="T8" s="20">
        <v>10593.200000000003</v>
      </c>
      <c r="U8">
        <v>15.166666666666666</v>
      </c>
      <c r="V8" s="62">
        <v>2846.7531983805638</v>
      </c>
      <c r="W8" s="62">
        <v>0.11925072044154507</v>
      </c>
      <c r="X8" s="62">
        <v>2243.1804959514147</v>
      </c>
      <c r="Y8" s="62">
        <v>9.3967011392066632E-2</v>
      </c>
      <c r="Z8" s="63">
        <v>1887.296939271253</v>
      </c>
      <c r="AA8" s="62">
        <v>7.9059020579392306E-2</v>
      </c>
      <c r="AB8" s="63">
        <v>6977.2306336032316</v>
      </c>
      <c r="AC8" s="63">
        <v>0.29227675241300399</v>
      </c>
      <c r="AD8" s="8"/>
      <c r="AF8" s="39"/>
      <c r="AG8" s="39"/>
      <c r="AH8" s="39"/>
      <c r="AI8" s="39"/>
      <c r="AJ8" s="39"/>
      <c r="AK8" s="39"/>
      <c r="AL8" s="39"/>
      <c r="AM8" s="39"/>
      <c r="AN8" s="39"/>
      <c r="AW8"/>
      <c r="AX8"/>
    </row>
    <row r="9" spans="1:50" x14ac:dyDescent="0.35">
      <c r="A9" s="47" t="s">
        <v>169</v>
      </c>
      <c r="B9" t="s">
        <v>177</v>
      </c>
      <c r="C9" s="48">
        <v>1</v>
      </c>
      <c r="D9" s="48">
        <v>1</v>
      </c>
      <c r="E9" s="48">
        <v>37284.053156146168</v>
      </c>
      <c r="F9" s="48">
        <v>14.14</v>
      </c>
      <c r="G9" s="48">
        <v>32</v>
      </c>
      <c r="H9" s="46">
        <v>19264</v>
      </c>
      <c r="J9">
        <v>602</v>
      </c>
      <c r="K9" s="48">
        <v>42</v>
      </c>
      <c r="L9">
        <v>15</v>
      </c>
      <c r="M9">
        <v>51</v>
      </c>
      <c r="N9" s="42">
        <v>4</v>
      </c>
      <c r="O9">
        <v>594</v>
      </c>
      <c r="P9" s="20">
        <v>22.44</v>
      </c>
      <c r="Q9">
        <v>8</v>
      </c>
      <c r="R9" s="42"/>
      <c r="S9" s="41">
        <v>4.5425101214574902E-2</v>
      </c>
      <c r="T9" s="20">
        <v>8512.2800000000007</v>
      </c>
      <c r="U9">
        <v>15.166666666666666</v>
      </c>
      <c r="V9" s="62">
        <v>2297.0565182186238</v>
      </c>
      <c r="W9" s="62">
        <v>0.11924089068825912</v>
      </c>
      <c r="X9" s="62">
        <v>1810.0312955465588</v>
      </c>
      <c r="Y9" s="62">
        <v>9.3959265757192628E-2</v>
      </c>
      <c r="Z9" s="63">
        <v>1522.8674331983805</v>
      </c>
      <c r="AA9" s="62">
        <v>7.9052503799749818E-2</v>
      </c>
      <c r="AB9" s="63">
        <v>5629.9552469635628</v>
      </c>
      <c r="AC9" s="63">
        <v>0.29225266024520158</v>
      </c>
      <c r="AD9" s="8"/>
      <c r="AF9" s="39"/>
      <c r="AG9" s="39"/>
      <c r="AH9" s="39"/>
      <c r="AI9" s="39"/>
      <c r="AJ9" s="39"/>
      <c r="AK9" s="39"/>
      <c r="AL9" s="39"/>
      <c r="AM9" s="39"/>
      <c r="AN9" s="39"/>
      <c r="AW9"/>
      <c r="AX9"/>
    </row>
    <row r="10" spans="1:50" x14ac:dyDescent="0.35">
      <c r="A10" s="47" t="s">
        <v>169</v>
      </c>
      <c r="B10" t="s">
        <v>178</v>
      </c>
      <c r="C10" s="48">
        <v>1</v>
      </c>
      <c r="D10" s="48">
        <v>1</v>
      </c>
      <c r="E10" s="48">
        <v>40000</v>
      </c>
      <c r="F10" s="48">
        <v>14.2</v>
      </c>
      <c r="G10" s="48">
        <v>32</v>
      </c>
      <c r="H10" s="46">
        <v>4</v>
      </c>
      <c r="J10">
        <v>1</v>
      </c>
      <c r="K10" s="48">
        <v>39</v>
      </c>
      <c r="L10">
        <v>1</v>
      </c>
      <c r="M10">
        <v>1</v>
      </c>
      <c r="N10" s="42">
        <v>1</v>
      </c>
      <c r="O10">
        <v>554</v>
      </c>
      <c r="P10" s="20">
        <v>0.04</v>
      </c>
      <c r="Q10">
        <v>8</v>
      </c>
      <c r="R10" s="42"/>
      <c r="S10" s="41">
        <v>8.0971659919028299E-5</v>
      </c>
      <c r="T10" s="20">
        <v>14.2</v>
      </c>
      <c r="U10">
        <v>15.166666666666666</v>
      </c>
      <c r="V10" s="62">
        <v>4.0945748987854227</v>
      </c>
      <c r="W10" s="62">
        <v>1.0236437246963557</v>
      </c>
      <c r="X10" s="62">
        <v>3.2264372469635609</v>
      </c>
      <c r="Y10" s="62">
        <v>0.80660931174089023</v>
      </c>
      <c r="Z10" s="63">
        <v>2.7145587044534394</v>
      </c>
      <c r="AA10" s="62">
        <v>0.67863967611335985</v>
      </c>
      <c r="AB10" s="63">
        <v>10.035570850202422</v>
      </c>
      <c r="AC10" s="63">
        <v>2.5088927125506055</v>
      </c>
      <c r="AD10" s="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W10"/>
      <c r="AX10"/>
    </row>
    <row r="11" spans="1:50" x14ac:dyDescent="0.35">
      <c r="A11" s="47" t="s">
        <v>169</v>
      </c>
      <c r="B11" t="s">
        <v>179</v>
      </c>
      <c r="C11" s="48">
        <v>1</v>
      </c>
      <c r="D11" s="48">
        <v>1</v>
      </c>
      <c r="E11" s="48">
        <v>37285.776728735029</v>
      </c>
      <c r="F11" s="48">
        <v>14.200000000000001</v>
      </c>
      <c r="G11" s="48">
        <v>32</v>
      </c>
      <c r="H11" s="46">
        <v>45756</v>
      </c>
      <c r="J11">
        <v>1430</v>
      </c>
      <c r="K11" s="48">
        <v>42</v>
      </c>
      <c r="L11">
        <v>35</v>
      </c>
      <c r="M11">
        <v>120</v>
      </c>
      <c r="N11" s="42">
        <v>9</v>
      </c>
      <c r="O11">
        <v>597</v>
      </c>
      <c r="P11" s="20">
        <v>53.32</v>
      </c>
      <c r="Q11">
        <v>8</v>
      </c>
      <c r="R11" s="42"/>
      <c r="S11" s="41">
        <v>0.107935222672065</v>
      </c>
      <c r="T11" s="20">
        <v>20306</v>
      </c>
      <c r="U11">
        <v>15.166666666666666</v>
      </c>
      <c r="V11" s="62">
        <v>5458.068340080983</v>
      </c>
      <c r="W11" s="62">
        <v>0.11928639610282768</v>
      </c>
      <c r="X11" s="62">
        <v>4300.8408502024377</v>
      </c>
      <c r="Y11" s="62">
        <v>9.3995123048396662E-2</v>
      </c>
      <c r="Z11" s="63">
        <v>3618.506753036444</v>
      </c>
      <c r="AA11" s="62">
        <v>7.9082672284212868E-2</v>
      </c>
      <c r="AB11" s="63">
        <v>13377.415943319866</v>
      </c>
      <c r="AC11" s="63">
        <v>0.29236419143543724</v>
      </c>
      <c r="AD11" s="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W11"/>
      <c r="AX11"/>
    </row>
    <row r="12" spans="1:50" x14ac:dyDescent="0.35">
      <c r="A12" s="47" t="s">
        <v>169</v>
      </c>
      <c r="B12" t="s">
        <v>180</v>
      </c>
      <c r="C12" s="48">
        <v>1</v>
      </c>
      <c r="D12" s="48">
        <v>1</v>
      </c>
      <c r="E12" s="48">
        <v>37285.509325681494</v>
      </c>
      <c r="F12" s="48">
        <v>14.200000000000005</v>
      </c>
      <c r="G12" s="48">
        <v>32</v>
      </c>
      <c r="H12" s="46">
        <v>44608</v>
      </c>
      <c r="J12">
        <v>1394</v>
      </c>
      <c r="K12" s="48">
        <v>42</v>
      </c>
      <c r="L12">
        <v>34</v>
      </c>
      <c r="M12">
        <v>117</v>
      </c>
      <c r="N12" s="42">
        <v>9</v>
      </c>
      <c r="O12">
        <v>597</v>
      </c>
      <c r="P12" s="20">
        <v>51.98</v>
      </c>
      <c r="Q12">
        <v>8</v>
      </c>
      <c r="R12" s="42"/>
      <c r="S12" s="41">
        <v>0.10522267206477701</v>
      </c>
      <c r="T12" s="20">
        <v>19794.800000000007</v>
      </c>
      <c r="U12">
        <v>15.166666666666666</v>
      </c>
      <c r="V12" s="62">
        <v>5320.9000809716435</v>
      </c>
      <c r="W12" s="62">
        <v>0.11928129665018929</v>
      </c>
      <c r="X12" s="62">
        <v>4192.7552024291372</v>
      </c>
      <c r="Y12" s="62">
        <v>9.3991104789031943E-2</v>
      </c>
      <c r="Z12" s="63">
        <v>3527.5690364372358</v>
      </c>
      <c r="AA12" s="62">
        <v>7.9079291527018383E-2</v>
      </c>
      <c r="AB12" s="63">
        <v>13041.224319838017</v>
      </c>
      <c r="AC12" s="63">
        <v>0.29235169296623958</v>
      </c>
      <c r="AD12" s="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W12"/>
      <c r="AX12"/>
    </row>
    <row r="13" spans="1:50" x14ac:dyDescent="0.35">
      <c r="A13" s="47" t="s">
        <v>169</v>
      </c>
      <c r="B13" t="s">
        <v>181</v>
      </c>
      <c r="C13" s="48">
        <v>1</v>
      </c>
      <c r="D13" s="48">
        <v>1</v>
      </c>
      <c r="E13" s="48">
        <v>37281.690140845058</v>
      </c>
      <c r="F13" s="48">
        <v>14.200000000000003</v>
      </c>
      <c r="G13" s="48">
        <v>32</v>
      </c>
      <c r="H13" s="46">
        <v>22720</v>
      </c>
      <c r="J13">
        <v>710</v>
      </c>
      <c r="K13" s="48">
        <v>42</v>
      </c>
      <c r="L13">
        <v>17</v>
      </c>
      <c r="M13">
        <v>60</v>
      </c>
      <c r="N13" s="42">
        <v>5</v>
      </c>
      <c r="O13">
        <v>597</v>
      </c>
      <c r="P13" s="20">
        <v>26.47</v>
      </c>
      <c r="Q13">
        <v>8</v>
      </c>
      <c r="R13" s="42"/>
      <c r="S13" s="41">
        <v>5.3582995951417002E-2</v>
      </c>
      <c r="T13" s="20">
        <v>10082.000000000002</v>
      </c>
      <c r="U13">
        <v>15.166666666666666</v>
      </c>
      <c r="V13" s="62">
        <v>2709.5849392712548</v>
      </c>
      <c r="W13" s="62">
        <v>0.11925990049609396</v>
      </c>
      <c r="X13" s="62">
        <v>2135.0948481781375</v>
      </c>
      <c r="Y13" s="62">
        <v>9.3974245078263088E-2</v>
      </c>
      <c r="Z13" s="63">
        <v>1796.3592226720646</v>
      </c>
      <c r="AA13" s="62">
        <v>7.9065106631692986E-2</v>
      </c>
      <c r="AB13" s="63">
        <v>6641.0390101214562</v>
      </c>
      <c r="AC13" s="63">
        <v>0.29229925220605002</v>
      </c>
      <c r="AD13" s="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W13"/>
      <c r="AX13"/>
    </row>
    <row r="14" spans="1:50" x14ac:dyDescent="0.35">
      <c r="A14" s="47" t="s">
        <v>182</v>
      </c>
      <c r="B14" t="s">
        <v>183</v>
      </c>
      <c r="C14" s="48">
        <v>1</v>
      </c>
      <c r="D14" s="48">
        <v>1</v>
      </c>
      <c r="E14" s="48">
        <v>49556.701030927827</v>
      </c>
      <c r="F14" s="48">
        <v>15.21</v>
      </c>
      <c r="G14" s="48">
        <v>84</v>
      </c>
      <c r="H14" s="46">
        <v>8148</v>
      </c>
      <c r="J14">
        <v>97</v>
      </c>
      <c r="K14" s="48">
        <v>32</v>
      </c>
      <c r="L14">
        <v>4</v>
      </c>
      <c r="M14">
        <v>9</v>
      </c>
      <c r="N14" s="42">
        <v>1</v>
      </c>
      <c r="O14">
        <v>487</v>
      </c>
      <c r="P14" s="20">
        <v>4.8099999999999996</v>
      </c>
      <c r="Q14">
        <v>8</v>
      </c>
      <c r="R14" s="42"/>
      <c r="S14" s="41">
        <v>9.7368421052631497E-3</v>
      </c>
      <c r="T14" s="20">
        <v>1475.3700000000001</v>
      </c>
      <c r="U14">
        <v>15.166666666666666</v>
      </c>
      <c r="V14" s="62">
        <v>492.37263157894694</v>
      </c>
      <c r="W14" s="62">
        <v>6.0428648941942435E-2</v>
      </c>
      <c r="X14" s="62">
        <v>387.97907894736807</v>
      </c>
      <c r="Y14" s="62">
        <v>4.7616479988631326E-2</v>
      </c>
      <c r="Z14" s="63">
        <v>326.42568421052601</v>
      </c>
      <c r="AA14" s="62">
        <v>4.006206237242587E-2</v>
      </c>
      <c r="AB14" s="63">
        <v>1206.777394736841</v>
      </c>
      <c r="AC14" s="63">
        <v>0.14810719130299962</v>
      </c>
      <c r="AD14" s="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W14"/>
      <c r="AX14"/>
    </row>
    <row r="15" spans="1:50" x14ac:dyDescent="0.35">
      <c r="A15" s="47" t="s">
        <v>182</v>
      </c>
      <c r="B15" t="s">
        <v>184</v>
      </c>
      <c r="C15" s="48">
        <v>1</v>
      </c>
      <c r="D15" s="48">
        <v>1</v>
      </c>
      <c r="E15" s="48">
        <v>49560</v>
      </c>
      <c r="F15" s="48">
        <v>15.21</v>
      </c>
      <c r="G15" s="48">
        <v>84</v>
      </c>
      <c r="H15" s="46">
        <v>2100</v>
      </c>
      <c r="J15">
        <v>25</v>
      </c>
      <c r="K15" s="48">
        <v>32</v>
      </c>
      <c r="L15">
        <v>1</v>
      </c>
      <c r="M15">
        <v>3</v>
      </c>
      <c r="N15" s="42">
        <v>1</v>
      </c>
      <c r="O15">
        <v>487</v>
      </c>
      <c r="P15" s="20">
        <v>1.24</v>
      </c>
      <c r="Q15">
        <v>8</v>
      </c>
      <c r="R15" s="42"/>
      <c r="S15" s="41">
        <v>2.5101214574898799E-3</v>
      </c>
      <c r="T15" s="20">
        <v>380.25</v>
      </c>
      <c r="U15">
        <v>15.166666666666666</v>
      </c>
      <c r="V15" s="62">
        <v>126.93182186234824</v>
      </c>
      <c r="W15" s="62">
        <v>6.0443724696356303E-2</v>
      </c>
      <c r="X15" s="62">
        <v>100.01955465587049</v>
      </c>
      <c r="Y15" s="62">
        <v>4.7628359359938331E-2</v>
      </c>
      <c r="Z15" s="63">
        <v>84.151319838056708</v>
      </c>
      <c r="AA15" s="62">
        <v>4.0072057065741289E-2</v>
      </c>
      <c r="AB15" s="63">
        <v>311.10269635627549</v>
      </c>
      <c r="AC15" s="63">
        <v>0.14814414112203592</v>
      </c>
      <c r="AD15" s="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W15"/>
      <c r="AX15"/>
    </row>
    <row r="16" spans="1:50" x14ac:dyDescent="0.35">
      <c r="A16" s="47" t="s">
        <v>182</v>
      </c>
      <c r="B16" t="s">
        <v>185</v>
      </c>
      <c r="C16" s="48">
        <v>1</v>
      </c>
      <c r="D16" s="48">
        <v>1</v>
      </c>
      <c r="E16" s="48">
        <v>49556.701030927827</v>
      </c>
      <c r="F16" s="48">
        <v>15.21</v>
      </c>
      <c r="G16" s="48">
        <v>84</v>
      </c>
      <c r="H16" s="46">
        <v>8148</v>
      </c>
      <c r="J16">
        <v>97</v>
      </c>
      <c r="K16" s="48">
        <v>32</v>
      </c>
      <c r="L16">
        <v>4</v>
      </c>
      <c r="M16">
        <v>9</v>
      </c>
      <c r="N16" s="42">
        <v>1</v>
      </c>
      <c r="O16">
        <v>487</v>
      </c>
      <c r="P16" s="20">
        <v>4.8099999999999996</v>
      </c>
      <c r="Q16">
        <v>8</v>
      </c>
      <c r="R16" s="42"/>
      <c r="S16" s="41">
        <v>9.7368421052631497E-3</v>
      </c>
      <c r="T16" s="20">
        <v>1475.3700000000001</v>
      </c>
      <c r="U16">
        <v>15.166666666666666</v>
      </c>
      <c r="V16" s="62">
        <v>492.37263157894694</v>
      </c>
      <c r="W16" s="62">
        <v>6.0428648941942435E-2</v>
      </c>
      <c r="X16" s="62">
        <v>387.97907894736807</v>
      </c>
      <c r="Y16" s="62">
        <v>4.7616479988631326E-2</v>
      </c>
      <c r="Z16" s="63">
        <v>326.42568421052601</v>
      </c>
      <c r="AA16" s="62">
        <v>4.006206237242587E-2</v>
      </c>
      <c r="AB16" s="63">
        <v>1206.777394736841</v>
      </c>
      <c r="AC16" s="63">
        <v>0.14810719130299962</v>
      </c>
      <c r="AD16" s="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W16"/>
      <c r="AX16"/>
    </row>
    <row r="17" spans="1:50" x14ac:dyDescent="0.35">
      <c r="A17" s="47" t="s">
        <v>182</v>
      </c>
      <c r="B17" t="s">
        <v>186</v>
      </c>
      <c r="C17" s="48">
        <v>1</v>
      </c>
      <c r="D17" s="48">
        <v>1</v>
      </c>
      <c r="E17" s="48">
        <v>50000</v>
      </c>
      <c r="F17" s="48">
        <v>15.21</v>
      </c>
      <c r="G17" s="48">
        <v>84</v>
      </c>
      <c r="H17" s="46">
        <v>84</v>
      </c>
      <c r="J17">
        <v>1</v>
      </c>
      <c r="K17" s="48">
        <v>31</v>
      </c>
      <c r="L17">
        <v>1</v>
      </c>
      <c r="M17">
        <v>1</v>
      </c>
      <c r="N17" s="42">
        <v>1</v>
      </c>
      <c r="O17">
        <v>472</v>
      </c>
      <c r="P17" s="20">
        <v>0.05</v>
      </c>
      <c r="Q17">
        <v>8</v>
      </c>
      <c r="R17" s="42"/>
      <c r="S17" s="41">
        <v>1.01214574898785E-4</v>
      </c>
      <c r="T17" s="20">
        <v>15.21</v>
      </c>
      <c r="U17">
        <v>15.166666666666666</v>
      </c>
      <c r="V17" s="62">
        <v>5.1182186234817602</v>
      </c>
      <c r="W17" s="62">
        <v>6.0931174089068577E-2</v>
      </c>
      <c r="X17" s="62">
        <v>4.0330465587044362</v>
      </c>
      <c r="Y17" s="62">
        <v>4.801245903219567E-2</v>
      </c>
      <c r="Z17" s="63">
        <v>3.3931983805667869</v>
      </c>
      <c r="AA17" s="62">
        <v>4.0395218816271269E-2</v>
      </c>
      <c r="AB17" s="63">
        <v>12.544463562752984</v>
      </c>
      <c r="AC17" s="63">
        <v>0.14933885193753552</v>
      </c>
      <c r="AD17" s="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W17"/>
      <c r="AX17"/>
    </row>
    <row r="18" spans="1:50" x14ac:dyDescent="0.35">
      <c r="A18" s="47" t="s">
        <v>182</v>
      </c>
      <c r="B18" t="s">
        <v>187</v>
      </c>
      <c r="C18" s="48">
        <v>1</v>
      </c>
      <c r="D18" s="48">
        <v>1</v>
      </c>
      <c r="E18" s="48">
        <v>49542.857142857145</v>
      </c>
      <c r="F18" s="48">
        <v>15.21</v>
      </c>
      <c r="G18" s="48">
        <v>84</v>
      </c>
      <c r="H18" s="46">
        <v>8820</v>
      </c>
      <c r="J18">
        <v>105</v>
      </c>
      <c r="K18" s="48">
        <v>32</v>
      </c>
      <c r="L18">
        <v>4</v>
      </c>
      <c r="M18">
        <v>9</v>
      </c>
      <c r="N18" s="42">
        <v>1</v>
      </c>
      <c r="O18">
        <v>487</v>
      </c>
      <c r="P18" s="20">
        <v>5.2</v>
      </c>
      <c r="Q18">
        <v>8</v>
      </c>
      <c r="R18" s="42"/>
      <c r="S18" s="41">
        <v>1.05263157894737E-2</v>
      </c>
      <c r="T18" s="20">
        <v>1597.0500000000002</v>
      </c>
      <c r="U18">
        <v>15.166666666666666</v>
      </c>
      <c r="V18" s="62">
        <v>532.29473684210609</v>
      </c>
      <c r="W18" s="62">
        <v>6.0350877192982551E-2</v>
      </c>
      <c r="X18" s="62">
        <v>419.43684210526379</v>
      </c>
      <c r="Y18" s="62">
        <v>4.7555197517603606E-2</v>
      </c>
      <c r="Z18" s="63">
        <v>352.89263157894783</v>
      </c>
      <c r="AA18" s="62">
        <v>4.0010502446592724E-2</v>
      </c>
      <c r="AB18" s="63">
        <v>1304.6242105263177</v>
      </c>
      <c r="AC18" s="63">
        <v>0.14791657715717887</v>
      </c>
      <c r="AD18" s="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W18"/>
      <c r="AX18"/>
    </row>
    <row r="19" spans="1:50" x14ac:dyDescent="0.35">
      <c r="A19" s="47" t="s">
        <v>182</v>
      </c>
      <c r="B19" t="s">
        <v>188</v>
      </c>
      <c r="C19" s="48">
        <v>1</v>
      </c>
      <c r="D19" s="48">
        <v>1</v>
      </c>
      <c r="E19" s="48">
        <v>50000</v>
      </c>
      <c r="F19" s="48">
        <v>15.21</v>
      </c>
      <c r="G19" s="48">
        <v>84</v>
      </c>
      <c r="H19" s="46">
        <v>84</v>
      </c>
      <c r="J19">
        <v>1</v>
      </c>
      <c r="K19" s="48">
        <v>31</v>
      </c>
      <c r="L19">
        <v>1</v>
      </c>
      <c r="M19">
        <v>1</v>
      </c>
      <c r="N19" s="42">
        <v>1</v>
      </c>
      <c r="O19">
        <v>472</v>
      </c>
      <c r="P19" s="20">
        <v>0.05</v>
      </c>
      <c r="Q19">
        <v>8</v>
      </c>
      <c r="R19" s="42"/>
      <c r="S19" s="41">
        <v>1.01214574898785E-4</v>
      </c>
      <c r="T19" s="20">
        <v>15.21</v>
      </c>
      <c r="U19">
        <v>15.166666666666666</v>
      </c>
      <c r="V19" s="62">
        <v>5.1182186234817602</v>
      </c>
      <c r="W19" s="62">
        <v>6.0931174089068577E-2</v>
      </c>
      <c r="X19" s="62">
        <v>4.0330465587044362</v>
      </c>
      <c r="Y19" s="62">
        <v>4.801245903219567E-2</v>
      </c>
      <c r="Z19" s="63">
        <v>3.3931983805667869</v>
      </c>
      <c r="AA19" s="62">
        <v>4.0395218816271269E-2</v>
      </c>
      <c r="AB19" s="63">
        <v>12.544463562752984</v>
      </c>
      <c r="AC19" s="63">
        <v>0.14933885193753552</v>
      </c>
      <c r="AD19" s="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W19"/>
      <c r="AX19"/>
    </row>
    <row r="20" spans="1:50" x14ac:dyDescent="0.35">
      <c r="A20" s="47" t="s">
        <v>182</v>
      </c>
      <c r="B20" t="s">
        <v>189</v>
      </c>
      <c r="C20" s="48">
        <v>1</v>
      </c>
      <c r="D20" s="48">
        <v>1</v>
      </c>
      <c r="E20" s="48">
        <v>40082.474226804123</v>
      </c>
      <c r="F20" s="48">
        <v>10.65</v>
      </c>
      <c r="G20" s="48">
        <v>70</v>
      </c>
      <c r="H20" s="46">
        <v>6790</v>
      </c>
      <c r="J20">
        <v>97</v>
      </c>
      <c r="K20" s="48">
        <v>39</v>
      </c>
      <c r="L20">
        <v>3</v>
      </c>
      <c r="M20">
        <v>9</v>
      </c>
      <c r="N20" s="42">
        <v>1</v>
      </c>
      <c r="O20">
        <v>416</v>
      </c>
      <c r="P20" s="20">
        <v>3.89</v>
      </c>
      <c r="Q20">
        <v>8</v>
      </c>
      <c r="R20" s="42"/>
      <c r="S20" s="41">
        <v>7.8744939271254994E-3</v>
      </c>
      <c r="T20" s="20">
        <v>1033.05</v>
      </c>
      <c r="U20">
        <v>15.166666666666666</v>
      </c>
      <c r="V20" s="62">
        <v>398.19740890688223</v>
      </c>
      <c r="W20" s="62">
        <v>5.8644684669643919E-2</v>
      </c>
      <c r="X20" s="62">
        <v>313.77102226720621</v>
      </c>
      <c r="Y20" s="62">
        <v>4.621075438397735E-2</v>
      </c>
      <c r="Z20" s="63">
        <v>263.9908340080969</v>
      </c>
      <c r="AA20" s="62">
        <v>3.8879356996774209E-2</v>
      </c>
      <c r="AB20" s="63">
        <v>975.95926518218539</v>
      </c>
      <c r="AC20" s="63">
        <v>0.14373479605039549</v>
      </c>
      <c r="AD20" s="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W20"/>
      <c r="AX20"/>
    </row>
    <row r="21" spans="1:50" x14ac:dyDescent="0.35">
      <c r="A21" s="47" t="s">
        <v>182</v>
      </c>
      <c r="B21" t="s">
        <v>190</v>
      </c>
      <c r="C21" s="48">
        <v>1</v>
      </c>
      <c r="D21" s="48">
        <v>1</v>
      </c>
      <c r="E21" s="48">
        <v>40082.474226804123</v>
      </c>
      <c r="F21" s="48">
        <v>10.65</v>
      </c>
      <c r="G21" s="48">
        <v>70</v>
      </c>
      <c r="H21" s="46">
        <v>6790</v>
      </c>
      <c r="J21">
        <v>97</v>
      </c>
      <c r="K21" s="48">
        <v>39</v>
      </c>
      <c r="L21">
        <v>3</v>
      </c>
      <c r="M21">
        <v>9</v>
      </c>
      <c r="N21" s="42">
        <v>1</v>
      </c>
      <c r="O21">
        <v>416</v>
      </c>
      <c r="P21" s="20">
        <v>3.89</v>
      </c>
      <c r="Q21">
        <v>8</v>
      </c>
      <c r="R21" s="42"/>
      <c r="S21" s="41">
        <v>7.8744939271254994E-3</v>
      </c>
      <c r="T21" s="20">
        <v>1033.05</v>
      </c>
      <c r="U21">
        <v>15.166666666666666</v>
      </c>
      <c r="V21" s="62">
        <v>398.19740890688223</v>
      </c>
      <c r="W21" s="62">
        <v>5.8644684669643919E-2</v>
      </c>
      <c r="X21" s="62">
        <v>313.77102226720621</v>
      </c>
      <c r="Y21" s="62">
        <v>4.621075438397735E-2</v>
      </c>
      <c r="Z21" s="63">
        <v>263.9908340080969</v>
      </c>
      <c r="AA21" s="62">
        <v>3.8879356996774209E-2</v>
      </c>
      <c r="AB21" s="63">
        <v>975.95926518218539</v>
      </c>
      <c r="AC21" s="63">
        <v>0.14373479605039549</v>
      </c>
      <c r="AD21" s="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W21"/>
      <c r="AX21"/>
    </row>
    <row r="22" spans="1:50" x14ac:dyDescent="0.35">
      <c r="A22" s="47" t="s">
        <v>182</v>
      </c>
      <c r="B22" t="s">
        <v>191</v>
      </c>
      <c r="C22" s="48">
        <v>1</v>
      </c>
      <c r="D22" s="48">
        <v>1</v>
      </c>
      <c r="E22" s="48">
        <v>40000</v>
      </c>
      <c r="F22" s="48">
        <v>10.65</v>
      </c>
      <c r="G22" s="48">
        <v>70</v>
      </c>
      <c r="H22" s="46">
        <v>70</v>
      </c>
      <c r="J22">
        <v>1</v>
      </c>
      <c r="K22" s="48">
        <v>39</v>
      </c>
      <c r="L22">
        <v>1</v>
      </c>
      <c r="M22">
        <v>1</v>
      </c>
      <c r="N22" s="42">
        <v>1</v>
      </c>
      <c r="O22">
        <v>416</v>
      </c>
      <c r="P22" s="20">
        <v>0.04</v>
      </c>
      <c r="Q22">
        <v>8</v>
      </c>
      <c r="R22" s="42"/>
      <c r="S22" s="41">
        <v>8.0971659919028299E-5</v>
      </c>
      <c r="T22" s="20">
        <v>10.65</v>
      </c>
      <c r="U22">
        <v>15.166666666666666</v>
      </c>
      <c r="V22" s="62">
        <v>4.0945748987854227</v>
      </c>
      <c r="W22" s="62">
        <v>5.8493927125506037E-2</v>
      </c>
      <c r="X22" s="62">
        <v>3.2264372469635609</v>
      </c>
      <c r="Y22" s="62">
        <v>4.6091960670908011E-2</v>
      </c>
      <c r="Z22" s="63">
        <v>2.7145587044534394</v>
      </c>
      <c r="AA22" s="62">
        <v>3.877941006362056E-2</v>
      </c>
      <c r="AB22" s="63">
        <v>10.035570850202422</v>
      </c>
      <c r="AC22" s="63">
        <v>0.1433652978600346</v>
      </c>
      <c r="AD22" s="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W22"/>
      <c r="AX22"/>
    </row>
    <row r="23" spans="1:50" x14ac:dyDescent="0.35">
      <c r="A23" s="47" t="s">
        <v>182</v>
      </c>
      <c r="B23" t="s">
        <v>192</v>
      </c>
      <c r="C23" s="48">
        <v>1</v>
      </c>
      <c r="D23" s="48">
        <v>1</v>
      </c>
      <c r="E23" s="48">
        <v>40082.474226804123</v>
      </c>
      <c r="F23" s="48">
        <v>10.65</v>
      </c>
      <c r="G23" s="48">
        <v>70</v>
      </c>
      <c r="H23" s="46">
        <v>6790</v>
      </c>
      <c r="J23">
        <v>97</v>
      </c>
      <c r="K23" s="48">
        <v>39</v>
      </c>
      <c r="L23">
        <v>3</v>
      </c>
      <c r="M23">
        <v>9</v>
      </c>
      <c r="N23" s="42">
        <v>1</v>
      </c>
      <c r="O23">
        <v>416</v>
      </c>
      <c r="P23" s="20">
        <v>3.89</v>
      </c>
      <c r="Q23">
        <v>8</v>
      </c>
      <c r="R23" s="42"/>
      <c r="S23" s="41">
        <v>7.8744939271254994E-3</v>
      </c>
      <c r="T23" s="20">
        <v>1033.05</v>
      </c>
      <c r="U23">
        <v>15.166666666666666</v>
      </c>
      <c r="V23" s="62">
        <v>398.19740890688223</v>
      </c>
      <c r="W23" s="62">
        <v>5.8644684669643919E-2</v>
      </c>
      <c r="X23" s="62">
        <v>313.77102226720621</v>
      </c>
      <c r="Y23" s="62">
        <v>4.621075438397735E-2</v>
      </c>
      <c r="Z23" s="63">
        <v>263.9908340080969</v>
      </c>
      <c r="AA23" s="62">
        <v>3.8879356996774209E-2</v>
      </c>
      <c r="AB23" s="63">
        <v>975.95926518218539</v>
      </c>
      <c r="AC23" s="63">
        <v>0.14373479605039549</v>
      </c>
      <c r="AD23" s="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W23"/>
      <c r="AX23"/>
    </row>
    <row r="24" spans="1:50" x14ac:dyDescent="0.35">
      <c r="A24" s="47" t="s">
        <v>182</v>
      </c>
      <c r="B24" t="s">
        <v>193</v>
      </c>
      <c r="C24" s="48">
        <v>1</v>
      </c>
      <c r="D24" s="48">
        <v>1</v>
      </c>
      <c r="E24" s="48">
        <v>40000</v>
      </c>
      <c r="F24" s="48">
        <v>10.65</v>
      </c>
      <c r="G24" s="48">
        <v>70</v>
      </c>
      <c r="H24" s="46">
        <v>70</v>
      </c>
      <c r="J24">
        <v>1</v>
      </c>
      <c r="K24" s="48">
        <v>39</v>
      </c>
      <c r="L24">
        <v>1</v>
      </c>
      <c r="M24">
        <v>1</v>
      </c>
      <c r="N24" s="42">
        <v>1</v>
      </c>
      <c r="O24">
        <v>416</v>
      </c>
      <c r="P24" s="20">
        <v>0.04</v>
      </c>
      <c r="Q24">
        <v>8</v>
      </c>
      <c r="R24" s="42"/>
      <c r="S24" s="41">
        <v>8.0971659919028299E-5</v>
      </c>
      <c r="T24" s="20">
        <v>10.65</v>
      </c>
      <c r="U24">
        <v>15.166666666666666</v>
      </c>
      <c r="V24" s="62">
        <v>4.0945748987854227</v>
      </c>
      <c r="W24" s="62">
        <v>5.8493927125506037E-2</v>
      </c>
      <c r="X24" s="62">
        <v>3.2264372469635609</v>
      </c>
      <c r="Y24" s="62">
        <v>4.6091960670908011E-2</v>
      </c>
      <c r="Z24" s="63">
        <v>2.7145587044534394</v>
      </c>
      <c r="AA24" s="62">
        <v>3.877941006362056E-2</v>
      </c>
      <c r="AB24" s="63">
        <v>10.035570850202422</v>
      </c>
      <c r="AC24" s="63">
        <v>0.1433652978600346</v>
      </c>
      <c r="AD24" s="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W24"/>
      <c r="AX24"/>
    </row>
    <row r="25" spans="1:50" x14ac:dyDescent="0.35">
      <c r="A25" s="47" t="s">
        <v>182</v>
      </c>
      <c r="B25" t="s">
        <v>194</v>
      </c>
      <c r="C25" s="48">
        <v>1</v>
      </c>
      <c r="D25" s="48">
        <v>1</v>
      </c>
      <c r="E25" s="48">
        <v>40082.474226804123</v>
      </c>
      <c r="F25" s="48">
        <v>10.65</v>
      </c>
      <c r="G25" s="48">
        <v>70</v>
      </c>
      <c r="H25" s="46">
        <v>6790</v>
      </c>
      <c r="J25">
        <v>97</v>
      </c>
      <c r="K25" s="48">
        <v>39</v>
      </c>
      <c r="L25">
        <v>3</v>
      </c>
      <c r="M25">
        <v>9</v>
      </c>
      <c r="N25" s="42">
        <v>1</v>
      </c>
      <c r="O25">
        <v>416</v>
      </c>
      <c r="P25" s="20">
        <v>3.89</v>
      </c>
      <c r="Q25">
        <v>8</v>
      </c>
      <c r="R25" s="42"/>
      <c r="S25" s="41">
        <v>7.8744939271254994E-3</v>
      </c>
      <c r="T25" s="20">
        <v>1033.05</v>
      </c>
      <c r="U25">
        <v>15.166666666666666</v>
      </c>
      <c r="V25" s="62">
        <v>398.19740890688223</v>
      </c>
      <c r="W25" s="62">
        <v>5.8644684669643919E-2</v>
      </c>
      <c r="X25" s="62">
        <v>313.77102226720621</v>
      </c>
      <c r="Y25" s="62">
        <v>4.621075438397735E-2</v>
      </c>
      <c r="Z25" s="63">
        <v>263.9908340080969</v>
      </c>
      <c r="AA25" s="62">
        <v>3.8879356996774209E-2</v>
      </c>
      <c r="AB25" s="63">
        <v>975.95926518218539</v>
      </c>
      <c r="AC25" s="63">
        <v>0.14373479605039549</v>
      </c>
      <c r="AD25" s="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W25"/>
      <c r="AX25"/>
    </row>
    <row r="26" spans="1:50" x14ac:dyDescent="0.35">
      <c r="A26" s="47" t="s">
        <v>182</v>
      </c>
      <c r="B26" t="s">
        <v>195</v>
      </c>
      <c r="C26" s="48">
        <v>1</v>
      </c>
      <c r="D26" s="48">
        <v>1</v>
      </c>
      <c r="E26" s="48">
        <v>52000</v>
      </c>
      <c r="F26" s="48">
        <v>10.4</v>
      </c>
      <c r="G26" s="48">
        <v>72</v>
      </c>
      <c r="H26" s="46">
        <v>72</v>
      </c>
      <c r="J26">
        <v>1</v>
      </c>
      <c r="K26" s="48">
        <v>30</v>
      </c>
      <c r="L26">
        <v>1</v>
      </c>
      <c r="M26">
        <v>1</v>
      </c>
      <c r="N26" s="42">
        <v>1</v>
      </c>
      <c r="O26">
        <v>312</v>
      </c>
      <c r="P26" s="20">
        <v>0.05</v>
      </c>
      <c r="Q26">
        <v>8</v>
      </c>
      <c r="R26" s="42"/>
      <c r="S26" s="41">
        <v>1.01214574898785E-4</v>
      </c>
      <c r="T26" s="20">
        <v>10.4</v>
      </c>
      <c r="U26">
        <v>15.166666666666666</v>
      </c>
      <c r="V26" s="62">
        <v>5.1182186234817602</v>
      </c>
      <c r="W26" s="62">
        <v>7.1086369770579999E-2</v>
      </c>
      <c r="X26" s="62">
        <v>4.0330465587044362</v>
      </c>
      <c r="Y26" s="62">
        <v>5.6014535537561611E-2</v>
      </c>
      <c r="Z26" s="63">
        <v>3.3931983805667869</v>
      </c>
      <c r="AA26" s="62">
        <v>4.7127755285649817E-2</v>
      </c>
      <c r="AB26" s="63">
        <v>12.544463562752984</v>
      </c>
      <c r="AC26" s="63">
        <v>0.17422866059379144</v>
      </c>
      <c r="AD26" s="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8"/>
      <c r="AX26"/>
    </row>
    <row r="27" spans="1:50" x14ac:dyDescent="0.35">
      <c r="A27" s="47" t="s">
        <v>182</v>
      </c>
      <c r="B27" t="s">
        <v>196</v>
      </c>
      <c r="C27" s="48">
        <v>1</v>
      </c>
      <c r="D27" s="48">
        <v>1</v>
      </c>
      <c r="E27" s="48">
        <v>52000</v>
      </c>
      <c r="F27" s="48">
        <v>10.4</v>
      </c>
      <c r="G27" s="48">
        <v>72</v>
      </c>
      <c r="H27" s="46">
        <v>72</v>
      </c>
      <c r="J27">
        <v>1</v>
      </c>
      <c r="K27" s="48">
        <v>30</v>
      </c>
      <c r="L27">
        <v>1</v>
      </c>
      <c r="M27">
        <v>1</v>
      </c>
      <c r="N27" s="42">
        <v>1</v>
      </c>
      <c r="O27">
        <v>312</v>
      </c>
      <c r="P27" s="20">
        <v>0.05</v>
      </c>
      <c r="Q27">
        <v>8</v>
      </c>
      <c r="R27" s="42"/>
      <c r="S27" s="41">
        <v>1.01214574898785E-4</v>
      </c>
      <c r="T27" s="20">
        <v>10.4</v>
      </c>
      <c r="U27">
        <v>15.166666666666666</v>
      </c>
      <c r="V27" s="62">
        <v>5.1182186234817602</v>
      </c>
      <c r="W27" s="62">
        <v>7.1086369770579999E-2</v>
      </c>
      <c r="X27" s="62">
        <v>4.0330465587044362</v>
      </c>
      <c r="Y27" s="62">
        <v>5.6014535537561611E-2</v>
      </c>
      <c r="Z27" s="63">
        <v>3.3931983805667869</v>
      </c>
      <c r="AA27" s="62">
        <v>4.7127755285649817E-2</v>
      </c>
      <c r="AB27" s="63">
        <v>12.544463562752984</v>
      </c>
      <c r="AC27" s="63">
        <v>0.17422866059379144</v>
      </c>
      <c r="AD27" s="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8"/>
      <c r="AX27"/>
    </row>
    <row r="28" spans="1:50" x14ac:dyDescent="0.35">
      <c r="A28" s="47" t="s">
        <v>182</v>
      </c>
      <c r="B28" t="s">
        <v>197</v>
      </c>
      <c r="C28" s="48">
        <v>1</v>
      </c>
      <c r="D28" s="48">
        <v>1</v>
      </c>
      <c r="E28" s="48">
        <v>52000</v>
      </c>
      <c r="F28" s="48">
        <v>10.4</v>
      </c>
      <c r="G28" s="48">
        <v>72</v>
      </c>
      <c r="H28" s="46">
        <v>72</v>
      </c>
      <c r="J28">
        <v>1</v>
      </c>
      <c r="K28" s="48">
        <v>30</v>
      </c>
      <c r="L28">
        <v>1</v>
      </c>
      <c r="M28">
        <v>1</v>
      </c>
      <c r="N28" s="42">
        <v>1</v>
      </c>
      <c r="O28">
        <v>312</v>
      </c>
      <c r="P28" s="20">
        <v>0.05</v>
      </c>
      <c r="Q28">
        <v>8</v>
      </c>
      <c r="R28" s="42"/>
      <c r="S28" s="41">
        <v>1.01214574898785E-4</v>
      </c>
      <c r="T28" s="20">
        <v>10.4</v>
      </c>
      <c r="U28">
        <v>15.166666666666666</v>
      </c>
      <c r="V28" s="62">
        <v>5.1182186234817602</v>
      </c>
      <c r="W28" s="62">
        <v>7.1086369770579999E-2</v>
      </c>
      <c r="X28" s="62">
        <v>4.0330465587044362</v>
      </c>
      <c r="Y28" s="62">
        <v>5.6014535537561611E-2</v>
      </c>
      <c r="Z28" s="63">
        <v>3.3931983805667869</v>
      </c>
      <c r="AA28" s="62">
        <v>4.7127755285649817E-2</v>
      </c>
      <c r="AB28" s="63">
        <v>12.544463562752984</v>
      </c>
      <c r="AC28" s="63">
        <v>0.17422866059379144</v>
      </c>
      <c r="AD28" s="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8"/>
      <c r="AX28"/>
    </row>
    <row r="29" spans="1:50" x14ac:dyDescent="0.35">
      <c r="A29" s="47" t="s">
        <v>182</v>
      </c>
      <c r="B29" t="s">
        <v>198</v>
      </c>
      <c r="C29" s="48">
        <v>1</v>
      </c>
      <c r="D29" s="48">
        <v>1</v>
      </c>
      <c r="E29" s="48">
        <v>52000</v>
      </c>
      <c r="F29" s="48">
        <v>10.4</v>
      </c>
      <c r="G29" s="48">
        <v>72</v>
      </c>
      <c r="H29" s="46">
        <v>72</v>
      </c>
      <c r="J29">
        <v>1</v>
      </c>
      <c r="K29" s="48">
        <v>30</v>
      </c>
      <c r="L29">
        <v>1</v>
      </c>
      <c r="M29">
        <v>1</v>
      </c>
      <c r="N29" s="42">
        <v>1</v>
      </c>
      <c r="O29">
        <v>312</v>
      </c>
      <c r="P29" s="20">
        <v>0.05</v>
      </c>
      <c r="Q29">
        <v>8</v>
      </c>
      <c r="R29" s="42"/>
      <c r="S29" s="41">
        <v>1.01214574898785E-4</v>
      </c>
      <c r="T29" s="20">
        <v>10.4</v>
      </c>
      <c r="U29">
        <v>15.166666666666666</v>
      </c>
      <c r="V29" s="62">
        <v>5.1182186234817602</v>
      </c>
      <c r="W29" s="62">
        <v>7.1086369770579999E-2</v>
      </c>
      <c r="X29" s="62">
        <v>4.0330465587044362</v>
      </c>
      <c r="Y29" s="62">
        <v>5.6014535537561611E-2</v>
      </c>
      <c r="Z29" s="63">
        <v>3.3931983805667869</v>
      </c>
      <c r="AA29" s="62">
        <v>4.7127755285649817E-2</v>
      </c>
      <c r="AB29" s="63">
        <v>12.544463562752984</v>
      </c>
      <c r="AC29" s="63">
        <v>0.17422866059379144</v>
      </c>
      <c r="AD29" s="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8"/>
      <c r="AX29"/>
    </row>
    <row r="30" spans="1:50" x14ac:dyDescent="0.35">
      <c r="A30" s="47" t="s">
        <v>182</v>
      </c>
      <c r="B30" t="s">
        <v>199</v>
      </c>
      <c r="C30" s="48">
        <v>1</v>
      </c>
      <c r="D30" s="48">
        <v>1</v>
      </c>
      <c r="E30" s="48">
        <v>52000</v>
      </c>
      <c r="F30" s="48">
        <v>10.4</v>
      </c>
      <c r="G30" s="48">
        <v>72</v>
      </c>
      <c r="H30" s="46">
        <v>72</v>
      </c>
      <c r="J30">
        <v>1</v>
      </c>
      <c r="K30" s="48">
        <v>30</v>
      </c>
      <c r="L30">
        <v>1</v>
      </c>
      <c r="M30">
        <v>1</v>
      </c>
      <c r="N30" s="42">
        <v>1</v>
      </c>
      <c r="O30">
        <v>312</v>
      </c>
      <c r="P30" s="20">
        <v>0.05</v>
      </c>
      <c r="Q30">
        <v>8</v>
      </c>
      <c r="R30" s="42"/>
      <c r="S30" s="41">
        <v>1.01214574898785E-4</v>
      </c>
      <c r="T30" s="20">
        <v>10.4</v>
      </c>
      <c r="U30">
        <v>15.166666666666666</v>
      </c>
      <c r="V30" s="62">
        <v>5.1182186234817602</v>
      </c>
      <c r="W30" s="62">
        <v>7.1086369770579999E-2</v>
      </c>
      <c r="X30" s="62">
        <v>4.0330465587044362</v>
      </c>
      <c r="Y30" s="62">
        <v>5.6014535537561611E-2</v>
      </c>
      <c r="Z30" s="63">
        <v>3.3931983805667869</v>
      </c>
      <c r="AA30" s="62">
        <v>4.7127755285649817E-2</v>
      </c>
      <c r="AB30" s="63">
        <v>12.544463562752984</v>
      </c>
      <c r="AC30" s="63">
        <v>0.17422866059379144</v>
      </c>
      <c r="AD30" s="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8"/>
      <c r="AX30"/>
    </row>
    <row r="31" spans="1:50" x14ac:dyDescent="0.35">
      <c r="A31" s="47" t="s">
        <v>182</v>
      </c>
      <c r="B31" t="s">
        <v>200</v>
      </c>
      <c r="C31" s="48">
        <v>1</v>
      </c>
      <c r="D31" s="48">
        <v>1</v>
      </c>
      <c r="E31" s="48">
        <v>52000</v>
      </c>
      <c r="F31" s="48">
        <v>10.4</v>
      </c>
      <c r="G31" s="48">
        <v>72</v>
      </c>
      <c r="H31" s="46">
        <v>72</v>
      </c>
      <c r="J31">
        <v>1</v>
      </c>
      <c r="K31" s="48">
        <v>30</v>
      </c>
      <c r="L31">
        <v>1</v>
      </c>
      <c r="M31">
        <v>1</v>
      </c>
      <c r="N31" s="42">
        <v>1</v>
      </c>
      <c r="O31">
        <v>312</v>
      </c>
      <c r="P31" s="20">
        <v>0.05</v>
      </c>
      <c r="Q31">
        <v>8</v>
      </c>
      <c r="R31" s="42"/>
      <c r="S31" s="41">
        <v>1.01214574898785E-4</v>
      </c>
      <c r="T31" s="20">
        <v>10.4</v>
      </c>
      <c r="U31">
        <v>15.166666666666666</v>
      </c>
      <c r="V31" s="62">
        <v>5.1182186234817602</v>
      </c>
      <c r="W31" s="62">
        <v>7.1086369770579999E-2</v>
      </c>
      <c r="X31" s="62">
        <v>4.0330465587044362</v>
      </c>
      <c r="Y31" s="62">
        <v>5.6014535537561611E-2</v>
      </c>
      <c r="Z31" s="63">
        <v>3.3931983805667869</v>
      </c>
      <c r="AA31" s="62">
        <v>4.7127755285649817E-2</v>
      </c>
      <c r="AB31" s="63">
        <v>12.544463562752984</v>
      </c>
      <c r="AC31" s="63">
        <v>0.17422866059379144</v>
      </c>
      <c r="AD31" s="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8"/>
      <c r="AX31"/>
    </row>
    <row r="32" spans="1:50" x14ac:dyDescent="0.35">
      <c r="A32" s="47" t="s">
        <v>182</v>
      </c>
      <c r="B32" t="s">
        <v>201</v>
      </c>
      <c r="C32" s="48">
        <v>1</v>
      </c>
      <c r="D32" s="48">
        <v>1</v>
      </c>
      <c r="E32" s="48">
        <v>37060.377358490565</v>
      </c>
      <c r="F32" s="48">
        <v>13.790000000000001</v>
      </c>
      <c r="G32" s="48">
        <v>40</v>
      </c>
      <c r="H32" s="46">
        <v>10600</v>
      </c>
      <c r="J32">
        <v>265</v>
      </c>
      <c r="K32" s="48">
        <v>42</v>
      </c>
      <c r="L32">
        <v>7</v>
      </c>
      <c r="M32">
        <v>23</v>
      </c>
      <c r="N32" s="42">
        <v>2</v>
      </c>
      <c r="O32">
        <v>580</v>
      </c>
      <c r="P32" s="20">
        <v>9.82</v>
      </c>
      <c r="Q32">
        <v>8</v>
      </c>
      <c r="R32" s="42"/>
      <c r="S32" s="41">
        <v>1.9878542510121399E-2</v>
      </c>
      <c r="T32" s="20">
        <v>3654.3500000000004</v>
      </c>
      <c r="U32">
        <v>15.166666666666666</v>
      </c>
      <c r="V32" s="62">
        <v>1005.2181376518189</v>
      </c>
      <c r="W32" s="62">
        <v>9.4831899778473477E-2</v>
      </c>
      <c r="X32" s="62">
        <v>792.09034412955236</v>
      </c>
      <c r="Y32" s="62">
        <v>7.4725504163165313E-2</v>
      </c>
      <c r="Z32" s="63">
        <v>666.42416194331781</v>
      </c>
      <c r="AA32" s="62">
        <v>6.2870203956916781E-2</v>
      </c>
      <c r="AB32" s="63">
        <v>2463.7326437246888</v>
      </c>
      <c r="AC32" s="63">
        <v>0.23242760789855557</v>
      </c>
      <c r="AD32" s="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8"/>
      <c r="AX32"/>
    </row>
    <row r="33" spans="1:50" x14ac:dyDescent="0.35">
      <c r="A33" s="47" t="s">
        <v>182</v>
      </c>
      <c r="B33" t="s">
        <v>202</v>
      </c>
      <c r="C33" s="48">
        <v>1</v>
      </c>
      <c r="D33" s="48">
        <v>1</v>
      </c>
      <c r="E33" s="48">
        <v>37000</v>
      </c>
      <c r="F33" s="48">
        <v>13.79</v>
      </c>
      <c r="G33" s="48">
        <v>40</v>
      </c>
      <c r="H33" s="46">
        <v>40</v>
      </c>
      <c r="J33">
        <v>1</v>
      </c>
      <c r="K33" s="48">
        <v>42</v>
      </c>
      <c r="L33">
        <v>1</v>
      </c>
      <c r="M33">
        <v>1</v>
      </c>
      <c r="N33" s="42">
        <v>1</v>
      </c>
      <c r="O33">
        <v>580</v>
      </c>
      <c r="P33" s="20">
        <v>0.04</v>
      </c>
      <c r="Q33">
        <v>8</v>
      </c>
      <c r="R33" s="42"/>
      <c r="S33" s="41">
        <v>8.0971659919028299E-5</v>
      </c>
      <c r="T33" s="20">
        <v>13.79</v>
      </c>
      <c r="U33">
        <v>15.166666666666666</v>
      </c>
      <c r="V33" s="62">
        <v>4.0945748987854227</v>
      </c>
      <c r="W33" s="62">
        <v>0.10236437246963556</v>
      </c>
      <c r="X33" s="62">
        <v>3.2264372469635609</v>
      </c>
      <c r="Y33" s="62">
        <v>8.0660931174089026E-2</v>
      </c>
      <c r="Z33" s="63">
        <v>2.7145587044534394</v>
      </c>
      <c r="AA33" s="62">
        <v>6.7863967611335979E-2</v>
      </c>
      <c r="AB33" s="63">
        <v>10.035570850202422</v>
      </c>
      <c r="AC33" s="63">
        <v>0.25088927125506055</v>
      </c>
      <c r="AD33" s="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8"/>
      <c r="AX33"/>
    </row>
    <row r="34" spans="1:50" x14ac:dyDescent="0.35">
      <c r="A34" s="47" t="s">
        <v>182</v>
      </c>
      <c r="B34" t="s">
        <v>203</v>
      </c>
      <c r="C34" s="48">
        <v>1</v>
      </c>
      <c r="D34" s="48">
        <v>1</v>
      </c>
      <c r="E34" s="48">
        <v>37000</v>
      </c>
      <c r="F34" s="48">
        <v>13.79</v>
      </c>
      <c r="G34" s="48">
        <v>40</v>
      </c>
      <c r="H34" s="46">
        <v>40</v>
      </c>
      <c r="J34">
        <v>1</v>
      </c>
      <c r="K34" s="48">
        <v>42</v>
      </c>
      <c r="L34">
        <v>1</v>
      </c>
      <c r="M34">
        <v>1</v>
      </c>
      <c r="N34" s="42">
        <v>1</v>
      </c>
      <c r="O34">
        <v>580</v>
      </c>
      <c r="P34" s="20">
        <v>0.04</v>
      </c>
      <c r="Q34">
        <v>8</v>
      </c>
      <c r="R34" s="42"/>
      <c r="S34" s="41">
        <v>8.0971659919028299E-5</v>
      </c>
      <c r="T34" s="20">
        <v>13.79</v>
      </c>
      <c r="U34">
        <v>15.166666666666666</v>
      </c>
      <c r="V34" s="62">
        <v>4.0945748987854227</v>
      </c>
      <c r="W34" s="62">
        <v>0.10236437246963556</v>
      </c>
      <c r="X34" s="62">
        <v>3.2264372469635609</v>
      </c>
      <c r="Y34" s="62">
        <v>8.0660931174089026E-2</v>
      </c>
      <c r="Z34" s="63">
        <v>2.7145587044534394</v>
      </c>
      <c r="AA34" s="62">
        <v>6.7863967611335979E-2</v>
      </c>
      <c r="AB34" s="63">
        <v>10.035570850202422</v>
      </c>
      <c r="AC34" s="63">
        <v>0.25088927125506055</v>
      </c>
      <c r="AD34" s="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8"/>
      <c r="AX34"/>
    </row>
    <row r="35" spans="1:50" x14ac:dyDescent="0.35">
      <c r="A35" s="47" t="s">
        <v>182</v>
      </c>
      <c r="B35" t="s">
        <v>204</v>
      </c>
      <c r="C35" s="48">
        <v>1</v>
      </c>
      <c r="D35" s="48">
        <v>1</v>
      </c>
      <c r="E35" s="48">
        <v>37060.702875399358</v>
      </c>
      <c r="F35" s="48">
        <v>13.790000000000001</v>
      </c>
      <c r="G35" s="48">
        <v>40</v>
      </c>
      <c r="H35" s="46">
        <v>12520</v>
      </c>
      <c r="J35">
        <v>313</v>
      </c>
      <c r="K35" s="48">
        <v>42</v>
      </c>
      <c r="L35">
        <v>8</v>
      </c>
      <c r="M35">
        <v>27</v>
      </c>
      <c r="N35" s="42">
        <v>2</v>
      </c>
      <c r="O35">
        <v>580</v>
      </c>
      <c r="P35" s="20">
        <v>11.6</v>
      </c>
      <c r="Q35">
        <v>8</v>
      </c>
      <c r="R35" s="42"/>
      <c r="S35" s="41">
        <v>2.3481781376518199E-2</v>
      </c>
      <c r="T35" s="20">
        <v>4316.2700000000004</v>
      </c>
      <c r="U35">
        <v>15.166666666666666</v>
      </c>
      <c r="V35" s="62">
        <v>1187.4267206477723</v>
      </c>
      <c r="W35" s="62">
        <v>9.4842389828096826E-2</v>
      </c>
      <c r="X35" s="62">
        <v>935.66680161943236</v>
      </c>
      <c r="Y35" s="62">
        <v>7.4733770097398747E-2</v>
      </c>
      <c r="Z35" s="63">
        <v>787.22202429149718</v>
      </c>
      <c r="AA35" s="62">
        <v>6.2877158489736198E-2</v>
      </c>
      <c r="AB35" s="63">
        <v>2910.3155465587015</v>
      </c>
      <c r="AC35" s="63">
        <v>0.23245331841523176</v>
      </c>
      <c r="AD35" s="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8"/>
      <c r="AX35"/>
    </row>
    <row r="36" spans="1:50" x14ac:dyDescent="0.35">
      <c r="A36" s="47" t="s">
        <v>182</v>
      </c>
      <c r="B36" t="s">
        <v>205</v>
      </c>
      <c r="C36" s="48">
        <v>1</v>
      </c>
      <c r="D36" s="48">
        <v>1</v>
      </c>
      <c r="E36" s="48">
        <v>37000</v>
      </c>
      <c r="F36" s="48">
        <v>13.79</v>
      </c>
      <c r="G36" s="48">
        <v>40</v>
      </c>
      <c r="H36" s="46">
        <v>40</v>
      </c>
      <c r="J36">
        <v>1</v>
      </c>
      <c r="K36" s="48">
        <v>42</v>
      </c>
      <c r="L36">
        <v>1</v>
      </c>
      <c r="M36">
        <v>1</v>
      </c>
      <c r="N36" s="42">
        <v>1</v>
      </c>
      <c r="O36">
        <v>580</v>
      </c>
      <c r="P36" s="20">
        <v>0.04</v>
      </c>
      <c r="Q36">
        <v>8</v>
      </c>
      <c r="R36" s="42"/>
      <c r="S36" s="41">
        <v>8.0971659919028299E-5</v>
      </c>
      <c r="T36" s="20">
        <v>13.79</v>
      </c>
      <c r="U36">
        <v>15.166666666666666</v>
      </c>
      <c r="V36" s="62">
        <v>4.0945748987854227</v>
      </c>
      <c r="W36" s="62">
        <v>0.10236437246963556</v>
      </c>
      <c r="X36" s="62">
        <v>3.2264372469635609</v>
      </c>
      <c r="Y36" s="62">
        <v>8.0660931174089026E-2</v>
      </c>
      <c r="Z36" s="63">
        <v>2.7145587044534394</v>
      </c>
      <c r="AA36" s="62">
        <v>6.7863967611335979E-2</v>
      </c>
      <c r="AB36" s="63">
        <v>10.035570850202422</v>
      </c>
      <c r="AC36" s="63">
        <v>0.25088927125506055</v>
      </c>
      <c r="AD36" s="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8"/>
      <c r="AX36"/>
    </row>
    <row r="37" spans="1:50" x14ac:dyDescent="0.35">
      <c r="A37" s="47" t="s">
        <v>182</v>
      </c>
      <c r="B37" t="s">
        <v>206</v>
      </c>
      <c r="C37" s="48">
        <v>1</v>
      </c>
      <c r="D37" s="48">
        <v>1</v>
      </c>
      <c r="E37" s="48">
        <v>37058.171745152358</v>
      </c>
      <c r="F37" s="48">
        <v>13.790000000000001</v>
      </c>
      <c r="G37" s="48">
        <v>40</v>
      </c>
      <c r="H37" s="46">
        <v>14440</v>
      </c>
      <c r="J37">
        <v>361</v>
      </c>
      <c r="K37" s="48">
        <v>42</v>
      </c>
      <c r="L37">
        <v>9</v>
      </c>
      <c r="M37">
        <v>31</v>
      </c>
      <c r="N37" s="42">
        <v>3</v>
      </c>
      <c r="O37">
        <v>580</v>
      </c>
      <c r="P37" s="20">
        <v>13.38</v>
      </c>
      <c r="Q37">
        <v>8</v>
      </c>
      <c r="R37" s="42"/>
      <c r="S37" s="41">
        <v>2.7085020242914998E-2</v>
      </c>
      <c r="T37" s="20">
        <v>4978.1900000000005</v>
      </c>
      <c r="U37">
        <v>15.166666666666666</v>
      </c>
      <c r="V37" s="62">
        <v>1369.6353036437256</v>
      </c>
      <c r="W37" s="62">
        <v>9.4850090280036395E-2</v>
      </c>
      <c r="X37" s="62">
        <v>1079.2432591093125</v>
      </c>
      <c r="Y37" s="62">
        <v>7.4739837888456548E-2</v>
      </c>
      <c r="Z37" s="63">
        <v>908.01988663967666</v>
      </c>
      <c r="AA37" s="62">
        <v>6.2882263617706144E-2</v>
      </c>
      <c r="AB37" s="63">
        <v>3356.8984493927146</v>
      </c>
      <c r="AC37" s="63">
        <v>0.2324721917861991</v>
      </c>
      <c r="AD37" s="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8"/>
      <c r="AX37"/>
    </row>
    <row r="38" spans="1:50" x14ac:dyDescent="0.35">
      <c r="A38" s="47" t="s">
        <v>182</v>
      </c>
      <c r="B38" t="s">
        <v>207</v>
      </c>
      <c r="C38" s="48">
        <v>1</v>
      </c>
      <c r="D38" s="48">
        <v>1</v>
      </c>
      <c r="E38" s="48">
        <v>30181.818181818177</v>
      </c>
      <c r="F38" s="48">
        <v>14.950000000000001</v>
      </c>
      <c r="G38" s="48">
        <v>24</v>
      </c>
      <c r="H38" s="46">
        <v>12144</v>
      </c>
      <c r="J38">
        <v>506</v>
      </c>
      <c r="K38" s="48">
        <v>52</v>
      </c>
      <c r="L38">
        <v>10</v>
      </c>
      <c r="M38">
        <v>43</v>
      </c>
      <c r="N38" s="42">
        <v>3</v>
      </c>
      <c r="O38">
        <v>778</v>
      </c>
      <c r="P38" s="20">
        <v>15.27</v>
      </c>
      <c r="Q38">
        <v>8</v>
      </c>
      <c r="R38" s="42"/>
      <c r="S38" s="41">
        <v>3.09109311740891E-2</v>
      </c>
      <c r="T38" s="20">
        <v>7564.7000000000007</v>
      </c>
      <c r="U38">
        <v>15.166666666666666</v>
      </c>
      <c r="V38" s="62">
        <v>1563.1039676113376</v>
      </c>
      <c r="W38" s="62">
        <v>0.1287140948296556</v>
      </c>
      <c r="X38" s="62">
        <v>1231.6924190283414</v>
      </c>
      <c r="Y38" s="62">
        <v>0.10142394754844708</v>
      </c>
      <c r="Z38" s="63">
        <v>1036.282785425102</v>
      </c>
      <c r="AA38" s="62">
        <v>8.5332903938167157E-2</v>
      </c>
      <c r="AB38" s="63">
        <v>3831.0791720647812</v>
      </c>
      <c r="AC38" s="63">
        <v>0.31547094631626982</v>
      </c>
      <c r="AD38" s="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8"/>
      <c r="AX38"/>
    </row>
    <row r="39" spans="1:50" x14ac:dyDescent="0.35">
      <c r="A39" s="47" t="s">
        <v>182</v>
      </c>
      <c r="B39" t="s">
        <v>208</v>
      </c>
      <c r="C39" s="48">
        <v>1</v>
      </c>
      <c r="D39" s="48">
        <v>1</v>
      </c>
      <c r="E39" s="48">
        <v>30183.937823834196</v>
      </c>
      <c r="F39" s="48">
        <v>14.950000000000001</v>
      </c>
      <c r="G39" s="48">
        <v>24</v>
      </c>
      <c r="H39" s="46">
        <v>9264</v>
      </c>
      <c r="J39">
        <v>386</v>
      </c>
      <c r="K39" s="48">
        <v>52</v>
      </c>
      <c r="L39">
        <v>8</v>
      </c>
      <c r="M39">
        <v>33</v>
      </c>
      <c r="N39" s="42">
        <v>2</v>
      </c>
      <c r="O39">
        <v>778</v>
      </c>
      <c r="P39" s="20">
        <v>11.65</v>
      </c>
      <c r="Q39">
        <v>8</v>
      </c>
      <c r="R39" s="42"/>
      <c r="S39" s="41">
        <v>2.3582995951417E-2</v>
      </c>
      <c r="T39" s="20">
        <v>5770.7000000000007</v>
      </c>
      <c r="U39">
        <v>15.166666666666666</v>
      </c>
      <c r="V39" s="62">
        <v>1192.5449392712549</v>
      </c>
      <c r="W39" s="62">
        <v>0.12872894422185394</v>
      </c>
      <c r="X39" s="62">
        <v>939.69984817813747</v>
      </c>
      <c r="Y39" s="62">
        <v>0.10143564855118065</v>
      </c>
      <c r="Z39" s="63">
        <v>790.61522267206453</v>
      </c>
      <c r="AA39" s="62">
        <v>8.534274856131957E-2</v>
      </c>
      <c r="AB39" s="63">
        <v>2922.860010121457</v>
      </c>
      <c r="AC39" s="63">
        <v>0.31550734133435415</v>
      </c>
      <c r="AD39" s="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8"/>
      <c r="AX39"/>
    </row>
    <row r="40" spans="1:50" x14ac:dyDescent="0.35">
      <c r="A40" s="47" t="s">
        <v>182</v>
      </c>
      <c r="B40" t="s">
        <v>209</v>
      </c>
      <c r="C40" s="48">
        <v>1</v>
      </c>
      <c r="D40" s="48">
        <v>1</v>
      </c>
      <c r="E40" s="48">
        <v>30000</v>
      </c>
      <c r="F40" s="48">
        <v>14.95</v>
      </c>
      <c r="G40" s="48">
        <v>24</v>
      </c>
      <c r="H40" s="46">
        <v>48</v>
      </c>
      <c r="J40">
        <v>2</v>
      </c>
      <c r="K40" s="48">
        <v>52</v>
      </c>
      <c r="L40">
        <v>1</v>
      </c>
      <c r="M40">
        <v>1</v>
      </c>
      <c r="N40" s="42">
        <v>1</v>
      </c>
      <c r="O40">
        <v>778</v>
      </c>
      <c r="P40" s="20">
        <v>0.06</v>
      </c>
      <c r="Q40">
        <v>8</v>
      </c>
      <c r="R40" s="42"/>
      <c r="S40" s="41">
        <v>1.21457489878542E-4</v>
      </c>
      <c r="T40" s="20">
        <v>29.9</v>
      </c>
      <c r="U40">
        <v>15.166666666666666</v>
      </c>
      <c r="V40" s="62">
        <v>6.1418623481781118</v>
      </c>
      <c r="W40" s="62">
        <v>0.12795546558704399</v>
      </c>
      <c r="X40" s="62">
        <v>4.8396558704453234</v>
      </c>
      <c r="Y40" s="62">
        <v>0.1008261639676109</v>
      </c>
      <c r="Z40" s="63">
        <v>4.0718380566801446</v>
      </c>
      <c r="AA40" s="62">
        <v>8.4829959514169676E-2</v>
      </c>
      <c r="AB40" s="63">
        <v>15.05335627530358</v>
      </c>
      <c r="AC40" s="63">
        <v>0.31361158906882458</v>
      </c>
      <c r="AD40" s="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8"/>
      <c r="AX40"/>
    </row>
    <row r="41" spans="1:50" x14ac:dyDescent="0.35">
      <c r="A41" s="47" t="s">
        <v>182</v>
      </c>
      <c r="B41" t="s">
        <v>210</v>
      </c>
      <c r="C41" s="48">
        <v>1</v>
      </c>
      <c r="D41" s="48">
        <v>1</v>
      </c>
      <c r="E41" s="48">
        <v>30183.706070287539</v>
      </c>
      <c r="F41" s="48">
        <v>14.950000000000001</v>
      </c>
      <c r="G41" s="48">
        <v>24</v>
      </c>
      <c r="H41" s="46">
        <v>15024</v>
      </c>
      <c r="J41">
        <v>626</v>
      </c>
      <c r="K41" s="48">
        <v>52</v>
      </c>
      <c r="L41">
        <v>13</v>
      </c>
      <c r="M41">
        <v>53</v>
      </c>
      <c r="N41" s="42">
        <v>4</v>
      </c>
      <c r="O41">
        <v>778</v>
      </c>
      <c r="P41" s="20">
        <v>18.899999999999999</v>
      </c>
      <c r="Q41">
        <v>8</v>
      </c>
      <c r="R41" s="42"/>
      <c r="S41" s="41">
        <v>3.8259109311740903E-2</v>
      </c>
      <c r="T41" s="20">
        <v>9358.7000000000007</v>
      </c>
      <c r="U41">
        <v>15.166666666666666</v>
      </c>
      <c r="V41" s="62">
        <v>1934.6866396761141</v>
      </c>
      <c r="W41" s="62">
        <v>0.12877307239590749</v>
      </c>
      <c r="X41" s="62">
        <v>1524.491599190284</v>
      </c>
      <c r="Y41" s="62">
        <v>0.10147042060638205</v>
      </c>
      <c r="Z41" s="63">
        <v>1282.6289878542514</v>
      </c>
      <c r="AA41" s="62">
        <v>8.5372003983909164E-2</v>
      </c>
      <c r="AB41" s="63">
        <v>4741.8072267206499</v>
      </c>
      <c r="AC41" s="63">
        <v>0.31561549698619873</v>
      </c>
      <c r="AD41" s="8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8"/>
      <c r="AX41"/>
    </row>
    <row r="42" spans="1:50" x14ac:dyDescent="0.35">
      <c r="A42" s="47" t="s">
        <v>182</v>
      </c>
      <c r="B42" t="s">
        <v>211</v>
      </c>
      <c r="C42" s="48">
        <v>1</v>
      </c>
      <c r="D42" s="48">
        <v>1</v>
      </c>
      <c r="E42" s="48">
        <v>30000</v>
      </c>
      <c r="F42" s="48">
        <v>14.95</v>
      </c>
      <c r="G42" s="48">
        <v>24</v>
      </c>
      <c r="H42" s="46">
        <v>48</v>
      </c>
      <c r="J42">
        <v>2</v>
      </c>
      <c r="K42" s="48">
        <v>52</v>
      </c>
      <c r="L42">
        <v>1</v>
      </c>
      <c r="M42">
        <v>1</v>
      </c>
      <c r="N42" s="42">
        <v>1</v>
      </c>
      <c r="O42">
        <v>778</v>
      </c>
      <c r="P42" s="20">
        <v>0.06</v>
      </c>
      <c r="Q42">
        <v>8</v>
      </c>
      <c r="R42" s="42"/>
      <c r="S42" s="41">
        <v>1.21457489878542E-4</v>
      </c>
      <c r="T42" s="20">
        <v>29.9</v>
      </c>
      <c r="U42">
        <v>15.166666666666666</v>
      </c>
      <c r="V42" s="62">
        <v>6.1418623481781118</v>
      </c>
      <c r="W42" s="62">
        <v>0.12795546558704399</v>
      </c>
      <c r="X42" s="62">
        <v>4.8396558704453234</v>
      </c>
      <c r="Y42" s="62">
        <v>0.1008261639676109</v>
      </c>
      <c r="Z42" s="63">
        <v>4.0718380566801446</v>
      </c>
      <c r="AA42" s="62">
        <v>8.4829959514169676E-2</v>
      </c>
      <c r="AB42" s="63">
        <v>15.05335627530358</v>
      </c>
      <c r="AC42" s="63">
        <v>0.31361158906882458</v>
      </c>
      <c r="AD42" s="8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8"/>
      <c r="AX42"/>
    </row>
    <row r="43" spans="1:50" x14ac:dyDescent="0.35">
      <c r="A43" s="47" t="s">
        <v>182</v>
      </c>
      <c r="B43" t="s">
        <v>212</v>
      </c>
      <c r="C43" s="48">
        <v>1</v>
      </c>
      <c r="D43" s="48">
        <v>1</v>
      </c>
      <c r="E43" s="48">
        <v>30183.794466403164</v>
      </c>
      <c r="F43" s="48">
        <v>14.950000000000001</v>
      </c>
      <c r="G43" s="48">
        <v>24</v>
      </c>
      <c r="H43" s="46">
        <v>12144</v>
      </c>
      <c r="J43">
        <v>506</v>
      </c>
      <c r="K43" s="48">
        <v>52</v>
      </c>
      <c r="L43">
        <v>10</v>
      </c>
      <c r="M43">
        <v>43</v>
      </c>
      <c r="N43" s="42">
        <v>3</v>
      </c>
      <c r="O43">
        <v>778</v>
      </c>
      <c r="P43" s="20">
        <v>15.27</v>
      </c>
      <c r="Q43">
        <v>8</v>
      </c>
      <c r="R43" s="42"/>
      <c r="S43" s="41">
        <v>3.09109311740891E-2</v>
      </c>
      <c r="T43" s="20">
        <v>7564.7000000000007</v>
      </c>
      <c r="U43">
        <v>15.166666666666666</v>
      </c>
      <c r="V43" s="62">
        <v>1563.1039676113376</v>
      </c>
      <c r="W43" s="62">
        <v>0.1287140948296556</v>
      </c>
      <c r="X43" s="62">
        <v>1231.6924190283414</v>
      </c>
      <c r="Y43" s="62">
        <v>0.10142394754844708</v>
      </c>
      <c r="Z43" s="63">
        <v>1036.282785425102</v>
      </c>
      <c r="AA43" s="62">
        <v>8.5332903938167157E-2</v>
      </c>
      <c r="AB43" s="63">
        <v>3831.0791720647812</v>
      </c>
      <c r="AC43" s="63">
        <v>0.31547094631626982</v>
      </c>
      <c r="AD43" s="8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8"/>
      <c r="AX43"/>
    </row>
    <row r="44" spans="1:50" x14ac:dyDescent="0.35">
      <c r="A44" s="47" t="s">
        <v>182</v>
      </c>
      <c r="B44" t="s">
        <v>213</v>
      </c>
      <c r="C44" s="48">
        <v>1</v>
      </c>
      <c r="D44" s="48">
        <v>1</v>
      </c>
      <c r="E44" s="48">
        <v>51000</v>
      </c>
      <c r="F44" s="48">
        <v>4.63</v>
      </c>
      <c r="G44" s="48">
        <v>84</v>
      </c>
      <c r="H44" s="46">
        <v>84</v>
      </c>
      <c r="J44">
        <v>1</v>
      </c>
      <c r="K44" s="48">
        <v>31</v>
      </c>
      <c r="L44">
        <v>1</v>
      </c>
      <c r="M44">
        <v>1</v>
      </c>
      <c r="N44" s="42">
        <v>1</v>
      </c>
      <c r="O44">
        <v>144</v>
      </c>
      <c r="P44" s="20">
        <v>0.05</v>
      </c>
      <c r="Q44">
        <v>8</v>
      </c>
      <c r="R44" s="42"/>
      <c r="S44" s="41">
        <v>1.01214574898785E-4</v>
      </c>
      <c r="T44" s="20">
        <v>4.63</v>
      </c>
      <c r="U44">
        <v>15.166666666666666</v>
      </c>
      <c r="V44" s="62">
        <v>5.1182186234817602</v>
      </c>
      <c r="W44" s="62">
        <v>6.0931174089068577E-2</v>
      </c>
      <c r="X44" s="62">
        <v>4.0330465587044362</v>
      </c>
      <c r="Y44" s="62">
        <v>4.801245903219567E-2</v>
      </c>
      <c r="Z44" s="63">
        <v>3.3931983805667869</v>
      </c>
      <c r="AA44" s="62">
        <v>4.0395218816271269E-2</v>
      </c>
      <c r="AB44" s="63">
        <v>12.544463562752984</v>
      </c>
      <c r="AC44" s="63">
        <v>0.14933885193753552</v>
      </c>
      <c r="AD44" s="8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8"/>
      <c r="AX44"/>
    </row>
    <row r="45" spans="1:50" x14ac:dyDescent="0.35">
      <c r="A45" s="47" t="s">
        <v>182</v>
      </c>
      <c r="B45" t="s">
        <v>214</v>
      </c>
      <c r="C45" s="48">
        <v>1</v>
      </c>
      <c r="D45" s="48">
        <v>1</v>
      </c>
      <c r="E45" s="48">
        <v>51000</v>
      </c>
      <c r="F45" s="48">
        <v>4.63</v>
      </c>
      <c r="G45" s="48">
        <v>84</v>
      </c>
      <c r="H45" s="46">
        <v>84</v>
      </c>
      <c r="J45">
        <v>1</v>
      </c>
      <c r="K45" s="48">
        <v>31</v>
      </c>
      <c r="L45">
        <v>1</v>
      </c>
      <c r="M45">
        <v>1</v>
      </c>
      <c r="N45" s="42">
        <v>1</v>
      </c>
      <c r="O45">
        <v>144</v>
      </c>
      <c r="P45" s="20">
        <v>0.05</v>
      </c>
      <c r="Q45">
        <v>8</v>
      </c>
      <c r="R45" s="42"/>
      <c r="S45" s="41">
        <v>1.01214574898785E-4</v>
      </c>
      <c r="T45" s="20">
        <v>4.63</v>
      </c>
      <c r="U45">
        <v>15.166666666666666</v>
      </c>
      <c r="V45" s="62">
        <v>5.1182186234817602</v>
      </c>
      <c r="W45" s="62">
        <v>6.0931174089068577E-2</v>
      </c>
      <c r="X45" s="62">
        <v>4.0330465587044362</v>
      </c>
      <c r="Y45" s="62">
        <v>4.801245903219567E-2</v>
      </c>
      <c r="Z45" s="63">
        <v>3.3931983805667869</v>
      </c>
      <c r="AA45" s="62">
        <v>4.0395218816271269E-2</v>
      </c>
      <c r="AB45" s="63">
        <v>12.544463562752984</v>
      </c>
      <c r="AC45" s="63">
        <v>0.14933885193753552</v>
      </c>
      <c r="AD45" s="8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8"/>
      <c r="AX45"/>
    </row>
    <row r="46" spans="1:50" x14ac:dyDescent="0.35">
      <c r="A46" s="47" t="s">
        <v>182</v>
      </c>
      <c r="B46" t="s">
        <v>215</v>
      </c>
      <c r="C46" s="48">
        <v>1</v>
      </c>
      <c r="D46" s="48">
        <v>1</v>
      </c>
      <c r="E46" s="48">
        <v>51000</v>
      </c>
      <c r="F46" s="48">
        <v>4.63</v>
      </c>
      <c r="G46" s="48">
        <v>84</v>
      </c>
      <c r="H46" s="46">
        <v>84</v>
      </c>
      <c r="J46">
        <v>1</v>
      </c>
      <c r="K46" s="48">
        <v>31</v>
      </c>
      <c r="L46">
        <v>1</v>
      </c>
      <c r="M46">
        <v>1</v>
      </c>
      <c r="N46" s="42">
        <v>1</v>
      </c>
      <c r="O46">
        <v>144</v>
      </c>
      <c r="P46" s="20">
        <v>0.05</v>
      </c>
      <c r="Q46">
        <v>8</v>
      </c>
      <c r="R46" s="42"/>
      <c r="S46" s="41">
        <v>1.01214574898785E-4</v>
      </c>
      <c r="T46" s="20">
        <v>4.63</v>
      </c>
      <c r="U46">
        <v>15.166666666666666</v>
      </c>
      <c r="V46" s="62">
        <v>5.1182186234817602</v>
      </c>
      <c r="W46" s="62">
        <v>6.0931174089068577E-2</v>
      </c>
      <c r="X46" s="62">
        <v>4.0330465587044362</v>
      </c>
      <c r="Y46" s="62">
        <v>4.801245903219567E-2</v>
      </c>
      <c r="Z46" s="63">
        <v>3.3931983805667869</v>
      </c>
      <c r="AA46" s="62">
        <v>4.0395218816271269E-2</v>
      </c>
      <c r="AB46" s="63">
        <v>12.544463562752984</v>
      </c>
      <c r="AC46" s="63">
        <v>0.14933885193753552</v>
      </c>
      <c r="AD46" s="8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8"/>
      <c r="AX46"/>
    </row>
    <row r="47" spans="1:50" x14ac:dyDescent="0.35">
      <c r="A47" s="47" t="s">
        <v>182</v>
      </c>
      <c r="B47" t="s">
        <v>216</v>
      </c>
      <c r="C47" s="48">
        <v>1</v>
      </c>
      <c r="D47" s="48">
        <v>1</v>
      </c>
      <c r="E47" s="48">
        <v>51000</v>
      </c>
      <c r="F47" s="48">
        <v>4.63</v>
      </c>
      <c r="G47" s="48">
        <v>84</v>
      </c>
      <c r="H47" s="46">
        <v>84</v>
      </c>
      <c r="J47">
        <v>1</v>
      </c>
      <c r="K47" s="48">
        <v>31</v>
      </c>
      <c r="L47">
        <v>1</v>
      </c>
      <c r="M47">
        <v>1</v>
      </c>
      <c r="N47" s="42">
        <v>1</v>
      </c>
      <c r="O47">
        <v>144</v>
      </c>
      <c r="P47" s="20">
        <v>0.05</v>
      </c>
      <c r="Q47">
        <v>8</v>
      </c>
      <c r="R47" s="42"/>
      <c r="S47" s="41">
        <v>1.01214574898785E-4</v>
      </c>
      <c r="T47" s="20">
        <v>4.63</v>
      </c>
      <c r="U47">
        <v>15.166666666666666</v>
      </c>
      <c r="V47" s="62">
        <v>5.1182186234817602</v>
      </c>
      <c r="W47" s="62">
        <v>6.0931174089068577E-2</v>
      </c>
      <c r="X47" s="62">
        <v>4.0330465587044362</v>
      </c>
      <c r="Y47" s="62">
        <v>4.801245903219567E-2</v>
      </c>
      <c r="Z47" s="63">
        <v>3.3931983805667869</v>
      </c>
      <c r="AA47" s="62">
        <v>4.0395218816271269E-2</v>
      </c>
      <c r="AB47" s="63">
        <v>12.544463562752984</v>
      </c>
      <c r="AC47" s="63">
        <v>0.14933885193753552</v>
      </c>
      <c r="AD47" s="8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8"/>
      <c r="AX47"/>
    </row>
    <row r="48" spans="1:50" x14ac:dyDescent="0.35">
      <c r="A48" s="47" t="s">
        <v>182</v>
      </c>
      <c r="B48" t="s">
        <v>217</v>
      </c>
      <c r="C48" s="48">
        <v>1</v>
      </c>
      <c r="D48" s="48">
        <v>1</v>
      </c>
      <c r="E48" s="48">
        <v>51000</v>
      </c>
      <c r="F48" s="48">
        <v>4.63</v>
      </c>
      <c r="G48" s="48">
        <v>84</v>
      </c>
      <c r="H48" s="46">
        <v>84</v>
      </c>
      <c r="J48">
        <v>1</v>
      </c>
      <c r="K48" s="48">
        <v>31</v>
      </c>
      <c r="L48">
        <v>1</v>
      </c>
      <c r="M48">
        <v>1</v>
      </c>
      <c r="N48" s="42">
        <v>1</v>
      </c>
      <c r="O48">
        <v>144</v>
      </c>
      <c r="P48" s="20">
        <v>0.05</v>
      </c>
      <c r="Q48">
        <v>8</v>
      </c>
      <c r="R48" s="42"/>
      <c r="S48" s="41">
        <v>1.01214574898785E-4</v>
      </c>
      <c r="T48" s="20">
        <v>4.63</v>
      </c>
      <c r="U48">
        <v>15.166666666666666</v>
      </c>
      <c r="V48" s="62">
        <v>5.1182186234817602</v>
      </c>
      <c r="W48" s="62">
        <v>6.0931174089068577E-2</v>
      </c>
      <c r="X48" s="62">
        <v>4.0330465587044362</v>
      </c>
      <c r="Y48" s="62">
        <v>4.801245903219567E-2</v>
      </c>
      <c r="Z48" s="63">
        <v>3.3931983805667869</v>
      </c>
      <c r="AA48" s="62">
        <v>4.0395218816271269E-2</v>
      </c>
      <c r="AB48" s="63">
        <v>12.544463562752984</v>
      </c>
      <c r="AC48" s="63">
        <v>0.14933885193753552</v>
      </c>
      <c r="AD48" s="8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8"/>
      <c r="AX48"/>
    </row>
    <row r="49" spans="1:50" x14ac:dyDescent="0.35">
      <c r="A49" s="47" t="s">
        <v>182</v>
      </c>
      <c r="B49" t="s">
        <v>218</v>
      </c>
      <c r="C49" s="48">
        <v>1</v>
      </c>
      <c r="D49" s="48">
        <v>1</v>
      </c>
      <c r="E49" s="48">
        <v>51000</v>
      </c>
      <c r="F49" s="48">
        <v>4.63</v>
      </c>
      <c r="G49" s="48">
        <v>84</v>
      </c>
      <c r="H49" s="46">
        <v>84</v>
      </c>
      <c r="J49">
        <v>1</v>
      </c>
      <c r="K49" s="48">
        <v>31</v>
      </c>
      <c r="L49">
        <v>1</v>
      </c>
      <c r="M49">
        <v>1</v>
      </c>
      <c r="N49" s="42">
        <v>1</v>
      </c>
      <c r="O49">
        <v>144</v>
      </c>
      <c r="P49" s="20">
        <v>0.05</v>
      </c>
      <c r="Q49">
        <v>8</v>
      </c>
      <c r="R49" s="42"/>
      <c r="S49" s="41">
        <v>1.01214574898785E-4</v>
      </c>
      <c r="T49" s="20">
        <v>4.63</v>
      </c>
      <c r="U49">
        <v>15.166666666666666</v>
      </c>
      <c r="V49" s="62">
        <v>5.1182186234817602</v>
      </c>
      <c r="W49" s="62">
        <v>6.0931174089068577E-2</v>
      </c>
      <c r="X49" s="62">
        <v>4.0330465587044362</v>
      </c>
      <c r="Y49" s="62">
        <v>4.801245903219567E-2</v>
      </c>
      <c r="Z49" s="63">
        <v>3.3931983805667869</v>
      </c>
      <c r="AA49" s="62">
        <v>4.0395218816271269E-2</v>
      </c>
      <c r="AB49" s="63">
        <v>12.544463562752984</v>
      </c>
      <c r="AC49" s="63">
        <v>0.14933885193753552</v>
      </c>
      <c r="AD49" s="8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8"/>
      <c r="AX49"/>
    </row>
    <row r="50" spans="1:50" x14ac:dyDescent="0.35">
      <c r="C50" s="49"/>
      <c r="D50" s="49"/>
      <c r="E50" s="49"/>
      <c r="F50" s="49"/>
      <c r="G50" s="49"/>
      <c r="H50" s="50"/>
      <c r="J50">
        <f>SUM(J2:J49)</f>
        <v>13500</v>
      </c>
      <c r="K50" s="49"/>
      <c r="L50">
        <f>SUM(L2:L49)</f>
        <v>353</v>
      </c>
      <c r="M50">
        <f>SUM(M2:M49)</f>
        <v>1167</v>
      </c>
      <c r="P50" s="20">
        <f>SUM(P2:P49)</f>
        <v>494.00000000000017</v>
      </c>
      <c r="Q50" s="4">
        <f>SUM(Q2:Q49)</f>
        <v>384</v>
      </c>
      <c r="R50" s="39">
        <f>SUM(R2:R49)</f>
        <v>0</v>
      </c>
      <c r="S50" s="45"/>
      <c r="T50" s="20">
        <f>SUM(T2:T49)</f>
        <v>193739.25999999995</v>
      </c>
      <c r="U50"/>
      <c r="V50" s="62">
        <f>SUM(V2:V49)</f>
        <v>50567.999999999949</v>
      </c>
      <c r="X50" s="62">
        <f>SUM(X2:X49)</f>
        <v>39846.499999999964</v>
      </c>
      <c r="Z50" s="62">
        <f>SUM(Z2:Z49)</f>
        <v>33524.799999999974</v>
      </c>
      <c r="AB50" s="62">
        <f>SUM(AB2:AB49)</f>
        <v>123939.29999999987</v>
      </c>
      <c r="AD50" s="44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8"/>
      <c r="AX50"/>
    </row>
    <row r="51" spans="1:50" x14ac:dyDescent="0.35">
      <c r="C51" s="49"/>
      <c r="D51" s="49"/>
      <c r="E51" s="49"/>
      <c r="F51" s="49"/>
      <c r="G51" s="49"/>
      <c r="H51" s="46"/>
      <c r="K51" s="49"/>
      <c r="S51" s="20"/>
      <c r="U51" s="53"/>
      <c r="AE51" s="20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50" x14ac:dyDescent="0.35">
      <c r="C52" s="49"/>
      <c r="D52" s="49"/>
      <c r="E52" s="49"/>
      <c r="F52" s="49"/>
      <c r="G52" s="49"/>
      <c r="H52" s="46"/>
      <c r="K52" s="49"/>
      <c r="S52" s="20"/>
      <c r="U52" s="53"/>
      <c r="AE52" s="20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50" x14ac:dyDescent="0.35">
      <c r="C53" s="49"/>
      <c r="D53" s="49"/>
      <c r="E53" s="49"/>
      <c r="F53" s="49"/>
      <c r="G53" s="49"/>
      <c r="H53" s="46"/>
      <c r="K53" s="49"/>
      <c r="S53" s="20"/>
      <c r="U53" s="53"/>
      <c r="AE53" s="20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50" x14ac:dyDescent="0.35">
      <c r="C54" s="49"/>
      <c r="D54" s="49"/>
      <c r="E54" s="49"/>
      <c r="F54" s="49"/>
      <c r="G54" s="49"/>
      <c r="H54" s="46"/>
      <c r="K54" s="49"/>
      <c r="S54" s="20"/>
      <c r="U54" s="53"/>
      <c r="AE54" s="20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50" x14ac:dyDescent="0.35">
      <c r="C55" s="49"/>
      <c r="D55" s="49"/>
      <c r="E55" s="49"/>
      <c r="F55" s="49"/>
      <c r="G55" s="49"/>
      <c r="H55" s="46"/>
      <c r="K55" s="49"/>
      <c r="S55" s="20"/>
      <c r="U55" s="53"/>
      <c r="AE55" s="20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50" x14ac:dyDescent="0.35">
      <c r="C56" s="49"/>
      <c r="D56" s="49"/>
      <c r="E56" s="49"/>
      <c r="F56" s="49"/>
      <c r="G56" s="49"/>
      <c r="H56" s="46"/>
      <c r="K56" s="49"/>
      <c r="S56" s="20"/>
      <c r="U56" s="53"/>
      <c r="AE56" s="20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50" x14ac:dyDescent="0.35">
      <c r="C57" s="49"/>
      <c r="D57" s="49"/>
      <c r="E57" s="49"/>
      <c r="F57" s="49"/>
      <c r="G57" s="49"/>
      <c r="H57" s="46"/>
      <c r="K57" s="49"/>
      <c r="S57" s="20"/>
      <c r="U57" s="53"/>
      <c r="AE57" s="20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50" x14ac:dyDescent="0.35">
      <c r="C58" s="49"/>
      <c r="D58" s="49"/>
      <c r="E58" s="49"/>
      <c r="F58" s="49"/>
      <c r="G58" s="49"/>
      <c r="H58" s="46"/>
      <c r="K58" s="49"/>
      <c r="S58" s="20"/>
      <c r="U58" s="53"/>
      <c r="AE58" s="20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50" x14ac:dyDescent="0.35">
      <c r="C59" s="49"/>
      <c r="D59" s="49"/>
      <c r="E59" s="49"/>
      <c r="F59" s="49"/>
      <c r="H59" s="46"/>
      <c r="K59" s="49"/>
      <c r="S59" s="20"/>
      <c r="U59" s="53"/>
      <c r="AE59" s="20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50" x14ac:dyDescent="0.35">
      <c r="C60" s="49"/>
      <c r="D60" s="49"/>
      <c r="E60" s="49"/>
      <c r="F60" s="49"/>
      <c r="H60" s="46"/>
      <c r="K60" s="49"/>
      <c r="S60" s="20"/>
      <c r="U60" s="53"/>
      <c r="AE60" s="20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50" x14ac:dyDescent="0.35">
      <c r="C61" s="49"/>
      <c r="D61" s="49"/>
      <c r="E61" s="49"/>
      <c r="F61" s="49"/>
      <c r="H61" s="46"/>
      <c r="K61" s="49"/>
      <c r="S61" s="20"/>
      <c r="U61" s="53"/>
      <c r="AE61" s="20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50" x14ac:dyDescent="0.35">
      <c r="C62" s="49"/>
      <c r="D62" s="49"/>
      <c r="E62" s="49"/>
      <c r="F62" s="49"/>
      <c r="H62" s="46"/>
      <c r="S62" s="20"/>
      <c r="U62" s="53"/>
      <c r="AE62" s="20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50" x14ac:dyDescent="0.35">
      <c r="C63" s="49"/>
      <c r="D63" s="49"/>
      <c r="E63" s="49"/>
      <c r="F63" s="49"/>
      <c r="S63" s="20"/>
      <c r="U63" s="53"/>
      <c r="AE63" s="20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50" x14ac:dyDescent="0.35">
      <c r="S64" s="20"/>
      <c r="U64" s="53"/>
      <c r="AE64" s="20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9:48" x14ac:dyDescent="0.35">
      <c r="S65" s="20"/>
      <c r="U65" s="53"/>
      <c r="AE65" s="20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9:48" x14ac:dyDescent="0.35">
      <c r="S66" s="20"/>
      <c r="U66" s="53"/>
      <c r="AE66" s="20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9:48" x14ac:dyDescent="0.35">
      <c r="S67" s="20"/>
      <c r="U67" s="53"/>
      <c r="AE67" s="20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9:48" x14ac:dyDescent="0.35">
      <c r="S68" s="20"/>
      <c r="U68" s="53"/>
      <c r="AE68" s="20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9:48" x14ac:dyDescent="0.35">
      <c r="S69" s="20"/>
      <c r="U69" s="53"/>
      <c r="AE69" s="20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9:48" x14ac:dyDescent="0.35">
      <c r="S70" s="20"/>
      <c r="U70" s="53"/>
      <c r="AE70" s="20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9:48" x14ac:dyDescent="0.35">
      <c r="S71" s="20"/>
      <c r="U71" s="53"/>
      <c r="AE71" s="20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9:48" x14ac:dyDescent="0.35">
      <c r="S72" s="20"/>
      <c r="U72" s="53"/>
      <c r="AE72" s="20"/>
      <c r="AP72" s="39"/>
      <c r="AQ72" s="39"/>
      <c r="AR72" s="39"/>
      <c r="AS72" s="39"/>
      <c r="AT72" s="39"/>
      <c r="AU72" s="39"/>
      <c r="AV72" s="39"/>
    </row>
    <row r="73" spans="19:48" x14ac:dyDescent="0.35">
      <c r="S73" s="20"/>
      <c r="U73" s="53"/>
      <c r="AE73" s="20"/>
      <c r="AP73" s="39"/>
      <c r="AQ73" s="39"/>
      <c r="AR73" s="39"/>
      <c r="AS73" s="39"/>
      <c r="AT73" s="39"/>
      <c r="AU73" s="39"/>
      <c r="AV73" s="39"/>
    </row>
    <row r="74" spans="19:48" x14ac:dyDescent="0.35">
      <c r="S74" s="20"/>
      <c r="U74" s="53"/>
      <c r="AE74" s="20"/>
      <c r="AP74" s="39"/>
      <c r="AQ74" s="39"/>
      <c r="AR74" s="39"/>
      <c r="AS74" s="39"/>
      <c r="AT74" s="39"/>
      <c r="AU74" s="39"/>
      <c r="AV74" s="39"/>
    </row>
    <row r="75" spans="19:48" x14ac:dyDescent="0.35">
      <c r="S75" s="20"/>
      <c r="U75" s="53"/>
      <c r="AE75" s="20"/>
      <c r="AP75" s="39"/>
      <c r="AQ75" s="39"/>
      <c r="AR75" s="39"/>
      <c r="AS75" s="39"/>
      <c r="AT75" s="39"/>
      <c r="AU75" s="39"/>
      <c r="AV75" s="39"/>
    </row>
    <row r="76" spans="19:48" x14ac:dyDescent="0.35">
      <c r="S76" s="20"/>
      <c r="U76" s="53"/>
      <c r="AE76" s="20"/>
      <c r="AP76" s="39"/>
      <c r="AQ76" s="39"/>
      <c r="AR76" s="39"/>
      <c r="AS76" s="39"/>
      <c r="AT76" s="39"/>
      <c r="AU76" s="39"/>
      <c r="AV76" s="39"/>
    </row>
    <row r="77" spans="19:48" x14ac:dyDescent="0.35">
      <c r="S77" s="20"/>
      <c r="U77" s="53"/>
      <c r="AE77" s="20"/>
      <c r="AP77" s="39"/>
      <c r="AQ77" s="39"/>
      <c r="AR77" s="39"/>
      <c r="AS77" s="39"/>
      <c r="AT77" s="39"/>
      <c r="AU77" s="39"/>
      <c r="AV77" s="39"/>
    </row>
    <row r="78" spans="19:48" x14ac:dyDescent="0.35">
      <c r="S78" s="20"/>
      <c r="U78" s="53"/>
      <c r="AE78" s="20"/>
      <c r="AR78" s="39"/>
      <c r="AS78" s="39"/>
      <c r="AT78" s="39"/>
      <c r="AU78" s="39"/>
      <c r="AV78" s="39"/>
    </row>
    <row r="79" spans="19:48" x14ac:dyDescent="0.35">
      <c r="S79" s="20"/>
      <c r="U79" s="53"/>
      <c r="AE79" s="20"/>
      <c r="AR79" s="39"/>
      <c r="AS79" s="39"/>
      <c r="AT79" s="39"/>
      <c r="AU79" s="39"/>
      <c r="AV79" s="39"/>
    </row>
    <row r="80" spans="19:48" x14ac:dyDescent="0.35">
      <c r="S80" s="20"/>
      <c r="U80" s="53"/>
      <c r="AE80" s="20"/>
      <c r="AR80" s="39"/>
      <c r="AS80" s="39"/>
      <c r="AT80" s="39"/>
      <c r="AU80" s="39"/>
      <c r="AV80" s="39"/>
    </row>
    <row r="81" spans="19:48" x14ac:dyDescent="0.35">
      <c r="S81" s="20"/>
      <c r="U81" s="53"/>
      <c r="AE81" s="20"/>
      <c r="AR81" s="39"/>
      <c r="AS81" s="39"/>
      <c r="AT81" s="39"/>
      <c r="AU81" s="39"/>
      <c r="AV81" s="39"/>
    </row>
    <row r="82" spans="19:48" x14ac:dyDescent="0.35">
      <c r="S82" s="20"/>
      <c r="U82" s="53"/>
      <c r="AE82" s="20"/>
      <c r="AR82" s="39"/>
      <c r="AS82" s="39"/>
      <c r="AT82" s="39"/>
      <c r="AU82" s="39"/>
      <c r="AV82" s="39"/>
    </row>
    <row r="83" spans="19:48" x14ac:dyDescent="0.35">
      <c r="S83" s="20"/>
      <c r="U83" s="53"/>
      <c r="AE83" s="20"/>
      <c r="AR83" s="39"/>
      <c r="AS83" s="39"/>
      <c r="AT83" s="39"/>
      <c r="AU83" s="39"/>
      <c r="AV83" s="39"/>
    </row>
    <row r="84" spans="19:48" x14ac:dyDescent="0.35">
      <c r="S84" s="20"/>
      <c r="U84" s="53"/>
      <c r="AE84" s="20"/>
      <c r="AR84" s="39"/>
      <c r="AS84" s="39"/>
      <c r="AT84" s="39"/>
      <c r="AU84" s="39"/>
      <c r="AV84" s="39"/>
    </row>
    <row r="85" spans="19:48" x14ac:dyDescent="0.35">
      <c r="S85" s="20"/>
      <c r="U85" s="53"/>
      <c r="AE85" s="20"/>
      <c r="AR85" s="39"/>
      <c r="AS85" s="39"/>
      <c r="AT85" s="39"/>
      <c r="AU85" s="39"/>
      <c r="AV85" s="39"/>
    </row>
    <row r="86" spans="19:48" x14ac:dyDescent="0.35">
      <c r="S86" s="20"/>
      <c r="U86" s="53"/>
      <c r="AE86" s="20"/>
      <c r="AR86" s="39"/>
      <c r="AS86" s="39"/>
      <c r="AT86" s="39"/>
      <c r="AU86" s="39"/>
      <c r="AV86" s="39"/>
    </row>
    <row r="87" spans="19:48" x14ac:dyDescent="0.35">
      <c r="S87" s="20"/>
      <c r="U87" s="53"/>
      <c r="AE87" s="20"/>
      <c r="AR87" s="39"/>
      <c r="AS87" s="39"/>
      <c r="AT87" s="39"/>
      <c r="AU87" s="39"/>
      <c r="AV87" s="39"/>
    </row>
    <row r="88" spans="19:48" x14ac:dyDescent="0.35">
      <c r="S88" s="20"/>
      <c r="U88" s="53"/>
      <c r="AE88" s="20"/>
      <c r="AR88" s="39"/>
      <c r="AS88" s="39"/>
      <c r="AT88" s="39"/>
      <c r="AU88" s="39"/>
      <c r="AV88" s="39"/>
    </row>
    <row r="89" spans="19:48" x14ac:dyDescent="0.35">
      <c r="S89" s="20"/>
      <c r="U89" s="53"/>
      <c r="AE89" s="20"/>
      <c r="AR89" s="39"/>
      <c r="AS89" s="39"/>
      <c r="AT89" s="39"/>
      <c r="AU89" s="39"/>
      <c r="AV89" s="39"/>
    </row>
    <row r="90" spans="19:48" x14ac:dyDescent="0.35">
      <c r="S90" s="20"/>
      <c r="U90" s="53"/>
      <c r="AE90" s="20"/>
      <c r="AR90" s="39"/>
      <c r="AS90" s="39"/>
      <c r="AT90" s="39"/>
      <c r="AU90" s="39"/>
      <c r="AV90" s="39"/>
    </row>
    <row r="91" spans="19:48" x14ac:dyDescent="0.35">
      <c r="S91" s="20"/>
      <c r="U91" s="53"/>
      <c r="AE91" s="20"/>
      <c r="AR91" s="39"/>
      <c r="AS91" s="39"/>
      <c r="AT91" s="39"/>
      <c r="AU91" s="39"/>
      <c r="AV91" s="39"/>
    </row>
    <row r="92" spans="19:48" x14ac:dyDescent="0.35">
      <c r="S92" s="20"/>
      <c r="U92" s="53"/>
      <c r="AE92" s="20"/>
      <c r="AR92" s="39"/>
      <c r="AS92" s="39"/>
      <c r="AT92" s="39"/>
      <c r="AU92" s="39"/>
      <c r="AV92" s="39"/>
    </row>
    <row r="93" spans="19:48" x14ac:dyDescent="0.35">
      <c r="S93" s="20"/>
      <c r="U93" s="53"/>
      <c r="AE93" s="20"/>
      <c r="AR93" s="39"/>
      <c r="AS93" s="39"/>
      <c r="AT93" s="39"/>
      <c r="AU93" s="39"/>
      <c r="AV93" s="39"/>
    </row>
    <row r="94" spans="19:48" x14ac:dyDescent="0.35">
      <c r="S94" s="20"/>
      <c r="U94" s="53"/>
      <c r="AE94" s="20"/>
      <c r="AU94" s="40"/>
      <c r="AV94" s="40"/>
    </row>
    <row r="95" spans="19:48" x14ac:dyDescent="0.35">
      <c r="S95" s="20"/>
      <c r="AE95" s="20"/>
      <c r="AU95" s="40"/>
      <c r="AV95" s="40"/>
    </row>
    <row r="96" spans="19:48" x14ac:dyDescent="0.35">
      <c r="S96" s="20"/>
      <c r="AE96" s="20"/>
      <c r="AU96" s="40"/>
      <c r="AV96" s="40"/>
    </row>
    <row r="97" spans="19:48" x14ac:dyDescent="0.35">
      <c r="S97" s="20"/>
      <c r="AE97" s="20"/>
      <c r="AU97" s="40"/>
      <c r="AV97" s="40"/>
    </row>
    <row r="98" spans="19:48" x14ac:dyDescent="0.35">
      <c r="S98" s="20"/>
      <c r="AE98" s="20"/>
      <c r="AU98" s="40"/>
      <c r="AV98" s="40"/>
    </row>
    <row r="99" spans="19:48" x14ac:dyDescent="0.35">
      <c r="S99" s="20"/>
      <c r="AE99" s="20"/>
      <c r="AU99" s="40"/>
      <c r="AV99" s="40"/>
    </row>
    <row r="100" spans="19:48" x14ac:dyDescent="0.35">
      <c r="S100" s="20"/>
      <c r="AE100" s="20"/>
      <c r="AU100" s="40"/>
      <c r="AV100" s="40"/>
    </row>
    <row r="101" spans="19:48" x14ac:dyDescent="0.35">
      <c r="S101" s="20"/>
      <c r="AE101" s="20"/>
      <c r="AU101" s="40"/>
      <c r="AV101" s="40"/>
    </row>
    <row r="102" spans="19:48" x14ac:dyDescent="0.35">
      <c r="S102" s="20"/>
      <c r="AE102" s="20"/>
      <c r="AU102" s="40"/>
      <c r="AV102" s="40"/>
    </row>
    <row r="103" spans="19:48" x14ac:dyDescent="0.35">
      <c r="S103" s="20"/>
      <c r="AE103" s="20"/>
      <c r="AU103" s="40"/>
      <c r="AV103" s="40"/>
    </row>
    <row r="104" spans="19:48" x14ac:dyDescent="0.35">
      <c r="S104" s="20"/>
      <c r="AE104" s="20"/>
      <c r="AU104" s="40"/>
      <c r="AV104" s="40"/>
    </row>
    <row r="105" spans="19:48" x14ac:dyDescent="0.35">
      <c r="S105" s="20"/>
      <c r="AE105" s="20"/>
      <c r="AU105" s="40"/>
      <c r="AV105" s="40"/>
    </row>
    <row r="106" spans="19:48" x14ac:dyDescent="0.35">
      <c r="S106" s="20"/>
      <c r="AE106" s="20"/>
      <c r="AU106" s="40"/>
      <c r="AV106" s="40"/>
    </row>
    <row r="107" spans="19:48" x14ac:dyDescent="0.35">
      <c r="S107" s="20"/>
      <c r="AE107" s="20"/>
      <c r="AU107" s="40"/>
      <c r="AV107" s="40"/>
    </row>
    <row r="108" spans="19:48" x14ac:dyDescent="0.35">
      <c r="S108" s="20"/>
      <c r="AE108" s="20"/>
      <c r="AU108" s="40"/>
      <c r="AV108" s="40"/>
    </row>
    <row r="109" spans="19:48" x14ac:dyDescent="0.35">
      <c r="S109" s="20"/>
      <c r="AE109" s="20"/>
      <c r="AU109" s="40"/>
      <c r="AV109" s="40"/>
    </row>
    <row r="110" spans="19:48" x14ac:dyDescent="0.35">
      <c r="S110" s="20"/>
      <c r="AE110" s="20"/>
      <c r="AU110" s="40"/>
      <c r="AV110" s="40"/>
    </row>
    <row r="111" spans="19:48" x14ac:dyDescent="0.35">
      <c r="S111" s="20"/>
      <c r="AE111" s="20"/>
      <c r="AU111" s="40"/>
      <c r="AV111" s="40"/>
    </row>
    <row r="112" spans="19:48" x14ac:dyDescent="0.35">
      <c r="S112" s="20"/>
      <c r="AE112" s="20"/>
      <c r="AU112" s="40"/>
      <c r="AV112" s="40"/>
    </row>
    <row r="113" spans="19:48" x14ac:dyDescent="0.35">
      <c r="S113" s="20"/>
      <c r="AE113" s="20"/>
      <c r="AU113" s="40"/>
      <c r="AV113" s="40"/>
    </row>
    <row r="114" spans="19:48" x14ac:dyDescent="0.35">
      <c r="S114" s="20"/>
      <c r="AE114" s="20"/>
      <c r="AU114" s="40"/>
      <c r="AV114" s="40"/>
    </row>
    <row r="115" spans="19:48" x14ac:dyDescent="0.35">
      <c r="S115" s="20"/>
      <c r="AE115" s="20"/>
      <c r="AU115" s="40"/>
      <c r="AV115" s="40"/>
    </row>
    <row r="116" spans="19:48" x14ac:dyDescent="0.35">
      <c r="S116" s="20"/>
      <c r="AE116" s="20"/>
      <c r="AU116" s="40"/>
      <c r="AV116" s="40"/>
    </row>
    <row r="117" spans="19:48" x14ac:dyDescent="0.35">
      <c r="S117" s="20"/>
      <c r="AE117" s="20"/>
      <c r="AU117" s="40"/>
      <c r="AV117" s="40"/>
    </row>
    <row r="118" spans="19:48" x14ac:dyDescent="0.35">
      <c r="S118" s="20">
        <f>SUM(S49:S117)</f>
        <v>1.01214574898785E-4</v>
      </c>
      <c r="AE118" s="20"/>
      <c r="AU118" s="40"/>
      <c r="AV118" s="40"/>
    </row>
    <row r="119" spans="19:48" x14ac:dyDescent="0.35">
      <c r="AE119" s="20"/>
      <c r="AU119" s="40"/>
      <c r="AV119" s="40"/>
    </row>
    <row r="120" spans="19:48" x14ac:dyDescent="0.35">
      <c r="AE120" s="20"/>
      <c r="AU120" s="40"/>
      <c r="AV120" s="40"/>
    </row>
    <row r="121" spans="19:48" x14ac:dyDescent="0.35">
      <c r="AE121" s="20"/>
      <c r="AU121" s="40"/>
      <c r="AV121" s="40"/>
    </row>
    <row r="122" spans="19:48" x14ac:dyDescent="0.35">
      <c r="AE122" s="20"/>
      <c r="AU122" s="40"/>
      <c r="AV122" s="40"/>
    </row>
    <row r="123" spans="19:48" x14ac:dyDescent="0.35">
      <c r="AE123" s="20"/>
      <c r="AU123" s="40"/>
      <c r="AV123" s="40"/>
    </row>
    <row r="124" spans="19:48" x14ac:dyDescent="0.35">
      <c r="AE124" s="20"/>
      <c r="AU124" s="40"/>
      <c r="AV124" s="40"/>
    </row>
    <row r="125" spans="19:48" x14ac:dyDescent="0.35">
      <c r="AE125" s="20"/>
      <c r="AU125" s="40"/>
      <c r="AV125" s="40"/>
    </row>
    <row r="126" spans="19:48" x14ac:dyDescent="0.35">
      <c r="AE126" s="20"/>
      <c r="AU126" s="40"/>
      <c r="AV126" s="40"/>
    </row>
    <row r="127" spans="19:48" x14ac:dyDescent="0.35">
      <c r="AE127" s="20"/>
      <c r="AU127" s="40"/>
      <c r="AV127" s="40"/>
    </row>
    <row r="128" spans="19:48" x14ac:dyDescent="0.35">
      <c r="AE128" s="20"/>
      <c r="AU128" s="40"/>
      <c r="AV128" s="40"/>
    </row>
    <row r="129" spans="31:48" x14ac:dyDescent="0.35">
      <c r="AE129" s="20"/>
      <c r="AU129" s="40"/>
      <c r="AV129" s="40"/>
    </row>
    <row r="130" spans="31:48" x14ac:dyDescent="0.35">
      <c r="AE130" s="20"/>
      <c r="AU130" s="40"/>
      <c r="AV130" s="40"/>
    </row>
    <row r="131" spans="31:48" x14ac:dyDescent="0.35">
      <c r="AU131" s="40"/>
      <c r="AV131" s="40"/>
    </row>
    <row r="132" spans="31:48" x14ac:dyDescent="0.35">
      <c r="AU132" s="40"/>
      <c r="AV132" s="40"/>
    </row>
    <row r="133" spans="31:48" x14ac:dyDescent="0.35">
      <c r="AU133" s="40"/>
      <c r="AV133" s="40"/>
    </row>
    <row r="134" spans="31:48" x14ac:dyDescent="0.35">
      <c r="AU134" s="40"/>
      <c r="AV134" s="40"/>
    </row>
    <row r="135" spans="31:48" x14ac:dyDescent="0.35">
      <c r="AU135" s="40"/>
      <c r="AV135" s="40"/>
    </row>
    <row r="136" spans="31:48" x14ac:dyDescent="0.35">
      <c r="AU136" s="40"/>
      <c r="AV136" s="40"/>
    </row>
    <row r="137" spans="31:48" x14ac:dyDescent="0.35">
      <c r="AU137" s="40"/>
      <c r="AV137" s="40"/>
    </row>
    <row r="138" spans="31:48" x14ac:dyDescent="0.35">
      <c r="AU138" s="40"/>
      <c r="AV138" s="40"/>
    </row>
    <row r="139" spans="31:48" x14ac:dyDescent="0.35">
      <c r="AU139" s="40"/>
      <c r="AV139" s="40"/>
    </row>
    <row r="140" spans="31:48" x14ac:dyDescent="0.35">
      <c r="AU140" s="40"/>
      <c r="AV140" s="40"/>
    </row>
    <row r="141" spans="31:48" x14ac:dyDescent="0.35">
      <c r="AU141" s="40"/>
      <c r="AV141" s="40"/>
    </row>
    <row r="142" spans="31:48" x14ac:dyDescent="0.35">
      <c r="AU142" s="40"/>
      <c r="AV142" s="40"/>
    </row>
    <row r="143" spans="31:48" x14ac:dyDescent="0.35">
      <c r="AU143" s="40"/>
      <c r="AV143" s="40"/>
    </row>
    <row r="144" spans="31:48" x14ac:dyDescent="0.35">
      <c r="AU144" s="40"/>
      <c r="AV144" s="40"/>
    </row>
    <row r="145" spans="47:48" x14ac:dyDescent="0.35">
      <c r="AU145" s="40"/>
      <c r="AV145" s="40"/>
    </row>
    <row r="146" spans="47:48" x14ac:dyDescent="0.35">
      <c r="AU146" s="40"/>
      <c r="AV146" s="40"/>
    </row>
    <row r="147" spans="47:48" x14ac:dyDescent="0.35">
      <c r="AU147" s="40"/>
      <c r="AV147" s="40"/>
    </row>
    <row r="148" spans="47:48" x14ac:dyDescent="0.35">
      <c r="AU148" s="40"/>
      <c r="AV148" s="40"/>
    </row>
    <row r="149" spans="47:48" x14ac:dyDescent="0.35">
      <c r="AU149" s="40"/>
      <c r="AV149" s="40"/>
    </row>
    <row r="150" spans="47:48" x14ac:dyDescent="0.35">
      <c r="AU150" s="40"/>
      <c r="AV150" s="40"/>
    </row>
    <row r="151" spans="47:48" x14ac:dyDescent="0.35">
      <c r="AU151" s="40"/>
      <c r="AV151" s="40"/>
    </row>
    <row r="152" spans="47:48" x14ac:dyDescent="0.35">
      <c r="AU152" s="40"/>
      <c r="AV152" s="40"/>
    </row>
    <row r="153" spans="47:48" x14ac:dyDescent="0.35">
      <c r="AU153" s="40"/>
      <c r="AV153" s="40"/>
    </row>
    <row r="154" spans="47:48" x14ac:dyDescent="0.35">
      <c r="AU154" s="40"/>
      <c r="AV154" s="40"/>
    </row>
    <row r="155" spans="47:48" x14ac:dyDescent="0.35">
      <c r="AU155" s="40"/>
      <c r="AV155" s="40"/>
    </row>
    <row r="156" spans="47:48" x14ac:dyDescent="0.35">
      <c r="AU156" s="40"/>
      <c r="AV156" s="40"/>
    </row>
    <row r="157" spans="47:48" x14ac:dyDescent="0.35">
      <c r="AU157" s="40"/>
      <c r="AV157" s="40"/>
    </row>
    <row r="158" spans="47:48" x14ac:dyDescent="0.35">
      <c r="AU158" s="40"/>
      <c r="AV158" s="40"/>
    </row>
    <row r="159" spans="47:48" x14ac:dyDescent="0.35">
      <c r="AU159" s="40"/>
      <c r="AV159" s="40"/>
    </row>
    <row r="160" spans="47:48" x14ac:dyDescent="0.35">
      <c r="AU160" s="40"/>
      <c r="AV160" s="40"/>
    </row>
    <row r="161" spans="47:48" x14ac:dyDescent="0.35">
      <c r="AU161" s="40"/>
      <c r="AV161" s="40"/>
    </row>
    <row r="162" spans="47:48" x14ac:dyDescent="0.35">
      <c r="AU162" s="40"/>
      <c r="AV162" s="40"/>
    </row>
    <row r="163" spans="47:48" x14ac:dyDescent="0.35">
      <c r="AU163" s="40"/>
      <c r="AV163" s="40"/>
    </row>
    <row r="164" spans="47:48" x14ac:dyDescent="0.35">
      <c r="AU164" s="40"/>
      <c r="AV164" s="40"/>
    </row>
    <row r="165" spans="47:48" x14ac:dyDescent="0.35">
      <c r="AU165" s="40"/>
      <c r="AV165" s="40"/>
    </row>
    <row r="166" spans="47:48" x14ac:dyDescent="0.35">
      <c r="AU166" s="40"/>
      <c r="AV166" s="40"/>
    </row>
    <row r="167" spans="47:48" x14ac:dyDescent="0.35">
      <c r="AU167" s="40"/>
      <c r="AV167" s="40"/>
    </row>
    <row r="168" spans="47:48" x14ac:dyDescent="0.35">
      <c r="AU168" s="40"/>
      <c r="AV168" s="40"/>
    </row>
    <row r="169" spans="47:48" x14ac:dyDescent="0.35">
      <c r="AU169" s="40"/>
      <c r="AV169" s="40"/>
    </row>
    <row r="170" spans="47:48" x14ac:dyDescent="0.35">
      <c r="AU170" s="40"/>
      <c r="AV170" s="40"/>
    </row>
    <row r="171" spans="47:48" x14ac:dyDescent="0.35">
      <c r="AU171" s="40"/>
      <c r="AV171" s="40"/>
    </row>
    <row r="172" spans="47:48" x14ac:dyDescent="0.35">
      <c r="AU172" s="40"/>
      <c r="AV172" s="40"/>
    </row>
    <row r="173" spans="47:48" x14ac:dyDescent="0.35">
      <c r="AU173" s="40"/>
      <c r="AV173" s="40"/>
    </row>
    <row r="174" spans="47:48" x14ac:dyDescent="0.35">
      <c r="AU174" s="40"/>
      <c r="AV174" s="40"/>
    </row>
    <row r="175" spans="47:48" x14ac:dyDescent="0.35">
      <c r="AU175" s="40"/>
      <c r="AV175" s="40"/>
    </row>
    <row r="176" spans="47:48" x14ac:dyDescent="0.35">
      <c r="AU176" s="40"/>
      <c r="AV176" s="40"/>
    </row>
    <row r="177" spans="47:48" x14ac:dyDescent="0.35">
      <c r="AU177" s="40"/>
      <c r="AV177" s="40"/>
    </row>
    <row r="178" spans="47:48" x14ac:dyDescent="0.35">
      <c r="AU178" s="40"/>
      <c r="AV178" s="40"/>
    </row>
    <row r="179" spans="47:48" x14ac:dyDescent="0.35">
      <c r="AU179" s="40"/>
      <c r="AV179" s="40"/>
    </row>
    <row r="180" spans="47:48" x14ac:dyDescent="0.35">
      <c r="AU180" s="40"/>
      <c r="AV180" s="40"/>
    </row>
    <row r="181" spans="47:48" x14ac:dyDescent="0.35">
      <c r="AU181" s="40"/>
      <c r="AV181" s="40"/>
    </row>
    <row r="182" spans="47:48" x14ac:dyDescent="0.35">
      <c r="AU182" s="40"/>
      <c r="AV182" s="40"/>
    </row>
    <row r="183" spans="47:48" x14ac:dyDescent="0.35">
      <c r="AU183" s="40"/>
      <c r="AV183" s="40"/>
    </row>
    <row r="184" spans="47:48" x14ac:dyDescent="0.35">
      <c r="AU184" s="40"/>
      <c r="AV184" s="40"/>
    </row>
    <row r="185" spans="47:48" x14ac:dyDescent="0.35">
      <c r="AU185" s="40"/>
      <c r="AV185" s="40"/>
    </row>
    <row r="186" spans="47:48" x14ac:dyDescent="0.35">
      <c r="AU186" s="40"/>
      <c r="AV186" s="40"/>
    </row>
    <row r="187" spans="47:48" x14ac:dyDescent="0.35">
      <c r="AU187" s="40"/>
      <c r="AV187" s="40"/>
    </row>
    <row r="188" spans="47:48" x14ac:dyDescent="0.35">
      <c r="AU188" s="40"/>
      <c r="AV188" s="40"/>
    </row>
    <row r="189" spans="47:48" x14ac:dyDescent="0.35">
      <c r="AU189" s="40"/>
      <c r="AV189" s="40"/>
    </row>
    <row r="190" spans="47:48" x14ac:dyDescent="0.35">
      <c r="AU190" s="40"/>
      <c r="AV190" s="40"/>
    </row>
    <row r="191" spans="47:48" x14ac:dyDescent="0.35">
      <c r="AU191" s="40"/>
      <c r="AV191" s="40"/>
    </row>
    <row r="192" spans="47:48" x14ac:dyDescent="0.35">
      <c r="AU192" s="40"/>
      <c r="AV192" s="40"/>
    </row>
    <row r="193" spans="47:48" x14ac:dyDescent="0.35">
      <c r="AU193" s="40"/>
      <c r="AV193" s="40"/>
    </row>
    <row r="194" spans="47:48" x14ac:dyDescent="0.35">
      <c r="AU194" s="40"/>
      <c r="AV194" s="40"/>
    </row>
    <row r="195" spans="47:48" x14ac:dyDescent="0.35">
      <c r="AU195" s="40"/>
      <c r="AV195" s="40"/>
    </row>
    <row r="196" spans="47:48" x14ac:dyDescent="0.35">
      <c r="AU196" s="40"/>
      <c r="AV196" s="40"/>
    </row>
    <row r="197" spans="47:48" x14ac:dyDescent="0.35">
      <c r="AV197" s="40"/>
    </row>
    <row r="198" spans="47:48" x14ac:dyDescent="0.35">
      <c r="AV198" s="40"/>
    </row>
  </sheetData>
  <phoneticPr fontId="1" type="noConversion"/>
  <conditionalFormatting sqref="W2:W89">
    <cfRule type="colorScale" priority="106">
      <colorScale>
        <cfvo type="min"/>
        <cfvo type="max"/>
        <color theme="0"/>
        <color rgb="FFC00000"/>
      </colorScale>
    </cfRule>
  </conditionalFormatting>
  <conditionalFormatting sqref="AA2:AA83">
    <cfRule type="colorScale" priority="108">
      <colorScale>
        <cfvo type="min"/>
        <cfvo type="max"/>
        <color theme="0"/>
        <color rgb="FFC00000"/>
      </colorScale>
    </cfRule>
  </conditionalFormatting>
  <conditionalFormatting sqref="Y2:Y82">
    <cfRule type="colorScale" priority="110">
      <colorScale>
        <cfvo type="min"/>
        <cfvo type="max"/>
        <color theme="0"/>
        <color rgb="FFC00000"/>
      </colorScale>
    </cfRule>
  </conditionalFormatting>
  <conditionalFormatting sqref="AC2:AC50 AC51:AD79">
    <cfRule type="colorScale" priority="112">
      <colorScale>
        <cfvo type="min"/>
        <cfvo type="max"/>
        <color theme="0"/>
        <color rgb="FFC00000"/>
      </colorScale>
    </cfRule>
  </conditionalFormatting>
  <conditionalFormatting sqref="AD2:AD50 AE51:AE85">
    <cfRule type="colorScale" priority="1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9FDD9-7057-4C8D-B275-C691BD2D5F76}">
  <dimension ref="A1:AB15"/>
  <sheetViews>
    <sheetView topLeftCell="A195" workbookViewId="0"/>
    <sheetView workbookViewId="1">
      <selection activeCell="H21" sqref="H21"/>
    </sheetView>
  </sheetViews>
  <sheetFormatPr defaultRowHeight="14.5" x14ac:dyDescent="0.35"/>
  <cols>
    <col min="1" max="1" width="20.453125" bestFit="1" customWidth="1"/>
    <col min="2" max="10" width="5.81640625" bestFit="1" customWidth="1"/>
    <col min="11" max="27" width="6.81640625" bestFit="1" customWidth="1"/>
    <col min="28" max="28" width="11.1796875" bestFit="1" customWidth="1"/>
    <col min="29" max="35" width="7.81640625" bestFit="1" customWidth="1"/>
  </cols>
  <sheetData>
    <row r="1" spans="1:28" x14ac:dyDescent="0.35">
      <c r="A1" t="s">
        <v>24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219</v>
      </c>
      <c r="L1" t="s">
        <v>220</v>
      </c>
      <c r="M1" t="s">
        <v>221</v>
      </c>
      <c r="N1" t="s">
        <v>222</v>
      </c>
      <c r="O1" t="s">
        <v>223</v>
      </c>
      <c r="P1" t="s">
        <v>224</v>
      </c>
      <c r="Q1" t="s">
        <v>225</v>
      </c>
      <c r="R1" t="s">
        <v>226</v>
      </c>
      <c r="S1" t="s">
        <v>227</v>
      </c>
      <c r="T1" t="s">
        <v>228</v>
      </c>
      <c r="U1" t="s">
        <v>229</v>
      </c>
      <c r="V1" t="s">
        <v>230</v>
      </c>
      <c r="W1" t="s">
        <v>231</v>
      </c>
      <c r="X1" t="s">
        <v>232</v>
      </c>
      <c r="Y1" t="s">
        <v>233</v>
      </c>
      <c r="Z1" t="s">
        <v>234</v>
      </c>
      <c r="AA1" t="s">
        <v>235</v>
      </c>
      <c r="AB1" t="s">
        <v>261</v>
      </c>
    </row>
    <row r="2" spans="1:28" x14ac:dyDescent="0.35">
      <c r="A2" t="s">
        <v>257</v>
      </c>
      <c r="B2">
        <v>182.29999999999998</v>
      </c>
      <c r="C2">
        <v>332.5</v>
      </c>
      <c r="D2">
        <v>400.90000000000003</v>
      </c>
      <c r="E2">
        <v>512.30000000000007</v>
      </c>
      <c r="F2">
        <v>595.20000000000005</v>
      </c>
      <c r="G2">
        <v>610</v>
      </c>
      <c r="H2">
        <v>609.1</v>
      </c>
      <c r="I2">
        <v>611.1</v>
      </c>
      <c r="J2">
        <v>635.5</v>
      </c>
      <c r="K2">
        <v>659.4</v>
      </c>
      <c r="L2">
        <v>702.1</v>
      </c>
      <c r="M2">
        <v>706.2</v>
      </c>
      <c r="N2">
        <v>709.80000000000007</v>
      </c>
      <c r="O2">
        <v>717.4</v>
      </c>
      <c r="P2">
        <v>717.4</v>
      </c>
      <c r="Q2">
        <v>717.4</v>
      </c>
      <c r="R2">
        <v>727.30000000000007</v>
      </c>
      <c r="S2">
        <v>727.30000000000007</v>
      </c>
      <c r="T2">
        <v>736.6</v>
      </c>
      <c r="U2">
        <v>736.6</v>
      </c>
      <c r="V2">
        <v>746.4</v>
      </c>
      <c r="W2">
        <v>755.80000000000007</v>
      </c>
      <c r="X2">
        <v>765.2</v>
      </c>
      <c r="Y2">
        <v>774.80000000000007</v>
      </c>
      <c r="Z2">
        <v>774.80000000000007</v>
      </c>
      <c r="AA2">
        <v>784.5</v>
      </c>
      <c r="AB2">
        <v>813.2</v>
      </c>
    </row>
    <row r="3" spans="1:28" x14ac:dyDescent="0.35">
      <c r="A3" t="s">
        <v>236</v>
      </c>
      <c r="B3">
        <v>190.1</v>
      </c>
      <c r="C3">
        <v>312.20000000000005</v>
      </c>
      <c r="D3">
        <v>387.6</v>
      </c>
      <c r="E3">
        <v>463.20000000000005</v>
      </c>
      <c r="F3">
        <v>546.20000000000005</v>
      </c>
      <c r="G3">
        <v>651.80000000000007</v>
      </c>
      <c r="H3">
        <v>717.2</v>
      </c>
      <c r="I3">
        <v>864.4</v>
      </c>
      <c r="J3">
        <v>918.5</v>
      </c>
      <c r="K3">
        <v>1044.3</v>
      </c>
      <c r="L3">
        <v>958.6</v>
      </c>
      <c r="M3">
        <v>1014</v>
      </c>
      <c r="N3">
        <v>1056.8999999999999</v>
      </c>
      <c r="O3">
        <v>1100.0999999999999</v>
      </c>
      <c r="P3">
        <v>1136.8</v>
      </c>
      <c r="Q3">
        <v>1222.8999999999999</v>
      </c>
      <c r="R3">
        <v>1253.5999999999999</v>
      </c>
      <c r="S3">
        <v>1284.3</v>
      </c>
      <c r="T3">
        <v>1321.3</v>
      </c>
      <c r="U3">
        <v>1382.6999999999998</v>
      </c>
      <c r="V3">
        <v>1480.8999999999999</v>
      </c>
      <c r="W3">
        <v>1591.6</v>
      </c>
      <c r="X3">
        <v>1690</v>
      </c>
      <c r="Y3">
        <v>1825</v>
      </c>
      <c r="Z3">
        <v>1825</v>
      </c>
      <c r="AA3">
        <v>1825</v>
      </c>
      <c r="AB3">
        <v>1825</v>
      </c>
    </row>
    <row r="4" spans="1:28" x14ac:dyDescent="0.35">
      <c r="A4" t="s">
        <v>250</v>
      </c>
      <c r="B4">
        <v>74.5</v>
      </c>
      <c r="C4">
        <v>127.8</v>
      </c>
      <c r="D4">
        <v>174.5</v>
      </c>
      <c r="E4">
        <v>211.7</v>
      </c>
      <c r="F4">
        <v>240.6</v>
      </c>
      <c r="G4">
        <v>264.8</v>
      </c>
      <c r="H4">
        <v>284.10000000000002</v>
      </c>
      <c r="I4">
        <v>310.10000000000002</v>
      </c>
      <c r="J4">
        <v>329.3</v>
      </c>
      <c r="K4">
        <v>347.1</v>
      </c>
      <c r="L4">
        <v>354.70000000000005</v>
      </c>
      <c r="M4">
        <v>367</v>
      </c>
      <c r="N4">
        <v>376.1</v>
      </c>
      <c r="O4">
        <v>391.5</v>
      </c>
      <c r="P4">
        <v>405.20000000000005</v>
      </c>
      <c r="Q4">
        <v>419.1</v>
      </c>
      <c r="R4">
        <v>433</v>
      </c>
      <c r="S4">
        <v>446.8</v>
      </c>
      <c r="T4">
        <v>460.5</v>
      </c>
      <c r="U4">
        <v>474.3</v>
      </c>
      <c r="V4">
        <v>479</v>
      </c>
      <c r="W4">
        <v>483.5</v>
      </c>
      <c r="X4">
        <v>489.8</v>
      </c>
      <c r="Y4">
        <v>494.1</v>
      </c>
      <c r="Z4">
        <v>505.1</v>
      </c>
      <c r="AA4">
        <v>514.20000000000005</v>
      </c>
      <c r="AB4">
        <v>521.80000000000007</v>
      </c>
    </row>
    <row r="5" spans="1:28" x14ac:dyDescent="0.35">
      <c r="A5" t="s">
        <v>249</v>
      </c>
      <c r="B5">
        <v>64.699999999999989</v>
      </c>
      <c r="C5">
        <v>108.5</v>
      </c>
      <c r="D5">
        <v>148.6</v>
      </c>
      <c r="E5">
        <v>179.4</v>
      </c>
      <c r="F5">
        <v>208.29999999999998</v>
      </c>
      <c r="G5">
        <v>227.9</v>
      </c>
      <c r="H5">
        <v>244</v>
      </c>
      <c r="I5">
        <v>264.8</v>
      </c>
      <c r="J5">
        <v>279.3</v>
      </c>
      <c r="K5">
        <v>293.8</v>
      </c>
      <c r="L5">
        <v>302.60000000000002</v>
      </c>
      <c r="M5">
        <v>314.8</v>
      </c>
      <c r="N5">
        <v>327.20000000000005</v>
      </c>
      <c r="O5">
        <v>334.8</v>
      </c>
      <c r="P5">
        <v>342.3</v>
      </c>
      <c r="Q5">
        <v>350.20000000000005</v>
      </c>
      <c r="R5">
        <v>356.40000000000003</v>
      </c>
      <c r="S5">
        <v>360.8</v>
      </c>
      <c r="T5">
        <v>367</v>
      </c>
      <c r="U5">
        <v>371.6</v>
      </c>
      <c r="V5">
        <v>377.5</v>
      </c>
      <c r="W5">
        <v>385.5</v>
      </c>
      <c r="X5">
        <v>391.5</v>
      </c>
      <c r="Y5">
        <v>397.8</v>
      </c>
      <c r="Z5">
        <v>402.3</v>
      </c>
      <c r="AA5">
        <v>411.6</v>
      </c>
      <c r="AB5">
        <v>422.1</v>
      </c>
    </row>
    <row r="6" spans="1:28" x14ac:dyDescent="0.35">
      <c r="A6" t="s">
        <v>251</v>
      </c>
      <c r="B6">
        <v>79.399999999999991</v>
      </c>
      <c r="C6">
        <v>137.4</v>
      </c>
      <c r="D6">
        <v>187.29999999999998</v>
      </c>
      <c r="E6">
        <v>225.79999999999998</v>
      </c>
      <c r="F6">
        <v>259.90000000000003</v>
      </c>
      <c r="G6">
        <v>282.5</v>
      </c>
      <c r="H6">
        <v>305.10000000000002</v>
      </c>
      <c r="I6">
        <v>332.5</v>
      </c>
      <c r="J6">
        <v>353.5</v>
      </c>
      <c r="K6">
        <v>374.3</v>
      </c>
      <c r="L6">
        <v>392.5</v>
      </c>
      <c r="M6">
        <v>402.3</v>
      </c>
      <c r="N6">
        <v>409.90000000000003</v>
      </c>
      <c r="O6">
        <v>426.90000000000003</v>
      </c>
      <c r="P6">
        <v>440.6</v>
      </c>
      <c r="Q6">
        <v>452.90000000000003</v>
      </c>
      <c r="R6">
        <v>474.3</v>
      </c>
      <c r="S6">
        <v>489.8</v>
      </c>
      <c r="T6">
        <v>503.40000000000003</v>
      </c>
      <c r="U6">
        <v>508.1</v>
      </c>
      <c r="V6">
        <v>514.20000000000005</v>
      </c>
      <c r="W6">
        <v>521.80000000000007</v>
      </c>
      <c r="X6">
        <v>529.5</v>
      </c>
      <c r="Y6">
        <v>538.70000000000005</v>
      </c>
      <c r="Z6">
        <v>551.1</v>
      </c>
      <c r="AA6">
        <v>566.5</v>
      </c>
      <c r="AB6">
        <v>637.1</v>
      </c>
    </row>
    <row r="7" spans="1:28" x14ac:dyDescent="0.35">
      <c r="A7" t="s">
        <v>252</v>
      </c>
      <c r="B7">
        <v>89</v>
      </c>
      <c r="C7">
        <v>155.1</v>
      </c>
      <c r="D7">
        <v>209.9</v>
      </c>
      <c r="E7">
        <v>253.5</v>
      </c>
      <c r="F7">
        <v>289.10000000000002</v>
      </c>
      <c r="G7">
        <v>313.10000000000002</v>
      </c>
      <c r="H7">
        <v>340.70000000000005</v>
      </c>
      <c r="I7">
        <v>373</v>
      </c>
      <c r="J7">
        <v>395.3</v>
      </c>
      <c r="K7">
        <v>419.40000000000003</v>
      </c>
      <c r="L7">
        <v>437.6</v>
      </c>
      <c r="M7">
        <v>455.90000000000003</v>
      </c>
      <c r="N7">
        <v>474.3</v>
      </c>
      <c r="O7">
        <v>492.8</v>
      </c>
      <c r="P7">
        <v>511.3</v>
      </c>
      <c r="Q7">
        <v>529.5</v>
      </c>
      <c r="R7">
        <v>548</v>
      </c>
      <c r="S7">
        <v>566.5</v>
      </c>
      <c r="T7">
        <v>584.70000000000005</v>
      </c>
      <c r="U7">
        <v>603.1</v>
      </c>
      <c r="V7">
        <v>621.6</v>
      </c>
      <c r="W7">
        <v>640</v>
      </c>
      <c r="X7">
        <v>658.5</v>
      </c>
      <c r="Y7">
        <v>676.9</v>
      </c>
      <c r="Z7">
        <v>695.2</v>
      </c>
      <c r="AA7">
        <v>713.6</v>
      </c>
      <c r="AB7">
        <v>807.1</v>
      </c>
    </row>
    <row r="8" spans="1:28" x14ac:dyDescent="0.35">
      <c r="A8" t="s">
        <v>253</v>
      </c>
      <c r="B8">
        <v>95.699999999999989</v>
      </c>
      <c r="C8">
        <v>166.5</v>
      </c>
      <c r="D8">
        <v>227.9</v>
      </c>
      <c r="E8">
        <v>276.20000000000005</v>
      </c>
      <c r="F8">
        <v>310.10000000000002</v>
      </c>
      <c r="G8">
        <v>338.90000000000003</v>
      </c>
      <c r="H8">
        <v>367.90000000000003</v>
      </c>
      <c r="I8">
        <v>405.1</v>
      </c>
      <c r="J8">
        <v>430.8</v>
      </c>
      <c r="K8">
        <v>454.90000000000003</v>
      </c>
      <c r="L8">
        <v>477.20000000000005</v>
      </c>
      <c r="M8">
        <v>531.1</v>
      </c>
      <c r="N8">
        <v>586.4</v>
      </c>
      <c r="O8">
        <v>630.70000000000005</v>
      </c>
      <c r="P8">
        <v>650.70000000000005</v>
      </c>
      <c r="Q8">
        <v>673.7</v>
      </c>
      <c r="R8">
        <v>687.6</v>
      </c>
      <c r="S8">
        <v>702.80000000000007</v>
      </c>
      <c r="T8">
        <v>718.30000000000007</v>
      </c>
      <c r="U8">
        <v>726</v>
      </c>
      <c r="V8">
        <v>736.5</v>
      </c>
      <c r="W8">
        <v>742.7</v>
      </c>
      <c r="X8">
        <v>751.9</v>
      </c>
      <c r="Y8">
        <v>759.7</v>
      </c>
      <c r="Z8">
        <v>767.4</v>
      </c>
      <c r="AA8">
        <v>774.9</v>
      </c>
      <c r="AB8">
        <v>836.2</v>
      </c>
    </row>
    <row r="9" spans="1:28" x14ac:dyDescent="0.35">
      <c r="A9" t="s">
        <v>254</v>
      </c>
      <c r="B9">
        <v>98.699999999999989</v>
      </c>
      <c r="C9">
        <v>176.29999999999998</v>
      </c>
      <c r="D9">
        <v>237.5</v>
      </c>
      <c r="E9">
        <v>289.10000000000002</v>
      </c>
      <c r="F9">
        <v>324.5</v>
      </c>
      <c r="G9">
        <v>355</v>
      </c>
      <c r="H9">
        <v>385.70000000000005</v>
      </c>
      <c r="I9">
        <v>424.3</v>
      </c>
      <c r="J9">
        <v>450.20000000000005</v>
      </c>
      <c r="K9">
        <v>477.6</v>
      </c>
      <c r="L9">
        <v>524.9</v>
      </c>
      <c r="M9">
        <v>577.1</v>
      </c>
      <c r="N9">
        <v>616.80000000000007</v>
      </c>
      <c r="O9">
        <v>644.6</v>
      </c>
      <c r="P9">
        <v>692.2</v>
      </c>
      <c r="Q9">
        <v>721.4</v>
      </c>
      <c r="R9">
        <v>761.2</v>
      </c>
      <c r="S9">
        <v>801.1</v>
      </c>
      <c r="T9">
        <v>827.30000000000007</v>
      </c>
      <c r="U9">
        <v>890</v>
      </c>
      <c r="V9">
        <v>913</v>
      </c>
      <c r="W9">
        <v>928.30000000000007</v>
      </c>
      <c r="X9">
        <v>943.80000000000007</v>
      </c>
      <c r="Y9">
        <v>966.6</v>
      </c>
      <c r="Z9">
        <v>989.7</v>
      </c>
      <c r="AA9">
        <v>1020.4</v>
      </c>
      <c r="AB9">
        <v>1135.3</v>
      </c>
    </row>
    <row r="10" spans="1:28" x14ac:dyDescent="0.35">
      <c r="A10" t="s">
        <v>255</v>
      </c>
      <c r="B10">
        <v>103.5</v>
      </c>
      <c r="C10">
        <v>182.7</v>
      </c>
      <c r="D10">
        <v>248.5</v>
      </c>
      <c r="E10">
        <v>301.90000000000003</v>
      </c>
      <c r="F10">
        <v>338.90000000000003</v>
      </c>
      <c r="G10">
        <v>373</v>
      </c>
      <c r="H10">
        <v>405.1</v>
      </c>
      <c r="I10">
        <v>447</v>
      </c>
      <c r="J10">
        <v>474.40000000000003</v>
      </c>
      <c r="K10">
        <v>501.70000000000005</v>
      </c>
      <c r="L10">
        <v>544.80000000000007</v>
      </c>
      <c r="M10">
        <v>584.70000000000005</v>
      </c>
      <c r="N10">
        <v>629.30000000000007</v>
      </c>
      <c r="O10">
        <v>661.4</v>
      </c>
      <c r="P10">
        <v>713.6</v>
      </c>
      <c r="Q10">
        <v>736.5</v>
      </c>
      <c r="R10">
        <v>814.80000000000007</v>
      </c>
      <c r="S10">
        <v>897.7</v>
      </c>
      <c r="T10">
        <v>928.30000000000007</v>
      </c>
      <c r="U10">
        <v>989.7</v>
      </c>
      <c r="V10">
        <v>1043.3</v>
      </c>
      <c r="W10">
        <v>1087.8999999999999</v>
      </c>
      <c r="X10">
        <v>1153.8999999999999</v>
      </c>
      <c r="Y10">
        <v>1184.3999999999999</v>
      </c>
      <c r="Z10">
        <v>1235.1999999999998</v>
      </c>
      <c r="AA10">
        <v>1296.5999999999999</v>
      </c>
      <c r="AB10">
        <v>1365.3999999999999</v>
      </c>
    </row>
    <row r="11" spans="1:28" x14ac:dyDescent="0.35">
      <c r="A11" t="s">
        <v>256</v>
      </c>
      <c r="B11">
        <v>103.69999999999999</v>
      </c>
      <c r="C11">
        <v>187.29999999999998</v>
      </c>
      <c r="D11">
        <v>255</v>
      </c>
      <c r="E11">
        <v>310.10000000000002</v>
      </c>
      <c r="F11">
        <v>348.70000000000005</v>
      </c>
      <c r="G11">
        <v>382.5</v>
      </c>
      <c r="H11">
        <v>416.20000000000005</v>
      </c>
      <c r="I11">
        <v>461.3</v>
      </c>
      <c r="J11">
        <v>490.5</v>
      </c>
      <c r="K11">
        <v>519.5</v>
      </c>
      <c r="L11">
        <v>581.80000000000007</v>
      </c>
      <c r="M11">
        <v>650.70000000000005</v>
      </c>
      <c r="N11">
        <v>684.30000000000007</v>
      </c>
      <c r="O11">
        <v>735.1</v>
      </c>
      <c r="P11">
        <v>781.1</v>
      </c>
      <c r="Q11">
        <v>833.1</v>
      </c>
      <c r="R11">
        <v>888.5</v>
      </c>
      <c r="S11">
        <v>934.5</v>
      </c>
      <c r="T11">
        <v>1003.4</v>
      </c>
      <c r="U11">
        <v>1066.3</v>
      </c>
      <c r="V11">
        <v>1135.3</v>
      </c>
      <c r="W11">
        <v>1202.8999999999999</v>
      </c>
      <c r="X11">
        <v>1272</v>
      </c>
      <c r="Y11">
        <v>1312</v>
      </c>
      <c r="Z11">
        <v>1357.8999999999999</v>
      </c>
      <c r="AA11">
        <v>1434.6</v>
      </c>
      <c r="AB11">
        <v>1526.5</v>
      </c>
    </row>
    <row r="12" spans="1:28" x14ac:dyDescent="0.35">
      <c r="A12" t="s">
        <v>258</v>
      </c>
      <c r="B12">
        <v>194.9</v>
      </c>
      <c r="C12">
        <v>366.20000000000005</v>
      </c>
      <c r="D12">
        <v>506.40000000000003</v>
      </c>
      <c r="E12">
        <v>615.4</v>
      </c>
      <c r="F12">
        <v>716.6</v>
      </c>
      <c r="G12">
        <v>771.2</v>
      </c>
      <c r="H12">
        <v>810.1</v>
      </c>
      <c r="I12">
        <v>856.9</v>
      </c>
      <c r="J12">
        <v>895.7</v>
      </c>
      <c r="K12">
        <v>919.1</v>
      </c>
      <c r="L12">
        <v>1205.7</v>
      </c>
      <c r="M12">
        <v>1333.8</v>
      </c>
      <c r="N12">
        <v>1420</v>
      </c>
      <c r="O12">
        <v>1360.6</v>
      </c>
      <c r="P12">
        <v>1473.6</v>
      </c>
      <c r="Q12">
        <v>1594.8</v>
      </c>
      <c r="R12">
        <v>1681</v>
      </c>
      <c r="S12">
        <v>1741.6</v>
      </c>
      <c r="T12">
        <v>1823.1</v>
      </c>
      <c r="U12">
        <v>1881.3</v>
      </c>
      <c r="V12">
        <v>1974.5</v>
      </c>
      <c r="W12">
        <v>2021.1</v>
      </c>
      <c r="X12">
        <v>2114.1999999999998</v>
      </c>
      <c r="Y12">
        <v>2213.3000000000002</v>
      </c>
      <c r="Z12">
        <v>2358.8000000000002</v>
      </c>
      <c r="AA12">
        <v>2551.1</v>
      </c>
      <c r="AB12">
        <v>2551.1</v>
      </c>
    </row>
    <row r="13" spans="1:28" x14ac:dyDescent="0.35">
      <c r="A13" t="s">
        <v>53</v>
      </c>
      <c r="B13">
        <v>97.6</v>
      </c>
      <c r="C13">
        <v>169.1</v>
      </c>
      <c r="D13">
        <v>195.7</v>
      </c>
      <c r="E13">
        <v>248.2</v>
      </c>
      <c r="F13">
        <v>306</v>
      </c>
      <c r="G13">
        <v>321.60000000000002</v>
      </c>
      <c r="H13">
        <v>328.70000000000005</v>
      </c>
      <c r="I13">
        <v>353.40000000000003</v>
      </c>
      <c r="J13">
        <v>405.90000000000003</v>
      </c>
      <c r="K13">
        <v>411.20000000000005</v>
      </c>
      <c r="L13">
        <v>525.9</v>
      </c>
      <c r="M13">
        <v>532.30000000000007</v>
      </c>
      <c r="N13">
        <v>545.1</v>
      </c>
      <c r="O13">
        <v>553.5</v>
      </c>
      <c r="P13">
        <v>568</v>
      </c>
      <c r="Q13">
        <v>584.9</v>
      </c>
      <c r="R13">
        <v>614.5</v>
      </c>
      <c r="S13">
        <v>633.70000000000005</v>
      </c>
      <c r="T13">
        <v>644.1</v>
      </c>
      <c r="U13">
        <v>654.6</v>
      </c>
      <c r="V13">
        <v>665.4</v>
      </c>
      <c r="W13">
        <v>675.7</v>
      </c>
      <c r="X13">
        <v>686.4</v>
      </c>
      <c r="Y13">
        <v>697.1</v>
      </c>
      <c r="Z13">
        <v>707.5</v>
      </c>
      <c r="AA13">
        <v>707.5</v>
      </c>
      <c r="AB13">
        <v>749.80000000000007</v>
      </c>
    </row>
    <row r="14" spans="1:28" x14ac:dyDescent="0.35">
      <c r="A14" t="s">
        <v>260</v>
      </c>
      <c r="B14">
        <v>145.69999999999999</v>
      </c>
      <c r="C14">
        <v>210</v>
      </c>
      <c r="D14">
        <v>273.3</v>
      </c>
      <c r="E14">
        <v>353.5</v>
      </c>
      <c r="F14">
        <v>440.1</v>
      </c>
      <c r="G14">
        <v>500.20000000000005</v>
      </c>
      <c r="H14">
        <v>577.20000000000005</v>
      </c>
      <c r="I14">
        <v>651.1</v>
      </c>
      <c r="J14">
        <v>715.5</v>
      </c>
      <c r="K14">
        <v>777.7</v>
      </c>
      <c r="L14">
        <v>784.1</v>
      </c>
      <c r="M14">
        <v>813.6</v>
      </c>
      <c r="N14">
        <v>849.5</v>
      </c>
      <c r="O14">
        <v>885.4</v>
      </c>
      <c r="P14">
        <v>926.5</v>
      </c>
      <c r="Q14">
        <v>980.3</v>
      </c>
      <c r="R14">
        <v>1039.4000000000001</v>
      </c>
      <c r="S14">
        <v>1039.4000000000001</v>
      </c>
      <c r="T14">
        <v>1092.2</v>
      </c>
      <c r="U14">
        <v>1092.2</v>
      </c>
      <c r="V14">
        <v>1163.9000000000001</v>
      </c>
      <c r="W14">
        <v>1163.9000000000001</v>
      </c>
      <c r="X14">
        <v>1163.9000000000001</v>
      </c>
      <c r="Y14">
        <v>1163.9000000000001</v>
      </c>
      <c r="Z14">
        <v>1187.0999999999999</v>
      </c>
      <c r="AA14">
        <v>1187.0999999999999</v>
      </c>
      <c r="AB14">
        <v>1276.8</v>
      </c>
    </row>
    <row r="15" spans="1:28" x14ac:dyDescent="0.35">
      <c r="A15" t="s">
        <v>259</v>
      </c>
      <c r="B15">
        <v>145.69999999999999</v>
      </c>
      <c r="C15">
        <v>210</v>
      </c>
      <c r="D15">
        <v>273.3</v>
      </c>
      <c r="E15">
        <v>353.5</v>
      </c>
      <c r="F15">
        <v>440.1</v>
      </c>
      <c r="G15">
        <v>500.20000000000005</v>
      </c>
      <c r="H15">
        <v>577.20000000000005</v>
      </c>
      <c r="I15">
        <v>651.1</v>
      </c>
      <c r="J15">
        <v>715.5</v>
      </c>
      <c r="K15">
        <v>777.7</v>
      </c>
      <c r="L15">
        <v>772.5</v>
      </c>
      <c r="M15">
        <v>802</v>
      </c>
      <c r="N15">
        <v>831.5</v>
      </c>
      <c r="O15">
        <v>861.1</v>
      </c>
      <c r="P15">
        <v>890.6</v>
      </c>
      <c r="Q15">
        <v>944.5</v>
      </c>
      <c r="R15">
        <v>985.6</v>
      </c>
      <c r="S15">
        <v>985.6</v>
      </c>
      <c r="T15">
        <v>1033.0999999999999</v>
      </c>
      <c r="U15">
        <v>1033.0999999999999</v>
      </c>
      <c r="V15">
        <v>1098.5</v>
      </c>
      <c r="W15">
        <v>1098.5</v>
      </c>
      <c r="X15">
        <v>1098.5</v>
      </c>
      <c r="Y15">
        <v>1098.5</v>
      </c>
      <c r="Z15">
        <v>1128.0999999999999</v>
      </c>
      <c r="AA15">
        <v>1128.0999999999999</v>
      </c>
      <c r="AB15">
        <v>1157.5999999999999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WHrate</vt:lpstr>
      <vt:lpstr>Price per stage</vt:lpstr>
      <vt:lpstr>Delivery per Unit</vt:lpstr>
      <vt:lpstr>WH</vt:lpstr>
      <vt:lpstr>TRrate</vt:lpstr>
      <vt:lpstr>seafreight forecast</vt:lpstr>
      <vt:lpstr>Summary</vt:lpstr>
      <vt:lpstr>TransportRate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2025-10-17T02:01:05Z</dcterms:modified>
</cp:coreProperties>
</file>